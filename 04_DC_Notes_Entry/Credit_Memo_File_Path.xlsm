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ran\Documents\GitHub\Portfolio\04_DC_Notes_Entry\"/>
    </mc:Choice>
  </mc:AlternateContent>
  <xr:revisionPtr revIDLastSave="0" documentId="13_ncr:1_{8D082335-442E-4724-8E3F-3E69C26EE807}" xr6:coauthVersionLast="45" xr6:coauthVersionMax="45" xr10:uidLastSave="{00000000-0000-0000-0000-000000000000}"/>
  <bookViews>
    <workbookView xWindow="-110" yWindow="-110" windowWidth="19420" windowHeight="10420" activeTab="3" xr2:uid="{00000000-000D-0000-FFFF-FFFF00000000}"/>
  </bookViews>
  <sheets>
    <sheet name="Index" sheetId="1" r:id="rId1"/>
    <sheet name="Vendor" sheetId="49" r:id="rId2"/>
    <sheet name="OU" sheetId="45" r:id="rId3"/>
    <sheet name="mail459" sheetId="51" r:id="rId4"/>
    <sheet name="parseStatus" sheetId="50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49" l="1"/>
  <c r="E7" i="49"/>
  <c r="D7" i="49"/>
  <c r="F6" i="49"/>
  <c r="E6" i="49"/>
  <c r="D6" i="49"/>
  <c r="F5" i="49"/>
  <c r="E5" i="49"/>
  <c r="D5" i="49"/>
  <c r="F4" i="49"/>
  <c r="E4" i="49"/>
  <c r="D4" i="49"/>
  <c r="F3" i="49"/>
  <c r="E3" i="49"/>
  <c r="D3" i="49"/>
  <c r="F2" i="49"/>
  <c r="E2" i="49"/>
  <c r="D2" i="49"/>
  <c r="B2" i="1" l="1"/>
  <c r="B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Z30B</author>
  </authors>
  <commentList>
    <comment ref="B7" authorId="0" shapeId="0" xr:uid="{2C361EA5-A9A1-4A56-902A-6806D4E175AE}">
      <text>
        <r>
          <rPr>
            <b/>
            <sz val="9"/>
            <color rgb="FF000000"/>
            <rFont val="Tahoma"/>
            <family val="2"/>
          </rPr>
          <t xml:space="preserve">
(1) OU317 + OU320 </t>
        </r>
        <r>
          <rPr>
            <b/>
            <sz val="9"/>
            <color rgb="FF000000"/>
            <rFont val="細明體"/>
            <family val="3"/>
          </rPr>
          <t>的</t>
        </r>
        <r>
          <rPr>
            <b/>
            <sz val="9"/>
            <color rgb="FF000000"/>
            <rFont val="Tahoma"/>
            <family val="2"/>
          </rPr>
          <t xml:space="preserve"> ON :  VENDER CODE </t>
        </r>
        <r>
          <rPr>
            <b/>
            <sz val="9"/>
            <color rgb="FF000000"/>
            <rFont val="細明體"/>
            <family val="3"/>
          </rPr>
          <t>是</t>
        </r>
        <r>
          <rPr>
            <b/>
            <sz val="9"/>
            <color rgb="FF000000"/>
            <rFont val="Tahoma"/>
            <family val="2"/>
          </rPr>
          <t xml:space="preserve"> "1241"
(2) OU219 </t>
        </r>
        <r>
          <rPr>
            <b/>
            <sz val="9"/>
            <color rgb="FF000000"/>
            <rFont val="細明體"/>
            <family val="3"/>
          </rPr>
          <t>的</t>
        </r>
        <r>
          <rPr>
            <b/>
            <sz val="9"/>
            <color rgb="FF000000"/>
            <rFont val="Tahoma"/>
            <family val="2"/>
          </rPr>
          <t xml:space="preserve"> ON :  VENDER CODE </t>
        </r>
        <r>
          <rPr>
            <b/>
            <sz val="9"/>
            <color rgb="FF000000"/>
            <rFont val="細明體"/>
            <family val="3"/>
          </rPr>
          <t>是</t>
        </r>
        <r>
          <rPr>
            <b/>
            <sz val="9"/>
            <color rgb="FF000000"/>
            <rFont val="Tahoma"/>
            <family val="2"/>
          </rPr>
          <t xml:space="preserve"> "487" 
</t>
        </r>
        <r>
          <rPr>
            <b/>
            <sz val="9"/>
            <color rgb="FF000000"/>
            <rFont val="細明體"/>
            <family val="3"/>
          </rPr>
          <t xml:space="preserve">備註: 原廠都會寄317+320+219的CMDN到 "AP TW\ON-CMDN" 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Joan Hsiao</author>
  </authors>
  <commentList>
    <comment ref="O1" authorId="0" shapeId="0" xr:uid="{86C5C98B-2285-4E9C-A6E8-7DA28E2989C2}">
      <text>
        <r>
          <rPr>
            <b/>
            <sz val="9"/>
            <color indexed="81"/>
            <rFont val="Tahoma"/>
            <family val="2"/>
          </rPr>
          <t>Joan Hsiao:</t>
        </r>
        <r>
          <rPr>
            <sz val="9"/>
            <color indexed="81"/>
            <rFont val="Tahoma"/>
            <family val="2"/>
          </rPr>
          <t xml:space="preserve">
1. OU
2. </t>
        </r>
        <r>
          <rPr>
            <sz val="9"/>
            <color indexed="81"/>
            <rFont val="細明體"/>
            <family val="3"/>
            <charset val="136"/>
          </rPr>
          <t>型態</t>
        </r>
        <r>
          <rPr>
            <sz val="9"/>
            <color indexed="81"/>
            <rFont val="Tahoma"/>
            <family val="2"/>
          </rPr>
          <t>-DN/CM
3. Credit/Debit No.
4. Date
5. Amount</t>
        </r>
      </text>
    </comment>
  </commentList>
</comments>
</file>

<file path=xl/sharedStrings.xml><?xml version="1.0" encoding="utf-8"?>
<sst xmlns="http://schemas.openxmlformats.org/spreadsheetml/2006/main" count="106" uniqueCount="70">
  <si>
    <r>
      <rPr>
        <b/>
        <sz val="12"/>
        <color indexed="8"/>
        <rFont val="新細明體"/>
        <family val="1"/>
      </rPr>
      <t>參數</t>
    </r>
    <phoneticPr fontId="0" type="noConversion"/>
  </si>
  <si>
    <r>
      <rPr>
        <b/>
        <sz val="12"/>
        <color indexed="8"/>
        <rFont val="新細明體"/>
        <family val="1"/>
      </rPr>
      <t>設定值</t>
    </r>
    <phoneticPr fontId="0" type="noConversion"/>
  </si>
  <si>
    <r>
      <rPr>
        <sz val="12"/>
        <color indexed="8"/>
        <rFont val="Arial"/>
        <family val="2"/>
      </rPr>
      <t>檔案所在路徑</t>
    </r>
    <phoneticPr fontId="0" type="noConversion"/>
  </si>
  <si>
    <r>
      <rPr>
        <sz val="12"/>
        <color indexed="8"/>
        <rFont val="Arial"/>
        <family val="2"/>
      </rPr>
      <t>VBA File (by Vendor)</t>
    </r>
    <phoneticPr fontId="0" type="noConversion"/>
  </si>
  <si>
    <r>
      <rPr>
        <sz val="12"/>
        <color theme="1"/>
        <rFont val="Calibri"/>
        <family val="2"/>
      </rPr>
      <t>AP TW</t>
    </r>
    <r>
      <rPr>
        <sz val="12"/>
        <color theme="1"/>
        <rFont val="細明體"/>
        <family val="3"/>
      </rPr>
      <t xml:space="preserve">資料夾
</t>
    </r>
    <r>
      <rPr>
        <sz val="12"/>
        <color theme="1"/>
        <rFont val="Calibri"/>
        <family val="2"/>
      </rPr>
      <t>(vendor_mailfile)</t>
    </r>
    <phoneticPr fontId="0" type="noConversion"/>
  </si>
  <si>
    <r>
      <rPr>
        <sz val="12"/>
        <color theme="1"/>
        <rFont val="Calibri"/>
        <family val="2"/>
      </rPr>
      <t>Vendor Code</t>
    </r>
    <phoneticPr fontId="0" type="noConversion"/>
  </si>
  <si>
    <r>
      <rPr>
        <sz val="12"/>
        <color theme="1"/>
        <rFont val="Calibri"/>
        <family val="2"/>
      </rPr>
      <t>Vendor Name</t>
    </r>
    <phoneticPr fontId="0" type="noConversion"/>
  </si>
  <si>
    <r>
      <rPr>
        <sz val="12"/>
        <color theme="1"/>
        <rFont val="Calibri"/>
        <family val="2"/>
      </rPr>
      <t>PDF file path
(inputPdfFolder)</t>
    </r>
    <phoneticPr fontId="0" type="noConversion"/>
  </si>
  <si>
    <r>
      <rPr>
        <sz val="12"/>
        <color theme="1"/>
        <rFont val="Calibri"/>
        <family val="2"/>
      </rPr>
      <t>TXT file path
(outputTxtFolder)</t>
    </r>
    <phoneticPr fontId="0" type="noConversion"/>
  </si>
  <si>
    <r>
      <rPr>
        <sz val="12"/>
        <color theme="1"/>
        <rFont val="Calibri"/>
        <family val="2"/>
      </rPr>
      <t>PDF file path
(pdfVBAFolder)</t>
    </r>
    <phoneticPr fontId="0" type="noConversion"/>
  </si>
  <si>
    <t>RCODE</t>
  </si>
  <si>
    <r>
      <rPr>
        <b/>
        <sz val="12"/>
        <color indexed="8"/>
        <rFont val="Calibri"/>
        <family val="2"/>
      </rPr>
      <t>Dear RCODE</t>
    </r>
    <phoneticPr fontId="0" type="noConversion"/>
  </si>
  <si>
    <r>
      <rPr>
        <b/>
        <sz val="12"/>
        <color indexed="8"/>
        <rFont val="Calibri"/>
        <family val="2"/>
      </rPr>
      <t>AREA</t>
    </r>
    <phoneticPr fontId="0" type="noConversion"/>
  </si>
  <si>
    <r>
      <rPr>
        <b/>
        <sz val="12"/>
        <color indexed="8"/>
        <rFont val="Calibri"/>
        <family val="2"/>
      </rPr>
      <t>OUselect</t>
    </r>
    <phoneticPr fontId="0" type="noConversion"/>
  </si>
  <si>
    <r>
      <rPr>
        <b/>
        <sz val="12"/>
        <color indexed="8"/>
        <rFont val="Calibri"/>
        <family val="2"/>
      </rPr>
      <t>Uipath Selctor for OU</t>
    </r>
    <phoneticPr fontId="0" type="noConversion"/>
  </si>
  <si>
    <r>
      <rPr>
        <b/>
        <sz val="12"/>
        <color indexed="8"/>
        <rFont val="Calibri"/>
        <family val="2"/>
      </rPr>
      <t xml:space="preserve">Uipath Selector for Receipt </t>
    </r>
    <r>
      <rPr>
        <sz val="12"/>
        <color indexed="8"/>
        <rFont val="微軟正黑體"/>
        <family val="2"/>
      </rPr>
      <t>繳款</t>
    </r>
    <phoneticPr fontId="0" type="noConversion"/>
  </si>
  <si>
    <r>
      <rPr>
        <sz val="12"/>
        <color indexed="8"/>
        <rFont val="Calibri"/>
        <family val="2"/>
      </rPr>
      <t>HK</t>
    </r>
    <phoneticPr fontId="0" type="noConversion"/>
  </si>
  <si>
    <r>
      <rPr>
        <sz val="12"/>
        <color rgb="FF8B008B"/>
        <rFont val="Calibri"/>
        <family val="2"/>
      </rPr>
      <t xml:space="preserve">&lt;webctrl </t>
    </r>
    <r>
      <rPr>
        <sz val="12"/>
        <color rgb="FFFF0000"/>
        <rFont val="Calibri"/>
        <family val="2"/>
      </rPr>
      <t>id</t>
    </r>
    <r>
      <rPr>
        <sz val="12"/>
        <color rgb="FF0000FF"/>
        <rFont val="Calibri"/>
        <family val="2"/>
      </rPr>
      <t>='N754'</t>
    </r>
    <r>
      <rPr>
        <sz val="12"/>
        <color rgb="FF8B008B"/>
        <rFont val="Calibri"/>
        <family val="2"/>
      </rPr>
      <t xml:space="preserve"> </t>
    </r>
    <r>
      <rPr>
        <sz val="12"/>
        <color rgb="FFFF0000"/>
        <rFont val="Calibri"/>
        <family val="2"/>
      </rPr>
      <t>tag</t>
    </r>
    <r>
      <rPr>
        <sz val="12"/>
        <color rgb="FF0000FF"/>
        <rFont val="Calibri"/>
        <family val="2"/>
      </rPr>
      <t>='A'</t>
    </r>
    <r>
      <rPr>
        <sz val="12"/>
        <color rgb="FF8B008B"/>
        <rFont val="Calibri"/>
        <family val="2"/>
      </rPr>
      <t xml:space="preserve"> /&gt;</t>
    </r>
    <phoneticPr fontId="0" type="noConversion"/>
  </si>
  <si>
    <r>
      <rPr>
        <sz val="12"/>
        <color indexed="8"/>
        <rFont val="Calibri"/>
        <family val="2"/>
      </rPr>
      <t>TW</t>
    </r>
    <phoneticPr fontId="0" type="noConversion"/>
  </si>
  <si>
    <r>
      <rPr>
        <sz val="12"/>
        <color rgb="FF8B008B"/>
        <rFont val="Calibri"/>
        <family val="2"/>
      </rPr>
      <t xml:space="preserve">&lt;webctrl </t>
    </r>
    <r>
      <rPr>
        <sz val="12"/>
        <color rgb="FFFF0000"/>
        <rFont val="Calibri"/>
        <family val="2"/>
      </rPr>
      <t>id</t>
    </r>
    <r>
      <rPr>
        <sz val="12"/>
        <color rgb="FF0000FF"/>
        <rFont val="Calibri"/>
        <family val="2"/>
      </rPr>
      <t>='N754'</t>
    </r>
    <r>
      <rPr>
        <sz val="12"/>
        <color rgb="FF8B008B"/>
        <rFont val="Calibri"/>
        <family val="2"/>
      </rPr>
      <t xml:space="preserve"> </t>
    </r>
    <r>
      <rPr>
        <sz val="12"/>
        <color rgb="FFFF0000"/>
        <rFont val="Calibri"/>
        <family val="2"/>
      </rPr>
      <t>tag</t>
    </r>
    <r>
      <rPr>
        <sz val="12"/>
        <color rgb="FF0000FF"/>
        <rFont val="Calibri"/>
        <family val="2"/>
      </rPr>
      <t>='A'</t>
    </r>
    <r>
      <rPr>
        <sz val="12"/>
        <color rgb="FF8B008B"/>
        <rFont val="Calibri"/>
        <family val="2"/>
      </rPr>
      <t xml:space="preserve"> /&gt;</t>
    </r>
    <phoneticPr fontId="0" type="noConversion"/>
  </si>
  <si>
    <r>
      <rPr>
        <sz val="12"/>
        <color indexed="8"/>
        <rFont val="Calibri"/>
        <family val="2"/>
      </rPr>
      <t>HK</t>
    </r>
    <phoneticPr fontId="0" type="noConversion"/>
  </si>
  <si>
    <r>
      <rPr>
        <sz val="12"/>
        <color rgb="FF8B008B"/>
        <rFont val="Calibri"/>
        <family val="2"/>
      </rPr>
      <t xml:space="preserve">&lt;webctrl </t>
    </r>
    <r>
      <rPr>
        <sz val="12"/>
        <color rgb="FFFF0000"/>
        <rFont val="Calibri"/>
        <family val="2"/>
      </rPr>
      <t>id</t>
    </r>
    <r>
      <rPr>
        <sz val="12"/>
        <color rgb="FF0000FF"/>
        <rFont val="Calibri"/>
        <family val="2"/>
      </rPr>
      <t>='N754'</t>
    </r>
    <r>
      <rPr>
        <sz val="12"/>
        <color rgb="FF8B008B"/>
        <rFont val="Calibri"/>
        <family val="2"/>
      </rPr>
      <t xml:space="preserve"> </t>
    </r>
    <r>
      <rPr>
        <sz val="12"/>
        <color rgb="FFFF0000"/>
        <rFont val="Calibri"/>
        <family val="2"/>
      </rPr>
      <t>tag</t>
    </r>
    <r>
      <rPr>
        <sz val="12"/>
        <color rgb="FF0000FF"/>
        <rFont val="Calibri"/>
        <family val="2"/>
      </rPr>
      <t>='A'</t>
    </r>
    <r>
      <rPr>
        <sz val="12"/>
        <color rgb="FF8B008B"/>
        <rFont val="Calibri"/>
        <family val="2"/>
      </rPr>
      <t xml:space="preserve"> /&gt;</t>
    </r>
    <phoneticPr fontId="0" type="noConversion"/>
  </si>
  <si>
    <t>Received Time</t>
  </si>
  <si>
    <t>Subject</t>
  </si>
  <si>
    <t>SOB Name</t>
  </si>
  <si>
    <t>Type</t>
  </si>
  <si>
    <t>Trx No.</t>
  </si>
  <si>
    <t>Vendor Code</t>
  </si>
  <si>
    <t>Vendor Name</t>
  </si>
  <si>
    <t>Brand</t>
  </si>
  <si>
    <t>Credit/Debit No.</t>
  </si>
  <si>
    <t>Currency</t>
  </si>
  <si>
    <t>Apply Amount</t>
  </si>
  <si>
    <t>Flow No</t>
  </si>
  <si>
    <t>類型</t>
  </si>
  <si>
    <t>文件日期</t>
  </si>
  <si>
    <t>End</t>
  </si>
  <si>
    <t>ORG ID</t>
  </si>
  <si>
    <t>Trx Amount</t>
    <phoneticPr fontId="23" type="noConversion"/>
  </si>
  <si>
    <t>比對Status</t>
    <phoneticPr fontId="23" type="noConversion"/>
  </si>
  <si>
    <t>RC</t>
  </si>
  <si>
    <t>RC1960059</t>
  </si>
  <si>
    <t>487</t>
  </si>
  <si>
    <t>CM#572801124460</t>
  </si>
  <si>
    <t>USD</t>
  </si>
  <si>
    <t>20190614193356.752</t>
  </si>
  <si>
    <t>外部</t>
  </si>
  <si>
    <t>待入帳</t>
  </si>
  <si>
    <t>RC1960039</t>
  </si>
  <si>
    <t>1241</t>
  </si>
  <si>
    <t>CM#572801124385</t>
  </si>
  <si>
    <t>20190614234646.756</t>
  </si>
  <si>
    <t>RC1960037</t>
  </si>
  <si>
    <t>CM#572801124386</t>
  </si>
  <si>
    <t>20190614234630.380</t>
  </si>
  <si>
    <t>已入帳</t>
    <phoneticPr fontId="8" type="noConversion"/>
  </si>
  <si>
    <t>已入帳</t>
    <phoneticPr fontId="8" type="noConversion"/>
  </si>
  <si>
    <t>459-CMDN</t>
  </si>
  <si>
    <t>1158-CMDN</t>
  </si>
  <si>
    <t>20806-CMDN</t>
  </si>
  <si>
    <t>8112-CMDN</t>
  </si>
  <si>
    <t>19577-CMDN</t>
  </si>
  <si>
    <t>1241-CMDN</t>
  </si>
  <si>
    <t>OU_A</t>
    <phoneticPr fontId="0" type="noConversion"/>
  </si>
  <si>
    <t>OU_B</t>
    <phoneticPr fontId="0" type="noConversion"/>
  </si>
  <si>
    <t>OU_C</t>
    <phoneticPr fontId="0" type="noConversion"/>
  </si>
  <si>
    <r>
      <t xml:space="preserve">&lt;webctrl </t>
    </r>
    <r>
      <rPr>
        <sz val="12"/>
        <color rgb="FFFF0000"/>
        <rFont val="Calibri"/>
        <family val="2"/>
      </rPr>
      <t>aaname</t>
    </r>
    <r>
      <rPr>
        <sz val="12"/>
        <color rgb="FF0000FF"/>
        <rFont val="Calibri"/>
        <family val="2"/>
      </rPr>
      <t>='OU_A'</t>
    </r>
    <r>
      <rPr>
        <sz val="12"/>
        <color rgb="FF8B008B"/>
        <rFont val="Calibri"/>
        <family val="2"/>
      </rPr>
      <t xml:space="preserve"> </t>
    </r>
    <r>
      <rPr>
        <sz val="12"/>
        <color rgb="FFFF0000"/>
        <rFont val="Calibri"/>
        <family val="2"/>
      </rPr>
      <t>id</t>
    </r>
    <r>
      <rPr>
        <sz val="12"/>
        <color rgb="FF0000FF"/>
        <rFont val="Calibri"/>
        <family val="2"/>
      </rPr>
      <t>='AppsNavLink'</t>
    </r>
    <r>
      <rPr>
        <sz val="12"/>
        <color rgb="FF8B008B"/>
        <rFont val="Calibri"/>
        <family val="2"/>
      </rPr>
      <t xml:space="preserve"> </t>
    </r>
    <r>
      <rPr>
        <sz val="12"/>
        <color rgb="FFFF0000"/>
        <rFont val="Calibri"/>
        <family val="2"/>
      </rPr>
      <t>tag</t>
    </r>
    <r>
      <rPr>
        <sz val="12"/>
        <color rgb="FF0000FF"/>
        <rFont val="Calibri"/>
        <family val="2"/>
      </rPr>
      <t>='A'</t>
    </r>
    <r>
      <rPr>
        <sz val="12"/>
        <color rgb="FF8B008B"/>
        <rFont val="Calibri"/>
        <family val="2"/>
      </rPr>
      <t xml:space="preserve"> /&gt;</t>
    </r>
    <phoneticPr fontId="0" type="noConversion"/>
  </si>
  <si>
    <r>
      <t xml:space="preserve">&lt;webctrl </t>
    </r>
    <r>
      <rPr>
        <sz val="12"/>
        <color rgb="FFFF0000"/>
        <rFont val="Calibri"/>
        <family val="2"/>
      </rPr>
      <t>aaname</t>
    </r>
    <r>
      <rPr>
        <sz val="12"/>
        <color rgb="FF0000FF"/>
        <rFont val="Calibri"/>
        <family val="2"/>
      </rPr>
      <t>='OU_B'</t>
    </r>
    <r>
      <rPr>
        <sz val="12"/>
        <color rgb="FF8B008B"/>
        <rFont val="Calibri"/>
        <family val="2"/>
      </rPr>
      <t xml:space="preserve"> </t>
    </r>
    <r>
      <rPr>
        <sz val="12"/>
        <color rgb="FFFF0000"/>
        <rFont val="Calibri"/>
        <family val="2"/>
      </rPr>
      <t>id</t>
    </r>
    <r>
      <rPr>
        <sz val="12"/>
        <color rgb="FF0000FF"/>
        <rFont val="Calibri"/>
        <family val="2"/>
      </rPr>
      <t>='AppsNavLink'</t>
    </r>
    <r>
      <rPr>
        <sz val="12"/>
        <color rgb="FF8B008B"/>
        <rFont val="Calibri"/>
        <family val="2"/>
      </rPr>
      <t xml:space="preserve"> </t>
    </r>
    <r>
      <rPr>
        <sz val="12"/>
        <color rgb="FFFF0000"/>
        <rFont val="Calibri"/>
        <family val="2"/>
      </rPr>
      <t>tag</t>
    </r>
    <r>
      <rPr>
        <sz val="12"/>
        <color rgb="FF0000FF"/>
        <rFont val="Calibri"/>
        <family val="2"/>
      </rPr>
      <t>='A'</t>
    </r>
    <r>
      <rPr>
        <sz val="12"/>
        <color rgb="FF8B008B"/>
        <rFont val="Calibri"/>
        <family val="2"/>
      </rPr>
      <t xml:space="preserve"> /&gt;</t>
    </r>
    <phoneticPr fontId="0" type="noConversion"/>
  </si>
  <si>
    <r>
      <t xml:space="preserve">&lt;webctrl </t>
    </r>
    <r>
      <rPr>
        <sz val="12"/>
        <color rgb="FFFF0000"/>
        <rFont val="Calibri"/>
        <family val="2"/>
      </rPr>
      <t>aaname</t>
    </r>
    <r>
      <rPr>
        <sz val="12"/>
        <color rgb="FF0000FF"/>
        <rFont val="Calibri"/>
        <family val="2"/>
      </rPr>
      <t>='OU_C'</t>
    </r>
    <r>
      <rPr>
        <sz val="12"/>
        <color rgb="FF8B008B"/>
        <rFont val="Calibri"/>
        <family val="2"/>
      </rPr>
      <t xml:space="preserve"> </t>
    </r>
    <r>
      <rPr>
        <sz val="12"/>
        <color rgb="FFFF0000"/>
        <rFont val="Calibri"/>
        <family val="2"/>
      </rPr>
      <t>id</t>
    </r>
    <r>
      <rPr>
        <sz val="12"/>
        <color rgb="FF0000FF"/>
        <rFont val="Calibri"/>
        <family val="2"/>
      </rPr>
      <t>='AppsNavLink'</t>
    </r>
    <r>
      <rPr>
        <sz val="12"/>
        <color rgb="FF8B008B"/>
        <rFont val="Calibri"/>
        <family val="2"/>
      </rPr>
      <t xml:space="preserve"> </t>
    </r>
    <r>
      <rPr>
        <sz val="12"/>
        <color rgb="FFFF0000"/>
        <rFont val="Calibri"/>
        <family val="2"/>
      </rPr>
      <t>tag</t>
    </r>
    <r>
      <rPr>
        <sz val="12"/>
        <color rgb="FF0000FF"/>
        <rFont val="Calibri"/>
        <family val="2"/>
      </rPr>
      <t>='A'</t>
    </r>
    <r>
      <rPr>
        <sz val="12"/>
        <color rgb="FF8B008B"/>
        <rFont val="Calibri"/>
        <family val="2"/>
      </rPr>
      <t xml:space="preserve"> /&gt;</t>
    </r>
    <phoneticPr fontId="0" type="noConversion"/>
  </si>
  <si>
    <t xml:space="preserve">Invoice Report 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</si>
</sst>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.00_);_(* \(#,##0.00\);_(* &quot;-&quot;??_);_(@_)"/>
  </numFmts>
  <fonts count="24" x14ac:knownFonts="1">
    <font>
      <sz val="12"/>
      <color theme="1"/>
      <name val="Calibri"/>
      <family val="2"/>
    </font>
    <font>
      <b/>
      <sz val="12"/>
      <color indexed="8"/>
      <name val="新細明體"/>
      <family val="1"/>
      <charset val="136"/>
    </font>
    <font>
      <sz val="12"/>
      <color theme="1"/>
      <name val="Calibri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sz val="12"/>
      <color rgb="FF8B008B"/>
      <name val="Calibri"/>
      <family val="2"/>
    </font>
    <font>
      <sz val="12"/>
      <color rgb="FFFF0000"/>
      <name val="Calibri"/>
      <family val="2"/>
    </font>
    <font>
      <sz val="12"/>
      <color rgb="FF0000FF"/>
      <name val="Calibri"/>
      <family val="2"/>
    </font>
    <font>
      <sz val="9"/>
      <name val="細明體"/>
      <family val="3"/>
      <charset val="136"/>
    </font>
    <font>
      <sz val="10"/>
      <color theme="1"/>
      <name val="微軟正黑體"/>
      <family val="2"/>
      <charset val="136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FF0000"/>
      <name val="新細明體"/>
      <family val="1"/>
      <charset val="136"/>
    </font>
    <font>
      <sz val="9"/>
      <color indexed="81"/>
      <name val="細明體"/>
      <family val="3"/>
      <charset val="136"/>
    </font>
    <font>
      <sz val="12"/>
      <color theme="1"/>
      <name val="新細明體"/>
      <family val="1"/>
      <charset val="136"/>
    </font>
    <font>
      <b/>
      <sz val="12"/>
      <color indexed="8"/>
      <name val="新細明體"/>
      <family val="1"/>
    </font>
    <font>
      <sz val="12"/>
      <color theme="1"/>
      <name val="細明體"/>
      <family val="3"/>
    </font>
    <font>
      <sz val="12"/>
      <color indexed="8"/>
      <name val="微軟正黑體"/>
      <family val="2"/>
    </font>
    <font>
      <b/>
      <sz val="9"/>
      <color rgb="FF000000"/>
      <name val="Tahoma"/>
      <family val="2"/>
    </font>
    <font>
      <b/>
      <sz val="9"/>
      <color rgb="FF000000"/>
      <name val="細明體"/>
      <family val="3"/>
    </font>
    <font>
      <sz val="9"/>
      <color rgb="FF000000"/>
      <name val="Tahoma"/>
      <family val="2"/>
    </font>
    <font>
      <sz val="9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NumberFormat="1" applyFont="1" applyFill="1" applyBorder="1" applyAlignment="1" applyProtection="1">
      <alignment vertical="center"/>
    </xf>
    <xf numFmtId="49" fontId="10" fillId="0" borderId="1" xfId="0" applyNumberFormat="1" applyFont="1" applyFill="1" applyBorder="1" applyAlignment="1" applyProtection="1">
      <alignment horizontal="center" vertical="center"/>
    </xf>
    <xf numFmtId="49" fontId="11" fillId="0" borderId="1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>
      <alignment vertical="center"/>
    </xf>
    <xf numFmtId="14" fontId="16" fillId="0" borderId="0" xfId="0" applyNumberFormat="1" applyFont="1" applyFill="1" applyBorder="1">
      <alignment vertical="center"/>
    </xf>
    <xf numFmtId="0" fontId="0" fillId="0" borderId="0" xfId="0" applyNumberFormat="1" applyFill="1" applyAlignment="1" applyProtection="1"/>
    <xf numFmtId="0" fontId="4" fillId="0" borderId="0" xfId="0" applyNumberFormat="1" applyFont="1" applyFill="1" applyAlignment="1" applyProtection="1">
      <alignment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vertical="center"/>
    </xf>
    <xf numFmtId="0" fontId="0" fillId="0" borderId="1" xfId="0" applyNumberFormat="1" applyFill="1" applyBorder="1" applyAlignment="1" applyProtection="1">
      <alignment horizontal="left" vertical="center"/>
    </xf>
    <xf numFmtId="0" fontId="0" fillId="5" borderId="1" xfId="0" applyNumberFormat="1" applyFill="1" applyBorder="1" applyAlignment="1" applyProtection="1">
      <alignment horizontal="left" vertical="center" wrapText="1"/>
    </xf>
    <xf numFmtId="0" fontId="0" fillId="5" borderId="1" xfId="0" applyNumberFormat="1" applyFill="1" applyBorder="1" applyAlignment="1" applyProtection="1">
      <alignment horizontal="left" vertical="center"/>
    </xf>
    <xf numFmtId="0" fontId="0" fillId="0" borderId="0" xfId="0" applyNumberFormat="1" applyFill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vertical="center"/>
    </xf>
    <xf numFmtId="49" fontId="10" fillId="2" borderId="1" xfId="0" applyNumberFormat="1" applyFont="1" applyFill="1" applyBorder="1" applyAlignment="1" applyProtection="1">
      <alignment horizontal="center" vertical="center"/>
    </xf>
    <xf numFmtId="49" fontId="11" fillId="2" borderId="1" xfId="0" applyNumberFormat="1" applyFont="1" applyFill="1" applyBorder="1" applyAlignment="1" applyProtection="1">
      <alignment horizontal="center" vertical="center"/>
    </xf>
    <xf numFmtId="49" fontId="11" fillId="3" borderId="1" xfId="0" applyNumberFormat="1" applyFont="1" applyFill="1" applyBorder="1" applyAlignment="1" applyProtection="1">
      <alignment horizontal="center" vertical="center"/>
    </xf>
    <xf numFmtId="0" fontId="5" fillId="0" borderId="1" xfId="0" applyNumberFormat="1" applyFont="1" applyFill="1" applyBorder="1" applyAlignment="1" applyProtection="1">
      <alignment vertical="center"/>
    </xf>
    <xf numFmtId="22" fontId="0" fillId="0" borderId="0" xfId="0" applyNumberForma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176" fontId="1" fillId="6" borderId="0" xfId="2" applyFont="1" applyFill="1" applyAlignment="1">
      <alignment horizontal="center" vertical="center"/>
    </xf>
    <xf numFmtId="176" fontId="14" fillId="7" borderId="0" xfId="2" applyFont="1" applyFill="1" applyAlignment="1">
      <alignment horizontal="center" vertical="center"/>
    </xf>
    <xf numFmtId="14" fontId="1" fillId="6" borderId="0" xfId="2" applyNumberFormat="1" applyFont="1" applyFill="1" applyAlignment="1">
      <alignment horizontal="center" vertical="center"/>
    </xf>
    <xf numFmtId="0" fontId="0" fillId="0" borderId="1" xfId="0" applyNumberFormat="1" applyFont="1" applyFill="1" applyBorder="1" applyAlignment="1" applyProtection="1">
      <alignment horizontal="center" vertical="center"/>
    </xf>
  </cellXfs>
  <cellStyles count="3">
    <cellStyle name="一般" xfId="0" builtinId="0"/>
    <cellStyle name="一般 2" xfId="1" xr:uid="{00000000-0005-0000-0000-000001000000}"/>
    <cellStyle name="千分位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"/>
  <dimension ref="A1:B3"/>
  <sheetViews>
    <sheetView workbookViewId="0">
      <selection activeCell="B11" sqref="B11 B11"/>
    </sheetView>
  </sheetViews>
  <sheetFormatPr defaultColWidth="8.6640625" defaultRowHeight="15.5" x14ac:dyDescent="0.35"/>
  <cols>
    <col min="1" max="1" width="20.83203125" style="7" bestFit="1" customWidth="1"/>
    <col min="2" max="2" width="105.08203125" style="7" customWidth="1"/>
    <col min="3" max="3" width="8.6640625" style="7" customWidth="1"/>
    <col min="4" max="16384" width="8.6640625" style="7"/>
  </cols>
  <sheetData>
    <row r="1" spans="1:2" s="6" customFormat="1" ht="17" customHeight="1" x14ac:dyDescent="0.35">
      <c r="A1" s="8" t="s">
        <v>0</v>
      </c>
      <c r="B1" s="8" t="s">
        <v>1</v>
      </c>
    </row>
    <row r="2" spans="1:2" x14ac:dyDescent="0.35">
      <c r="A2" s="9" t="s">
        <v>2</v>
      </c>
      <c r="B2" s="9" t="str">
        <f ca="1">LEFT(CELL("filename"),FIND("\[",CELL("filename"))) &amp; "Vendors\"</f>
        <v>C:\Users\paran\Documents\GitHub\Portfolio\04_DC_Notes_Entry\Vendors\</v>
      </c>
    </row>
    <row r="3" spans="1:2" x14ac:dyDescent="0.35">
      <c r="A3" s="9" t="s">
        <v>3</v>
      </c>
      <c r="B3" s="9" t="str">
        <f ca="1">LEFT(CELL("filename"),FIND("\[",CELL("filename")))&amp;"Vendors\DrCrMemo_Script_"</f>
        <v>C:\Users\paran\Documents\GitHub\Portfolio\04_DC_Notes_Entry\Vendors\DrCrMemo_Script_</v>
      </c>
    </row>
  </sheetData>
  <phoneticPr fontId="0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endorlist"/>
  <dimension ref="A1:F7"/>
  <sheetViews>
    <sheetView workbookViewId="0">
      <selection activeCell="F2" sqref="F2"/>
    </sheetView>
  </sheetViews>
  <sheetFormatPr defaultRowHeight="15.5" x14ac:dyDescent="0.35"/>
  <cols>
    <col min="1" max="1" width="16.9140625" style="13" customWidth="1"/>
    <col min="2" max="2" width="12.08203125" style="13" bestFit="1" customWidth="1"/>
    <col min="3" max="3" width="12.6640625" style="13" bestFit="1" customWidth="1"/>
    <col min="4" max="4" width="17.9140625" style="6" customWidth="1"/>
    <col min="5" max="5" width="17.75" style="6" customWidth="1"/>
    <col min="6" max="6" width="17.9140625" style="6" customWidth="1"/>
  </cols>
  <sheetData>
    <row r="1" spans="1:6" ht="32.5" customHeight="1" x14ac:dyDescent="0.35">
      <c r="A1" s="11" t="s">
        <v>4</v>
      </c>
      <c r="B1" s="12" t="s">
        <v>5</v>
      </c>
      <c r="C1" s="12" t="s">
        <v>6</v>
      </c>
      <c r="D1" s="11" t="s">
        <v>7</v>
      </c>
      <c r="E1" s="11" t="s">
        <v>8</v>
      </c>
      <c r="F1" s="11" t="s">
        <v>9</v>
      </c>
    </row>
    <row r="2" spans="1:6" x14ac:dyDescent="0.35">
      <c r="A2" s="10" t="s">
        <v>57</v>
      </c>
      <c r="B2" s="10">
        <v>459</v>
      </c>
      <c r="C2" s="10"/>
      <c r="D2" s="1" t="str">
        <f t="shared" ref="D2:D7" ca="1" si="0">LEFT(CELL("filename"),FIND("\[",CELL("filename")))&amp;"Vendors\"&amp;B2&amp;"\0_PDF_mail\"</f>
        <v>C:\Users\paran\Documents\GitHub\Portfolio\04_DC_Notes_Entry\Vendors\459\0_PDF_mail\</v>
      </c>
      <c r="E2" s="1" t="str">
        <f t="shared" ref="E2:E7" ca="1" si="1">LEFT(CELL("filename"),FIND("\[",CELL("filename")))&amp;"Vendors\"&amp;B2&amp;"\1_tempTXT\"</f>
        <v>C:\Users\paran\Documents\GitHub\Portfolio\04_DC_Notes_Entry\Vendors\459\1_tempTXT\</v>
      </c>
      <c r="F2" s="1" t="str">
        <f t="shared" ref="F2:F7" ca="1" si="2">LEFT(CELL("filename"),FIND("\[",CELL("filename")))&amp;"Vendors\"&amp;B2&amp;"\3_PDF_VBA\"</f>
        <v>C:\Users\paran\Documents\GitHub\Portfolio\04_DC_Notes_Entry\Vendors\459\3_PDF_VBA\</v>
      </c>
    </row>
    <row r="3" spans="1:6" x14ac:dyDescent="0.35">
      <c r="A3" s="10" t="s">
        <v>58</v>
      </c>
      <c r="B3" s="10">
        <v>1158</v>
      </c>
      <c r="C3" s="10"/>
      <c r="D3" s="1" t="str">
        <f t="shared" ca="1" si="0"/>
        <v>C:\Users\paran\Documents\GitHub\Portfolio\04_DC_Notes_Entry\Vendors\1158\0_PDF_mail\</v>
      </c>
      <c r="E3" s="1" t="str">
        <f t="shared" ca="1" si="1"/>
        <v>C:\Users\paran\Documents\GitHub\Portfolio\04_DC_Notes_Entry\Vendors\1158\1_tempTXT\</v>
      </c>
      <c r="F3" s="1" t="str">
        <f t="shared" ca="1" si="2"/>
        <v>C:\Users\paran\Documents\GitHub\Portfolio\04_DC_Notes_Entry\Vendors\1158\3_PDF_VBA\</v>
      </c>
    </row>
    <row r="4" spans="1:6" x14ac:dyDescent="0.35">
      <c r="A4" s="10" t="s">
        <v>59</v>
      </c>
      <c r="B4" s="10">
        <v>20806</v>
      </c>
      <c r="C4" s="10"/>
      <c r="D4" s="1" t="str">
        <f t="shared" ca="1" si="0"/>
        <v>C:\Users\paran\Documents\GitHub\Portfolio\04_DC_Notes_Entry\Vendors\20806\0_PDF_mail\</v>
      </c>
      <c r="E4" s="1" t="str">
        <f t="shared" ca="1" si="1"/>
        <v>C:\Users\paran\Documents\GitHub\Portfolio\04_DC_Notes_Entry\Vendors\20806\1_tempTXT\</v>
      </c>
      <c r="F4" s="1" t="str">
        <f t="shared" ca="1" si="2"/>
        <v>C:\Users\paran\Documents\GitHub\Portfolio\04_DC_Notes_Entry\Vendors\20806\3_PDF_VBA\</v>
      </c>
    </row>
    <row r="5" spans="1:6" x14ac:dyDescent="0.35">
      <c r="A5" s="10" t="s">
        <v>60</v>
      </c>
      <c r="B5" s="10">
        <v>8112</v>
      </c>
      <c r="C5" s="10"/>
      <c r="D5" s="1" t="str">
        <f t="shared" ca="1" si="0"/>
        <v>C:\Users\paran\Documents\GitHub\Portfolio\04_DC_Notes_Entry\Vendors\8112\0_PDF_mail\</v>
      </c>
      <c r="E5" s="1" t="str">
        <f t="shared" ca="1" si="1"/>
        <v>C:\Users\paran\Documents\GitHub\Portfolio\04_DC_Notes_Entry\Vendors\8112\1_tempTXT\</v>
      </c>
      <c r="F5" s="1" t="str">
        <f t="shared" ca="1" si="2"/>
        <v>C:\Users\paran\Documents\GitHub\Portfolio\04_DC_Notes_Entry\Vendors\8112\3_PDF_VBA\</v>
      </c>
    </row>
    <row r="6" spans="1:6" x14ac:dyDescent="0.35">
      <c r="A6" s="10" t="s">
        <v>61</v>
      </c>
      <c r="B6" s="10">
        <v>19577</v>
      </c>
      <c r="C6" s="10"/>
      <c r="D6" s="1" t="str">
        <f t="shared" ca="1" si="0"/>
        <v>C:\Users\paran\Documents\GitHub\Portfolio\04_DC_Notes_Entry\Vendors\19577\0_PDF_mail\</v>
      </c>
      <c r="E6" s="1" t="str">
        <f t="shared" ca="1" si="1"/>
        <v>C:\Users\paran\Documents\GitHub\Portfolio\04_DC_Notes_Entry\Vendors\19577\1_tempTXT\</v>
      </c>
      <c r="F6" s="1" t="str">
        <f t="shared" ca="1" si="2"/>
        <v>C:\Users\paran\Documents\GitHub\Portfolio\04_DC_Notes_Entry\Vendors\19577\3_PDF_VBA\</v>
      </c>
    </row>
    <row r="7" spans="1:6" x14ac:dyDescent="0.35">
      <c r="A7" s="10" t="s">
        <v>62</v>
      </c>
      <c r="B7" s="10">
        <v>1241</v>
      </c>
      <c r="C7" s="10"/>
      <c r="D7" s="1" t="str">
        <f t="shared" ca="1" si="0"/>
        <v>C:\Users\paran\Documents\GitHub\Portfolio\04_DC_Notes_Entry\Vendors\1241\0_PDF_mail\</v>
      </c>
      <c r="E7" s="1" t="str">
        <f t="shared" ca="1" si="1"/>
        <v>C:\Users\paran\Documents\GitHub\Portfolio\04_DC_Notes_Entry\Vendors\1241\1_tempTXT\</v>
      </c>
      <c r="F7" s="1" t="str">
        <f t="shared" ca="1" si="2"/>
        <v>C:\Users\paran\Documents\GitHub\Portfolio\04_DC_Notes_Entry\Vendors\1241\3_PDF_VBA\</v>
      </c>
    </row>
  </sheetData>
  <phoneticPr fontId="8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ulist"/>
  <dimension ref="A1:I4"/>
  <sheetViews>
    <sheetView workbookViewId="0">
      <selection activeCell="H5" sqref="H5"/>
    </sheetView>
  </sheetViews>
  <sheetFormatPr defaultColWidth="8.6640625" defaultRowHeight="13" x14ac:dyDescent="0.35"/>
  <cols>
    <col min="1" max="1" width="8" style="14" bestFit="1" customWidth="1"/>
    <col min="2" max="2" width="16.1640625" style="14" bestFit="1" customWidth="1"/>
    <col min="3" max="5" width="13.83203125" style="14" customWidth="1"/>
    <col min="6" max="6" width="6.1640625" style="14" bestFit="1" customWidth="1"/>
    <col min="7" max="7" width="17.08203125" style="14" customWidth="1"/>
    <col min="8" max="9" width="31.58203125" style="14" customWidth="1"/>
    <col min="10" max="10" width="8.6640625" style="14" customWidth="1"/>
    <col min="11" max="16384" width="8.6640625" style="14"/>
  </cols>
  <sheetData>
    <row r="1" spans="1:9" customFormat="1" ht="15.75" customHeight="1" x14ac:dyDescent="0.35">
      <c r="A1" s="2" t="s">
        <v>10</v>
      </c>
      <c r="B1" s="2" t="s">
        <v>11</v>
      </c>
      <c r="C1" s="2"/>
      <c r="D1" s="15"/>
      <c r="E1" s="2"/>
      <c r="F1" s="15" t="s">
        <v>12</v>
      </c>
      <c r="G1" s="2" t="s">
        <v>13</v>
      </c>
      <c r="H1" s="15" t="s">
        <v>14</v>
      </c>
      <c r="I1" s="15" t="s">
        <v>15</v>
      </c>
    </row>
    <row r="2" spans="1:9" customFormat="1" ht="15.5" customHeight="1" x14ac:dyDescent="0.35">
      <c r="A2" s="16"/>
      <c r="B2" s="3" t="s">
        <v>63</v>
      </c>
      <c r="C2" s="3"/>
      <c r="D2" s="3"/>
      <c r="E2" s="3"/>
      <c r="F2" s="17" t="s">
        <v>16</v>
      </c>
      <c r="G2" s="3" t="s">
        <v>63</v>
      </c>
      <c r="H2" s="18" t="s">
        <v>66</v>
      </c>
      <c r="I2" s="18" t="s">
        <v>17</v>
      </c>
    </row>
    <row r="3" spans="1:9" customFormat="1" ht="15.5" customHeight="1" x14ac:dyDescent="0.35">
      <c r="A3" s="16"/>
      <c r="B3" s="24" t="s">
        <v>64</v>
      </c>
      <c r="C3" s="3"/>
      <c r="D3" s="3"/>
      <c r="E3" s="3"/>
      <c r="F3" s="17" t="s">
        <v>18</v>
      </c>
      <c r="G3" s="24" t="s">
        <v>64</v>
      </c>
      <c r="H3" s="18" t="s">
        <v>67</v>
      </c>
      <c r="I3" s="18" t="s">
        <v>19</v>
      </c>
    </row>
    <row r="4" spans="1:9" customFormat="1" ht="15.5" customHeight="1" x14ac:dyDescent="0.35">
      <c r="A4" s="16"/>
      <c r="B4" s="3" t="s">
        <v>65</v>
      </c>
      <c r="C4" s="3"/>
      <c r="D4" s="3"/>
      <c r="E4" s="3"/>
      <c r="F4" s="17" t="s">
        <v>20</v>
      </c>
      <c r="G4" s="3" t="s">
        <v>65</v>
      </c>
      <c r="H4" s="18" t="s">
        <v>68</v>
      </c>
      <c r="I4" s="18" t="s">
        <v>21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/>
  <dimension ref="A1:B28"/>
  <sheetViews>
    <sheetView tabSelected="1" workbookViewId="0">
      <selection activeCell="B2" sqref="B2:B28"/>
    </sheetView>
  </sheetViews>
  <sheetFormatPr defaultRowHeight="15.5" x14ac:dyDescent="0.35"/>
  <cols>
    <col min="1" max="1" width="15.4140625" style="6" bestFit="1" customWidth="1"/>
  </cols>
  <sheetData>
    <row r="1" spans="1:2" x14ac:dyDescent="0.35">
      <c r="A1" s="20" t="s">
        <v>22</v>
      </c>
      <c r="B1" s="20" t="s">
        <v>23</v>
      </c>
    </row>
    <row r="2" spans="1:2" x14ac:dyDescent="0.35">
      <c r="A2" s="19">
        <v>43578.178981481498</v>
      </c>
      <c r="B2" s="20" t="s">
        <v>69</v>
      </c>
    </row>
    <row r="3" spans="1:2" x14ac:dyDescent="0.35">
      <c r="A3" s="19">
        <v>43578.171597222201</v>
      </c>
      <c r="B3" s="20" t="s">
        <v>69</v>
      </c>
    </row>
    <row r="4" spans="1:2" x14ac:dyDescent="0.35">
      <c r="A4" s="19">
        <v>43578.171458333301</v>
      </c>
      <c r="B4" s="20" t="s">
        <v>69</v>
      </c>
    </row>
    <row r="5" spans="1:2" x14ac:dyDescent="0.35">
      <c r="A5" s="19">
        <v>43578.167962963002</v>
      </c>
      <c r="B5" s="20" t="s">
        <v>69</v>
      </c>
    </row>
    <row r="6" spans="1:2" x14ac:dyDescent="0.35">
      <c r="A6" s="19">
        <v>43578.167905092603</v>
      </c>
      <c r="B6" s="20" t="s">
        <v>69</v>
      </c>
    </row>
    <row r="7" spans="1:2" x14ac:dyDescent="0.35">
      <c r="A7" s="19">
        <v>43578.165717592601</v>
      </c>
      <c r="B7" s="20" t="s">
        <v>69</v>
      </c>
    </row>
    <row r="8" spans="1:2" x14ac:dyDescent="0.35">
      <c r="A8" s="19">
        <v>43578.165428240703</v>
      </c>
      <c r="B8" s="20" t="s">
        <v>69</v>
      </c>
    </row>
    <row r="9" spans="1:2" x14ac:dyDescent="0.35">
      <c r="A9" s="19">
        <v>43578.165393518502</v>
      </c>
      <c r="B9" s="20" t="s">
        <v>69</v>
      </c>
    </row>
    <row r="10" spans="1:2" x14ac:dyDescent="0.35">
      <c r="A10" s="19">
        <v>43578.165381944404</v>
      </c>
      <c r="B10" s="20" t="s">
        <v>69</v>
      </c>
    </row>
    <row r="11" spans="1:2" x14ac:dyDescent="0.35">
      <c r="A11" s="19">
        <v>43578.165034722202</v>
      </c>
      <c r="B11" s="20" t="s">
        <v>69</v>
      </c>
    </row>
    <row r="12" spans="1:2" x14ac:dyDescent="0.35">
      <c r="A12" s="19">
        <v>43578.1649652778</v>
      </c>
      <c r="B12" s="20" t="s">
        <v>69</v>
      </c>
    </row>
    <row r="13" spans="1:2" x14ac:dyDescent="0.35">
      <c r="A13" s="19">
        <v>43578.161550925899</v>
      </c>
      <c r="B13" s="20" t="s">
        <v>69</v>
      </c>
    </row>
    <row r="14" spans="1:2" x14ac:dyDescent="0.35">
      <c r="A14" s="19">
        <v>43578.158472222203</v>
      </c>
      <c r="B14" s="20" t="s">
        <v>69</v>
      </c>
    </row>
    <row r="15" spans="1:2" x14ac:dyDescent="0.35">
      <c r="A15" s="19">
        <v>43578.158298611103</v>
      </c>
      <c r="B15" s="20" t="s">
        <v>69</v>
      </c>
    </row>
    <row r="16" spans="1:2" x14ac:dyDescent="0.35">
      <c r="A16" s="19">
        <v>43578.157962963</v>
      </c>
      <c r="B16" s="20" t="s">
        <v>69</v>
      </c>
    </row>
    <row r="17" spans="1:2" x14ac:dyDescent="0.35">
      <c r="A17" s="19">
        <v>43578.1579166667</v>
      </c>
      <c r="B17" s="20" t="s">
        <v>69</v>
      </c>
    </row>
    <row r="18" spans="1:2" x14ac:dyDescent="0.35">
      <c r="A18" s="19">
        <v>43578.157662037003</v>
      </c>
      <c r="B18" s="20" t="s">
        <v>69</v>
      </c>
    </row>
    <row r="19" spans="1:2" x14ac:dyDescent="0.35">
      <c r="A19" s="19">
        <v>43578.150787036997</v>
      </c>
      <c r="B19" s="20" t="s">
        <v>69</v>
      </c>
    </row>
    <row r="20" spans="1:2" x14ac:dyDescent="0.35">
      <c r="A20" s="19">
        <v>43578.150613425903</v>
      </c>
      <c r="B20" s="20" t="s">
        <v>69</v>
      </c>
    </row>
    <row r="21" spans="1:2" x14ac:dyDescent="0.35">
      <c r="A21" s="19">
        <v>43578.150590277801</v>
      </c>
      <c r="B21" s="20" t="s">
        <v>69</v>
      </c>
    </row>
    <row r="22" spans="1:2" x14ac:dyDescent="0.35">
      <c r="A22" s="19">
        <v>43578.150520833296</v>
      </c>
      <c r="B22" s="20" t="s">
        <v>69</v>
      </c>
    </row>
    <row r="23" spans="1:2" x14ac:dyDescent="0.35">
      <c r="A23" s="19">
        <v>43578.150520833296</v>
      </c>
      <c r="B23" s="20" t="s">
        <v>69</v>
      </c>
    </row>
    <row r="24" spans="1:2" x14ac:dyDescent="0.35">
      <c r="A24" s="19">
        <v>43578.115821759297</v>
      </c>
      <c r="B24" s="20" t="s">
        <v>69</v>
      </c>
    </row>
    <row r="25" spans="1:2" x14ac:dyDescent="0.35">
      <c r="A25" s="19">
        <v>43578.108749999999</v>
      </c>
      <c r="B25" s="20" t="s">
        <v>69</v>
      </c>
    </row>
    <row r="26" spans="1:2" x14ac:dyDescent="0.35">
      <c r="A26" s="19">
        <v>43578.102002314801</v>
      </c>
      <c r="B26" s="20" t="s">
        <v>69</v>
      </c>
    </row>
    <row r="27" spans="1:2" x14ac:dyDescent="0.35">
      <c r="A27" s="19">
        <v>43578.094930555599</v>
      </c>
      <c r="B27" s="20" t="s">
        <v>69</v>
      </c>
    </row>
    <row r="28" spans="1:2" x14ac:dyDescent="0.35">
      <c r="A28" s="19">
        <v>43578.094930555599</v>
      </c>
      <c r="B28" s="20" t="s">
        <v>69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/>
  <dimension ref="A1:O5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G2" sqref="G2:G4"/>
    </sheetView>
  </sheetViews>
  <sheetFormatPr defaultColWidth="16.4140625" defaultRowHeight="17" x14ac:dyDescent="0.35"/>
  <cols>
    <col min="1" max="13" width="16.4140625" style="4"/>
    <col min="14" max="14" width="16.4140625" style="5"/>
    <col min="15" max="15" width="16.4140625" style="4"/>
  </cols>
  <sheetData>
    <row r="1" spans="1:15" x14ac:dyDescent="0.35">
      <c r="A1" s="21" t="s">
        <v>37</v>
      </c>
      <c r="B1" s="21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21" t="s">
        <v>29</v>
      </c>
      <c r="H1" s="21" t="s">
        <v>30</v>
      </c>
      <c r="I1" s="21" t="s">
        <v>31</v>
      </c>
      <c r="J1" s="21" t="s">
        <v>32</v>
      </c>
      <c r="K1" s="21" t="s">
        <v>38</v>
      </c>
      <c r="L1" s="21" t="s">
        <v>33</v>
      </c>
      <c r="M1" s="21" t="s">
        <v>34</v>
      </c>
      <c r="N1" s="23" t="s">
        <v>35</v>
      </c>
      <c r="O1" s="22" t="s">
        <v>39</v>
      </c>
    </row>
    <row r="2" spans="1:15" x14ac:dyDescent="0.35">
      <c r="C2" s="4" t="s">
        <v>40</v>
      </c>
      <c r="D2" s="4" t="s">
        <v>41</v>
      </c>
      <c r="E2" s="4" t="s">
        <v>42</v>
      </c>
      <c r="H2" s="4" t="s">
        <v>43</v>
      </c>
      <c r="I2" s="4" t="s">
        <v>44</v>
      </c>
      <c r="J2" s="4">
        <v>-600.6</v>
      </c>
      <c r="K2" s="4">
        <v>-760056.35</v>
      </c>
      <c r="L2" s="4" t="s">
        <v>45</v>
      </c>
      <c r="M2" s="4" t="s">
        <v>46</v>
      </c>
      <c r="N2" s="5">
        <v>43620</v>
      </c>
      <c r="O2" s="4" t="s">
        <v>55</v>
      </c>
    </row>
    <row r="3" spans="1:15" x14ac:dyDescent="0.35">
      <c r="C3" s="4" t="s">
        <v>40</v>
      </c>
      <c r="D3" s="4" t="s">
        <v>52</v>
      </c>
      <c r="E3" s="4" t="s">
        <v>49</v>
      </c>
      <c r="H3" s="4" t="s">
        <v>53</v>
      </c>
      <c r="I3" s="4" t="s">
        <v>44</v>
      </c>
      <c r="J3" s="4">
        <v>-33.6</v>
      </c>
      <c r="K3" s="4">
        <v>-17220.73</v>
      </c>
      <c r="L3" s="4" t="s">
        <v>54</v>
      </c>
      <c r="M3" s="4" t="s">
        <v>46</v>
      </c>
      <c r="N3" s="5">
        <v>43620</v>
      </c>
      <c r="O3" s="4" t="s">
        <v>56</v>
      </c>
    </row>
    <row r="4" spans="1:15" x14ac:dyDescent="0.35">
      <c r="C4" s="4" t="s">
        <v>40</v>
      </c>
      <c r="D4" s="4" t="s">
        <v>48</v>
      </c>
      <c r="E4" s="4" t="s">
        <v>49</v>
      </c>
      <c r="H4" s="4" t="s">
        <v>50</v>
      </c>
      <c r="I4" s="4" t="s">
        <v>44</v>
      </c>
      <c r="J4" s="4">
        <v>-486.19</v>
      </c>
      <c r="K4" s="4">
        <v>-391180.02000000025</v>
      </c>
      <c r="L4" s="4" t="s">
        <v>51</v>
      </c>
      <c r="M4" s="4" t="s">
        <v>46</v>
      </c>
      <c r="N4" s="5">
        <v>43620</v>
      </c>
      <c r="O4" s="4" t="s">
        <v>47</v>
      </c>
    </row>
    <row r="5" spans="1:15" x14ac:dyDescent="0.35">
      <c r="A5" s="4" t="s">
        <v>36</v>
      </c>
    </row>
  </sheetData>
  <phoneticPr fontId="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Index</vt:lpstr>
      <vt:lpstr>Vendor</vt:lpstr>
      <vt:lpstr>OU</vt:lpstr>
      <vt:lpstr>mail459</vt:lpstr>
      <vt:lpstr>parseStatus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Joan Hsiao</cp:lastModifiedBy>
  <dcterms:created xsi:type="dcterms:W3CDTF">2018-01-29T03:59:27Z</dcterms:created>
  <dcterms:modified xsi:type="dcterms:W3CDTF">2020-05-11T10:17:10Z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