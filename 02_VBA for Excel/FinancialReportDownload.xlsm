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ran\Documents\GitHub\Portfolio\"/>
    </mc:Choice>
  </mc:AlternateContent>
  <xr:revisionPtr revIDLastSave="0" documentId="13_ncr:1_{235EEC27-0E8C-4498-821B-B7BBBAB9DA6B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main" sheetId="2" r:id="rId1"/>
    <sheet name="temp" sheetId="10" r:id="rId2"/>
    <sheet name="財務資料" sheetId="6" r:id="rId3"/>
    <sheet name="收盤價" sheetId="7" r:id="rId4"/>
    <sheet name="基本資料" sheetId="8" r:id="rId5"/>
  </sheets>
  <definedNames>
    <definedName name="_xlnm._FilterDatabase" localSheetId="4" hidden="1">基本資料!#REF!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5" i="6" l="1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AA469" i="6"/>
  <c r="AA470" i="6"/>
  <c r="AA471" i="6"/>
  <c r="AA472" i="6"/>
  <c r="AA473" i="6"/>
  <c r="AA474" i="6"/>
  <c r="AA475" i="6"/>
  <c r="AA476" i="6"/>
  <c r="AA477" i="6"/>
  <c r="AA478" i="6"/>
  <c r="AA479" i="6"/>
  <c r="AA480" i="6"/>
  <c r="AA481" i="6"/>
  <c r="AA482" i="6"/>
  <c r="AA483" i="6"/>
  <c r="AA484" i="6"/>
  <c r="AA485" i="6"/>
  <c r="AA486" i="6"/>
  <c r="AA487" i="6"/>
  <c r="AA488" i="6"/>
  <c r="AA489" i="6"/>
  <c r="AA490" i="6"/>
  <c r="AA491" i="6"/>
  <c r="AA492" i="6"/>
  <c r="AA493" i="6"/>
  <c r="AA494" i="6"/>
  <c r="AA495" i="6"/>
  <c r="AA496" i="6"/>
  <c r="AA497" i="6"/>
  <c r="AA498" i="6"/>
  <c r="AA499" i="6"/>
  <c r="AA500" i="6"/>
  <c r="AA501" i="6"/>
  <c r="AA502" i="6"/>
  <c r="AA503" i="6"/>
  <c r="AA504" i="6"/>
  <c r="AA505" i="6"/>
  <c r="AA506" i="6"/>
  <c r="AA507" i="6"/>
  <c r="AA508" i="6"/>
  <c r="AA509" i="6"/>
  <c r="AA510" i="6"/>
  <c r="AA511" i="6"/>
  <c r="AA512" i="6"/>
  <c r="AA513" i="6"/>
  <c r="AA514" i="6"/>
  <c r="AA515" i="6"/>
  <c r="AA516" i="6"/>
  <c r="AA517" i="6"/>
  <c r="AA518" i="6"/>
  <c r="AA519" i="6"/>
  <c r="AA520" i="6"/>
  <c r="AA521" i="6"/>
  <c r="AA522" i="6"/>
  <c r="AA523" i="6"/>
  <c r="AA524" i="6"/>
  <c r="AA525" i="6"/>
  <c r="AA526" i="6"/>
  <c r="AA527" i="6"/>
  <c r="AA528" i="6"/>
  <c r="AA529" i="6"/>
  <c r="AA530" i="6"/>
  <c r="AA531" i="6"/>
  <c r="AA532" i="6"/>
  <c r="AA533" i="6"/>
  <c r="AA534" i="6"/>
  <c r="AA535" i="6"/>
  <c r="AA536" i="6"/>
  <c r="AA537" i="6"/>
  <c r="AA538" i="6"/>
  <c r="AA539" i="6"/>
  <c r="AA540" i="6"/>
  <c r="AA541" i="6"/>
  <c r="AA542" i="6"/>
  <c r="AA543" i="6"/>
  <c r="AA544" i="6"/>
  <c r="AA545" i="6"/>
  <c r="AA546" i="6"/>
  <c r="AA547" i="6"/>
  <c r="AA548" i="6"/>
  <c r="AA549" i="6"/>
  <c r="AA550" i="6"/>
  <c r="AA551" i="6"/>
  <c r="AA552" i="6"/>
  <c r="AA553" i="6"/>
  <c r="AA554" i="6"/>
  <c r="AA555" i="6"/>
  <c r="AA556" i="6"/>
  <c r="AA557" i="6"/>
  <c r="AA558" i="6"/>
  <c r="AA559" i="6"/>
  <c r="AA560" i="6"/>
  <c r="AA561" i="6"/>
  <c r="AA562" i="6"/>
  <c r="AA563" i="6"/>
  <c r="AA564" i="6"/>
  <c r="AA565" i="6"/>
  <c r="AA566" i="6"/>
  <c r="AA567" i="6"/>
  <c r="AA568" i="6"/>
  <c r="AA569" i="6"/>
  <c r="AA570" i="6"/>
  <c r="AA571" i="6"/>
  <c r="AA572" i="6"/>
  <c r="AA573" i="6"/>
  <c r="AA574" i="6"/>
  <c r="AA575" i="6"/>
  <c r="AA576" i="6"/>
  <c r="AA577" i="6"/>
  <c r="AA578" i="6"/>
  <c r="AA579" i="6"/>
  <c r="AA580" i="6"/>
  <c r="AA581" i="6"/>
  <c r="AA582" i="6"/>
  <c r="AA583" i="6"/>
  <c r="AA584" i="6"/>
  <c r="AA585" i="6"/>
  <c r="AA586" i="6"/>
  <c r="AA587" i="6"/>
  <c r="AA588" i="6"/>
  <c r="AA589" i="6"/>
  <c r="AA590" i="6"/>
  <c r="AA591" i="6"/>
  <c r="AA592" i="6"/>
  <c r="AA593" i="6"/>
  <c r="AA594" i="6"/>
  <c r="AA595" i="6"/>
  <c r="AA596" i="6"/>
  <c r="AA597" i="6"/>
  <c r="AA598" i="6"/>
  <c r="AA599" i="6"/>
  <c r="AA600" i="6"/>
  <c r="AA601" i="6"/>
  <c r="AA602" i="6"/>
  <c r="AA603" i="6"/>
  <c r="AA604" i="6"/>
  <c r="AA605" i="6"/>
  <c r="AA606" i="6"/>
  <c r="AA607" i="6"/>
  <c r="AA608" i="6"/>
  <c r="AA609" i="6"/>
  <c r="AA610" i="6"/>
  <c r="AA611" i="6"/>
  <c r="AA612" i="6"/>
  <c r="AA613" i="6"/>
  <c r="AA614" i="6"/>
  <c r="AA615" i="6"/>
  <c r="AA616" i="6"/>
  <c r="AA617" i="6"/>
  <c r="AA618" i="6"/>
  <c r="AA619" i="6"/>
  <c r="AA620" i="6"/>
  <c r="AA621" i="6"/>
  <c r="AA622" i="6"/>
  <c r="AA623" i="6"/>
  <c r="AA624" i="6"/>
  <c r="AA625" i="6"/>
  <c r="AA626" i="6"/>
  <c r="AA627" i="6"/>
  <c r="AA628" i="6"/>
  <c r="AA629" i="6"/>
  <c r="AA630" i="6"/>
  <c r="AA631" i="6"/>
  <c r="AA632" i="6"/>
  <c r="AA633" i="6"/>
  <c r="AA634" i="6"/>
  <c r="AA635" i="6"/>
  <c r="AA636" i="6"/>
  <c r="AA637" i="6"/>
  <c r="AA638" i="6"/>
  <c r="AA639" i="6"/>
  <c r="AA640" i="6"/>
  <c r="AA641" i="6"/>
  <c r="AA642" i="6"/>
  <c r="AA643" i="6"/>
  <c r="AA644" i="6"/>
  <c r="AA645" i="6"/>
  <c r="AA646" i="6"/>
  <c r="AA647" i="6"/>
  <c r="AA648" i="6"/>
  <c r="AA649" i="6"/>
  <c r="AA650" i="6"/>
  <c r="AA651" i="6"/>
  <c r="AA652" i="6"/>
  <c r="AA653" i="6"/>
  <c r="AA654" i="6"/>
  <c r="AA655" i="6"/>
  <c r="AA656" i="6"/>
  <c r="AA657" i="6"/>
  <c r="AA658" i="6"/>
  <c r="AA659" i="6"/>
  <c r="AA660" i="6"/>
  <c r="AA661" i="6"/>
  <c r="AA662" i="6"/>
  <c r="AA663" i="6"/>
  <c r="AA664" i="6"/>
  <c r="AA665" i="6"/>
  <c r="AA666" i="6"/>
  <c r="AA667" i="6"/>
  <c r="AA668" i="6"/>
  <c r="AA669" i="6"/>
  <c r="AA670" i="6"/>
  <c r="AA671" i="6"/>
  <c r="AA672" i="6"/>
  <c r="AA673" i="6"/>
  <c r="AA674" i="6"/>
  <c r="AA675" i="6"/>
  <c r="AA676" i="6"/>
  <c r="AA677" i="6"/>
  <c r="AA678" i="6"/>
  <c r="AA679" i="6"/>
  <c r="AA680" i="6"/>
  <c r="AA681" i="6"/>
  <c r="AA682" i="6"/>
  <c r="AA683" i="6"/>
  <c r="AA684" i="6"/>
  <c r="AA685" i="6"/>
  <c r="AA686" i="6"/>
  <c r="AA687" i="6"/>
  <c r="AA688" i="6"/>
  <c r="AA689" i="6"/>
  <c r="AA690" i="6"/>
  <c r="AA691" i="6"/>
  <c r="AA692" i="6"/>
  <c r="AA693" i="6"/>
  <c r="AA694" i="6"/>
  <c r="AA695" i="6"/>
  <c r="AA696" i="6"/>
  <c r="AA697" i="6"/>
  <c r="AA698" i="6"/>
  <c r="AA699" i="6"/>
  <c r="AA700" i="6"/>
  <c r="AA701" i="6"/>
  <c r="AA702" i="6"/>
  <c r="AA703" i="6"/>
  <c r="AA704" i="6"/>
  <c r="AA705" i="6"/>
  <c r="AA706" i="6"/>
  <c r="AA707" i="6"/>
  <c r="AA708" i="6"/>
  <c r="AA709" i="6"/>
  <c r="AA710" i="6"/>
  <c r="AA711" i="6"/>
  <c r="AA712" i="6"/>
  <c r="AA713" i="6"/>
  <c r="AA714" i="6"/>
  <c r="AA715" i="6"/>
  <c r="AA716" i="6"/>
  <c r="AA717" i="6"/>
  <c r="AA718" i="6"/>
  <c r="AA719" i="6"/>
  <c r="AA720" i="6"/>
  <c r="AA721" i="6"/>
  <c r="AA722" i="6"/>
  <c r="AA723" i="6"/>
  <c r="AA724" i="6"/>
  <c r="AA725" i="6"/>
  <c r="AA726" i="6"/>
  <c r="AA727" i="6"/>
  <c r="AA728" i="6"/>
  <c r="AA729" i="6"/>
  <c r="AA730" i="6"/>
  <c r="AA731" i="6"/>
  <c r="AA732" i="6"/>
  <c r="AA733" i="6"/>
  <c r="AA734" i="6"/>
  <c r="AA735" i="6"/>
  <c r="AA736" i="6"/>
  <c r="AA737" i="6"/>
  <c r="AA738" i="6"/>
  <c r="AA739" i="6"/>
  <c r="AA740" i="6"/>
  <c r="AA741" i="6"/>
  <c r="AA742" i="6"/>
  <c r="AA743" i="6"/>
  <c r="AA744" i="6"/>
  <c r="AA745" i="6"/>
  <c r="AA746" i="6"/>
  <c r="AA747" i="6"/>
  <c r="AA748" i="6"/>
  <c r="AA749" i="6"/>
  <c r="AA750" i="6"/>
  <c r="AA751" i="6"/>
  <c r="AA752" i="6"/>
  <c r="AA753" i="6"/>
  <c r="AA754" i="6"/>
  <c r="AA755" i="6"/>
  <c r="AA756" i="6"/>
  <c r="AA757" i="6"/>
  <c r="AA758" i="6"/>
  <c r="AA759" i="6"/>
  <c r="AA760" i="6"/>
  <c r="AA761" i="6"/>
  <c r="AA762" i="6"/>
  <c r="AA763" i="6"/>
  <c r="AA764" i="6"/>
  <c r="AA765" i="6"/>
  <c r="AA766" i="6"/>
  <c r="AA767" i="6"/>
  <c r="AA768" i="6"/>
  <c r="AA769" i="6"/>
  <c r="AA770" i="6"/>
  <c r="AA771" i="6"/>
  <c r="AA772" i="6"/>
  <c r="AA773" i="6"/>
  <c r="AA774" i="6"/>
  <c r="AA775" i="6"/>
  <c r="AA776" i="6"/>
  <c r="AA777" i="6"/>
  <c r="AA778" i="6"/>
  <c r="AA779" i="6"/>
  <c r="AA780" i="6"/>
  <c r="AA781" i="6"/>
  <c r="AA782" i="6"/>
  <c r="AA783" i="6"/>
  <c r="AA784" i="6"/>
  <c r="AA785" i="6"/>
  <c r="AA786" i="6"/>
  <c r="AA787" i="6"/>
  <c r="AA788" i="6"/>
  <c r="AA789" i="6"/>
  <c r="AA790" i="6"/>
  <c r="AA791" i="6"/>
  <c r="AA792" i="6"/>
  <c r="AA793" i="6"/>
  <c r="AA794" i="6"/>
  <c r="AA795" i="6"/>
  <c r="AA796" i="6"/>
  <c r="AA797" i="6"/>
  <c r="AA798" i="6"/>
  <c r="AA799" i="6"/>
  <c r="AA800" i="6"/>
  <c r="AA801" i="6"/>
  <c r="AA802" i="6"/>
  <c r="AA803" i="6"/>
  <c r="AA804" i="6"/>
  <c r="AA805" i="6"/>
  <c r="AA806" i="6"/>
  <c r="AA807" i="6"/>
  <c r="AA808" i="6"/>
  <c r="AA809" i="6"/>
  <c r="AA810" i="6"/>
  <c r="AA811" i="6"/>
  <c r="AA812" i="6"/>
  <c r="AA813" i="6"/>
  <c r="AA814" i="6"/>
  <c r="AA815" i="6"/>
  <c r="AA816" i="6"/>
  <c r="AA817" i="6"/>
  <c r="AA818" i="6"/>
  <c r="AA819" i="6"/>
  <c r="AA820" i="6"/>
  <c r="AA821" i="6"/>
  <c r="AA822" i="6"/>
  <c r="AA823" i="6"/>
  <c r="AA824" i="6"/>
  <c r="AA825" i="6"/>
  <c r="AA826" i="6"/>
  <c r="AA827" i="6"/>
  <c r="AA828" i="6"/>
  <c r="AA829" i="6"/>
  <c r="AA830" i="6"/>
  <c r="AA831" i="6"/>
  <c r="AA832" i="6"/>
  <c r="AA833" i="6"/>
  <c r="AA834" i="6"/>
  <c r="AA835" i="6"/>
  <c r="AA836" i="6"/>
  <c r="AA837" i="6"/>
  <c r="AA838" i="6"/>
  <c r="AA839" i="6"/>
  <c r="AA840" i="6"/>
  <c r="AA841" i="6"/>
  <c r="AA842" i="6"/>
  <c r="AA843" i="6"/>
  <c r="AA844" i="6"/>
  <c r="AA845" i="6"/>
  <c r="AA846" i="6"/>
  <c r="AA847" i="6"/>
  <c r="AA848" i="6"/>
  <c r="AA849" i="6"/>
  <c r="AA850" i="6"/>
  <c r="AA851" i="6"/>
  <c r="AA852" i="6"/>
  <c r="AA853" i="6"/>
  <c r="AA854" i="6"/>
  <c r="AA855" i="6"/>
  <c r="AA856" i="6"/>
  <c r="AA857" i="6"/>
  <c r="AA858" i="6"/>
  <c r="AA859" i="6"/>
  <c r="AA860" i="6"/>
  <c r="AA861" i="6"/>
  <c r="AA862" i="6"/>
  <c r="AA863" i="6"/>
  <c r="AA864" i="6"/>
  <c r="AA865" i="6"/>
  <c r="AA866" i="6"/>
  <c r="AA867" i="6"/>
  <c r="AA868" i="6"/>
  <c r="AA869" i="6"/>
  <c r="AA870" i="6"/>
  <c r="AA871" i="6"/>
  <c r="AA872" i="6"/>
  <c r="AA873" i="6"/>
  <c r="AA874" i="6"/>
  <c r="AA875" i="6"/>
  <c r="AA876" i="6"/>
  <c r="AA877" i="6"/>
  <c r="AA878" i="6"/>
  <c r="AA879" i="6"/>
  <c r="AA880" i="6"/>
  <c r="AA881" i="6"/>
  <c r="AA882" i="6"/>
  <c r="AA883" i="6"/>
  <c r="AA884" i="6"/>
  <c r="AA885" i="6"/>
  <c r="AA886" i="6"/>
  <c r="AA887" i="6"/>
  <c r="AA888" i="6"/>
  <c r="AA889" i="6"/>
  <c r="AA890" i="6"/>
  <c r="AA891" i="6"/>
  <c r="AA892" i="6"/>
  <c r="AA893" i="6"/>
  <c r="AA894" i="6"/>
  <c r="AA895" i="6"/>
  <c r="AA896" i="6"/>
  <c r="AA897" i="6"/>
  <c r="AA898" i="6"/>
  <c r="AA899" i="6"/>
  <c r="AA900" i="6"/>
  <c r="AA901" i="6"/>
  <c r="AA902" i="6"/>
  <c r="AA903" i="6"/>
  <c r="AA904" i="6"/>
  <c r="AA905" i="6"/>
  <c r="AA906" i="6"/>
  <c r="AA907" i="6"/>
  <c r="AA908" i="6"/>
  <c r="AA909" i="6"/>
  <c r="AA910" i="6"/>
  <c r="AA911" i="6"/>
  <c r="AA912" i="6"/>
  <c r="AA913" i="6"/>
  <c r="AA914" i="6"/>
  <c r="AA915" i="6"/>
  <c r="AA916" i="6"/>
  <c r="AA917" i="6"/>
  <c r="AA918" i="6"/>
  <c r="AA919" i="6"/>
  <c r="AA920" i="6"/>
  <c r="AA921" i="6"/>
  <c r="AA922" i="6"/>
  <c r="AA923" i="6"/>
  <c r="AA924" i="6"/>
  <c r="AA925" i="6"/>
  <c r="AA926" i="6"/>
  <c r="AA927" i="6"/>
  <c r="AA928" i="6"/>
  <c r="AA929" i="6"/>
  <c r="AA930" i="6"/>
  <c r="AA931" i="6"/>
  <c r="AA932" i="6"/>
  <c r="AA933" i="6"/>
  <c r="AA934" i="6"/>
  <c r="AA935" i="6"/>
  <c r="AA936" i="6"/>
  <c r="AA937" i="6"/>
  <c r="AA938" i="6"/>
  <c r="AA939" i="6"/>
  <c r="AA940" i="6"/>
  <c r="AA941" i="6"/>
  <c r="AA942" i="6"/>
  <c r="AA943" i="6"/>
  <c r="AA944" i="6"/>
  <c r="AA945" i="6"/>
  <c r="AA946" i="6"/>
  <c r="AA947" i="6"/>
  <c r="AA948" i="6"/>
  <c r="AA949" i="6"/>
  <c r="AA950" i="6"/>
  <c r="AA951" i="6"/>
  <c r="AA952" i="6"/>
  <c r="AA953" i="6"/>
  <c r="AA954" i="6"/>
  <c r="AA955" i="6"/>
  <c r="AA956" i="6"/>
  <c r="AA957" i="6"/>
  <c r="AA958" i="6"/>
  <c r="AA959" i="6"/>
  <c r="AA960" i="6"/>
  <c r="AA961" i="6"/>
  <c r="AA962" i="6"/>
  <c r="AA963" i="6"/>
  <c r="AA964" i="6"/>
  <c r="AA965" i="6"/>
  <c r="AA966" i="6"/>
  <c r="AA967" i="6"/>
  <c r="AA968" i="6"/>
  <c r="AA969" i="6"/>
  <c r="AA970" i="6"/>
  <c r="AA971" i="6"/>
  <c r="AA972" i="6"/>
  <c r="AA973" i="6"/>
  <c r="AA974" i="6"/>
  <c r="AA975" i="6"/>
  <c r="AA976" i="6"/>
  <c r="AA977" i="6"/>
  <c r="AA978" i="6"/>
  <c r="AA979" i="6"/>
  <c r="AA980" i="6"/>
  <c r="AA981" i="6"/>
  <c r="AA982" i="6"/>
  <c r="AA983" i="6"/>
  <c r="AA984" i="6"/>
  <c r="AA985" i="6"/>
  <c r="AA986" i="6"/>
  <c r="AA987" i="6"/>
  <c r="AA988" i="6"/>
  <c r="AA989" i="6"/>
  <c r="AA990" i="6"/>
  <c r="AA991" i="6"/>
  <c r="AA992" i="6"/>
  <c r="AA993" i="6"/>
  <c r="AA994" i="6"/>
  <c r="AA995" i="6"/>
  <c r="AA996" i="6"/>
  <c r="AA997" i="6"/>
  <c r="AA998" i="6"/>
  <c r="AA999" i="6"/>
  <c r="AA1000" i="6"/>
  <c r="AA1001" i="6"/>
  <c r="AA1002" i="6"/>
  <c r="AA1003" i="6"/>
  <c r="AA1004" i="6"/>
  <c r="AA1005" i="6"/>
  <c r="AA1006" i="6"/>
  <c r="AA1007" i="6"/>
  <c r="AA1008" i="6"/>
  <c r="AA1009" i="6"/>
  <c r="AA1010" i="6"/>
  <c r="AA1011" i="6"/>
  <c r="AA1012" i="6"/>
  <c r="AA1013" i="6"/>
  <c r="AA1014" i="6"/>
  <c r="AA1015" i="6"/>
  <c r="AA1016" i="6"/>
  <c r="AA1017" i="6"/>
  <c r="AA1018" i="6"/>
  <c r="AA1019" i="6"/>
  <c r="AA1020" i="6"/>
  <c r="AA1021" i="6"/>
  <c r="AA1022" i="6"/>
  <c r="AA1023" i="6"/>
  <c r="AA1024" i="6"/>
  <c r="AA1025" i="6"/>
  <c r="AA1026" i="6"/>
  <c r="AA1027" i="6"/>
  <c r="AA1028" i="6"/>
  <c r="AA1029" i="6"/>
  <c r="AA1030" i="6"/>
  <c r="AA1031" i="6"/>
  <c r="AA1032" i="6"/>
  <c r="AA1033" i="6"/>
  <c r="AA1034" i="6"/>
  <c r="AA1035" i="6"/>
  <c r="AA1036" i="6"/>
  <c r="AA1037" i="6"/>
  <c r="AA1038" i="6"/>
  <c r="AA1039" i="6"/>
  <c r="AA1040" i="6"/>
  <c r="AA1041" i="6"/>
  <c r="AA1042" i="6"/>
  <c r="AA1043" i="6"/>
  <c r="AA1044" i="6"/>
  <c r="AA1045" i="6"/>
  <c r="AA1046" i="6"/>
  <c r="AA1047" i="6"/>
  <c r="AA1048" i="6"/>
  <c r="AA1049" i="6"/>
  <c r="AA1050" i="6"/>
  <c r="AA1051" i="6"/>
  <c r="AA1052" i="6"/>
  <c r="AA1053" i="6"/>
  <c r="AA1054" i="6"/>
  <c r="AA1055" i="6"/>
  <c r="AA1056" i="6"/>
  <c r="AA1057" i="6"/>
  <c r="AA1058" i="6"/>
  <c r="AA1059" i="6"/>
  <c r="AA1060" i="6"/>
  <c r="AA1061" i="6"/>
  <c r="AA1062" i="6"/>
  <c r="AA1063" i="6"/>
  <c r="AA1064" i="6"/>
  <c r="AA1065" i="6"/>
  <c r="AA1066" i="6"/>
  <c r="AA1067" i="6"/>
  <c r="AA1068" i="6"/>
  <c r="AA1069" i="6"/>
  <c r="AA1070" i="6"/>
  <c r="AA1071" i="6"/>
  <c r="AA1072" i="6"/>
  <c r="AA1073" i="6"/>
  <c r="AA1074" i="6"/>
  <c r="AA1075" i="6"/>
  <c r="AA1076" i="6"/>
  <c r="AA1077" i="6"/>
  <c r="AA1078" i="6"/>
  <c r="AA1079" i="6"/>
  <c r="AA1080" i="6"/>
  <c r="AA1081" i="6"/>
  <c r="AA1082" i="6"/>
  <c r="AA1083" i="6"/>
  <c r="AA1084" i="6"/>
  <c r="AA1085" i="6"/>
  <c r="AA1086" i="6"/>
  <c r="AA1087" i="6"/>
  <c r="AA1088" i="6"/>
  <c r="AA1089" i="6"/>
  <c r="AA1090" i="6"/>
  <c r="AA1091" i="6"/>
  <c r="AA1092" i="6"/>
  <c r="AA1093" i="6"/>
  <c r="AA1094" i="6"/>
  <c r="AA1095" i="6"/>
  <c r="AA1096" i="6"/>
  <c r="AA1097" i="6"/>
  <c r="AA1098" i="6"/>
  <c r="AA1099" i="6"/>
  <c r="AA1100" i="6"/>
  <c r="AA1101" i="6"/>
  <c r="AA1102" i="6"/>
  <c r="AA1103" i="6"/>
  <c r="AA1104" i="6"/>
  <c r="AA1105" i="6"/>
  <c r="AA1106" i="6"/>
  <c r="AA1107" i="6"/>
  <c r="AA1108" i="6"/>
  <c r="AA1109" i="6"/>
  <c r="AA1110" i="6"/>
  <c r="AA1111" i="6"/>
  <c r="AA1112" i="6"/>
  <c r="AA1113" i="6"/>
  <c r="AA1114" i="6"/>
  <c r="AA1115" i="6"/>
  <c r="AA1116" i="6"/>
  <c r="AA1117" i="6"/>
  <c r="AA1118" i="6"/>
  <c r="AA1119" i="6"/>
  <c r="AA1120" i="6"/>
  <c r="AA1121" i="6"/>
  <c r="AA1122" i="6"/>
  <c r="AA1123" i="6"/>
  <c r="AA1124" i="6"/>
  <c r="AA1125" i="6"/>
  <c r="AA1126" i="6"/>
  <c r="AA1127" i="6"/>
  <c r="AA1128" i="6"/>
  <c r="AA1129" i="6"/>
  <c r="AA1130" i="6"/>
  <c r="AA1131" i="6"/>
  <c r="AA1132" i="6"/>
  <c r="AA1133" i="6"/>
  <c r="AA1134" i="6"/>
  <c r="AA1135" i="6"/>
  <c r="AA1136" i="6"/>
  <c r="AA1137" i="6"/>
  <c r="AA1138" i="6"/>
  <c r="AA1139" i="6"/>
  <c r="AA1140" i="6"/>
  <c r="AA1141" i="6"/>
  <c r="AA1142" i="6"/>
  <c r="AA1143" i="6"/>
  <c r="AA1144" i="6"/>
  <c r="AA1145" i="6"/>
  <c r="AA1146" i="6"/>
  <c r="AA1147" i="6"/>
  <c r="AA1148" i="6"/>
  <c r="AA1149" i="6"/>
  <c r="AA1150" i="6"/>
  <c r="AA1151" i="6"/>
  <c r="AA1152" i="6"/>
  <c r="AA1153" i="6"/>
  <c r="AA1154" i="6"/>
  <c r="AA1155" i="6"/>
  <c r="AA1156" i="6"/>
  <c r="AA1157" i="6"/>
  <c r="AA1158" i="6"/>
  <c r="AA1159" i="6"/>
  <c r="AA1160" i="6"/>
  <c r="AA1161" i="6"/>
  <c r="AA1162" i="6"/>
  <c r="AA1163" i="6"/>
  <c r="AA1164" i="6"/>
  <c r="AA1165" i="6"/>
  <c r="AA1166" i="6"/>
  <c r="AA1167" i="6"/>
  <c r="AA1168" i="6"/>
  <c r="AA1169" i="6"/>
  <c r="AA1170" i="6"/>
  <c r="AA1171" i="6"/>
  <c r="AA1172" i="6"/>
  <c r="AA1173" i="6"/>
  <c r="AA1174" i="6"/>
  <c r="AA1175" i="6"/>
  <c r="AA1176" i="6"/>
  <c r="AA1177" i="6"/>
  <c r="AA1178" i="6"/>
  <c r="AA1179" i="6"/>
  <c r="AA1180" i="6"/>
  <c r="AA1181" i="6"/>
  <c r="AA1182" i="6"/>
  <c r="AA1183" i="6"/>
  <c r="AA1184" i="6"/>
  <c r="AA1185" i="6"/>
  <c r="AA1186" i="6"/>
  <c r="AA1187" i="6"/>
  <c r="AA1188" i="6"/>
  <c r="AA1189" i="6"/>
  <c r="AA1190" i="6"/>
  <c r="AA1191" i="6"/>
  <c r="AA1192" i="6"/>
  <c r="AA1193" i="6"/>
  <c r="AA1194" i="6"/>
  <c r="AA1195" i="6"/>
  <c r="AA1196" i="6"/>
  <c r="AA1197" i="6"/>
  <c r="AA1198" i="6"/>
  <c r="AA1199" i="6"/>
  <c r="AA1200" i="6"/>
  <c r="AA1201" i="6"/>
  <c r="AA1202" i="6"/>
  <c r="AA1203" i="6"/>
  <c r="AA1204" i="6"/>
  <c r="AA1205" i="6"/>
  <c r="AA1206" i="6"/>
  <c r="AA1207" i="6"/>
  <c r="AA1208" i="6"/>
  <c r="AA1209" i="6"/>
  <c r="AA1210" i="6"/>
  <c r="AA1211" i="6"/>
  <c r="AA1212" i="6"/>
  <c r="AA1213" i="6"/>
  <c r="AA1214" i="6"/>
  <c r="AA1215" i="6"/>
  <c r="AA1216" i="6"/>
  <c r="AA1217" i="6"/>
  <c r="AA1218" i="6"/>
  <c r="AA1219" i="6"/>
  <c r="AA1220" i="6"/>
  <c r="AA1221" i="6"/>
  <c r="AA1222" i="6"/>
  <c r="AA1223" i="6"/>
  <c r="AA1224" i="6"/>
  <c r="AA1225" i="6"/>
  <c r="AA1226" i="6"/>
  <c r="AA1227" i="6"/>
  <c r="AA1228" i="6"/>
  <c r="AA1229" i="6"/>
  <c r="AA1230" i="6"/>
  <c r="AA1231" i="6"/>
  <c r="AA1232" i="6"/>
  <c r="AA1233" i="6"/>
  <c r="AA1234" i="6"/>
  <c r="AA1235" i="6"/>
  <c r="AA1236" i="6"/>
  <c r="AA1237" i="6"/>
  <c r="AA1238" i="6"/>
  <c r="AA1239" i="6"/>
  <c r="AA1240" i="6"/>
  <c r="AA1241" i="6"/>
  <c r="AA1242" i="6"/>
  <c r="AA1243" i="6"/>
  <c r="AA1244" i="6"/>
  <c r="AA1245" i="6"/>
  <c r="AA1246" i="6"/>
  <c r="AA1247" i="6"/>
  <c r="AA1248" i="6"/>
  <c r="AA1249" i="6"/>
  <c r="AA1250" i="6"/>
  <c r="AA1251" i="6"/>
  <c r="AA1252" i="6"/>
  <c r="AA1253" i="6"/>
  <c r="AA1254" i="6"/>
  <c r="AA1255" i="6"/>
  <c r="AA1256" i="6"/>
  <c r="AA1257" i="6"/>
  <c r="AA1258" i="6"/>
  <c r="AA1259" i="6"/>
  <c r="AA1260" i="6"/>
  <c r="AA1261" i="6"/>
  <c r="AA1262" i="6"/>
  <c r="AA1263" i="6"/>
  <c r="AA1264" i="6"/>
  <c r="AA1265" i="6"/>
  <c r="AA1266" i="6"/>
  <c r="AA1267" i="6"/>
  <c r="AA1268" i="6"/>
  <c r="AA1269" i="6"/>
  <c r="AA1270" i="6"/>
  <c r="AA1271" i="6"/>
  <c r="AA1272" i="6"/>
  <c r="AA1273" i="6"/>
  <c r="AA1274" i="6"/>
  <c r="AA1275" i="6"/>
  <c r="AA1276" i="6"/>
  <c r="AA1277" i="6"/>
  <c r="AA1278" i="6"/>
  <c r="AA1279" i="6"/>
  <c r="AA1280" i="6"/>
  <c r="AA1281" i="6"/>
  <c r="AA1282" i="6"/>
  <c r="AA1283" i="6"/>
  <c r="AA1284" i="6"/>
  <c r="AA1285" i="6"/>
  <c r="AA1286" i="6"/>
  <c r="AA1287" i="6"/>
  <c r="AA1288" i="6"/>
  <c r="AA1289" i="6"/>
  <c r="AA1290" i="6"/>
  <c r="AA1291" i="6"/>
  <c r="AA1292" i="6"/>
  <c r="AA1293" i="6"/>
  <c r="AA1294" i="6"/>
  <c r="AA1295" i="6"/>
  <c r="AA1296" i="6"/>
  <c r="AA1297" i="6"/>
  <c r="AA1298" i="6"/>
  <c r="AA1299" i="6"/>
  <c r="AA1300" i="6"/>
  <c r="AA1301" i="6"/>
  <c r="AA1302" i="6"/>
  <c r="AA1303" i="6"/>
  <c r="AA1304" i="6"/>
  <c r="AA1305" i="6"/>
  <c r="AA1306" i="6"/>
  <c r="AA1307" i="6"/>
  <c r="AA1308" i="6"/>
  <c r="AA1309" i="6"/>
  <c r="AA1310" i="6"/>
  <c r="AA1311" i="6"/>
  <c r="AA1312" i="6"/>
  <c r="AA1313" i="6"/>
  <c r="AA1314" i="6"/>
  <c r="AA1315" i="6"/>
  <c r="AA1316" i="6"/>
  <c r="AA1317" i="6"/>
  <c r="AA1318" i="6"/>
  <c r="AA1319" i="6"/>
  <c r="AA1320" i="6"/>
  <c r="AA1321" i="6"/>
  <c r="AA1322" i="6"/>
  <c r="AA1323" i="6"/>
  <c r="AA1324" i="6"/>
  <c r="AA1325" i="6"/>
  <c r="AA1326" i="6"/>
  <c r="AA1327" i="6"/>
  <c r="AA1328" i="6"/>
  <c r="AA1329" i="6"/>
  <c r="AA1330" i="6"/>
  <c r="AA1331" i="6"/>
  <c r="AA1332" i="6"/>
  <c r="AA1333" i="6"/>
  <c r="AA1334" i="6"/>
  <c r="AA1335" i="6"/>
  <c r="AA1336" i="6"/>
  <c r="AA1337" i="6"/>
  <c r="AA1338" i="6"/>
  <c r="AA1339" i="6"/>
  <c r="AA1340" i="6"/>
  <c r="AA1341" i="6"/>
  <c r="AA1342" i="6"/>
  <c r="AA1343" i="6"/>
  <c r="AA1344" i="6"/>
  <c r="AA1345" i="6"/>
  <c r="AA1346" i="6"/>
  <c r="AA1347" i="6"/>
  <c r="AA1348" i="6"/>
  <c r="AA1349" i="6"/>
  <c r="AA1350" i="6"/>
  <c r="AA1351" i="6"/>
  <c r="AA1352" i="6"/>
  <c r="AA1353" i="6"/>
  <c r="AA1354" i="6"/>
  <c r="AA1355" i="6"/>
  <c r="AA1356" i="6"/>
  <c r="AA1357" i="6"/>
  <c r="AA1358" i="6"/>
  <c r="AA1359" i="6"/>
  <c r="AA1360" i="6"/>
  <c r="AA1361" i="6"/>
  <c r="AA1362" i="6"/>
  <c r="AA1363" i="6"/>
  <c r="AA1364" i="6"/>
  <c r="AA1365" i="6"/>
  <c r="AA1366" i="6"/>
  <c r="AA1367" i="6"/>
  <c r="AA1368" i="6"/>
  <c r="AA1369" i="6"/>
  <c r="AA1370" i="6"/>
  <c r="AA1371" i="6"/>
  <c r="AA1372" i="6"/>
  <c r="AA1373" i="6"/>
  <c r="AA1374" i="6"/>
  <c r="AA1375" i="6"/>
  <c r="AA1376" i="6"/>
  <c r="AA1377" i="6"/>
  <c r="AA1378" i="6"/>
  <c r="AA1379" i="6"/>
  <c r="AA1380" i="6"/>
  <c r="AA1381" i="6"/>
  <c r="AA1382" i="6"/>
  <c r="AA1383" i="6"/>
  <c r="AA1384" i="6"/>
  <c r="AA1385" i="6"/>
  <c r="AA1386" i="6"/>
  <c r="AA1387" i="6"/>
  <c r="AA1388" i="6"/>
  <c r="AA1389" i="6"/>
  <c r="AA1390" i="6"/>
  <c r="AA1391" i="6"/>
  <c r="AA1392" i="6"/>
  <c r="AA1393" i="6"/>
  <c r="AA1394" i="6"/>
  <c r="AA1395" i="6"/>
  <c r="AA1396" i="6"/>
  <c r="AA1397" i="6"/>
  <c r="AA1398" i="6"/>
  <c r="AA1399" i="6"/>
  <c r="AA1400" i="6"/>
  <c r="AA1401" i="6"/>
  <c r="AA1402" i="6"/>
  <c r="AA1403" i="6"/>
  <c r="AA1404" i="6"/>
  <c r="AA1405" i="6"/>
  <c r="AA1406" i="6"/>
  <c r="AA1407" i="6"/>
  <c r="AA1408" i="6"/>
  <c r="AA1409" i="6"/>
  <c r="AA1410" i="6"/>
  <c r="AA1411" i="6"/>
  <c r="AA1412" i="6"/>
  <c r="AA1413" i="6"/>
  <c r="AA1414" i="6"/>
  <c r="AA1415" i="6"/>
  <c r="AA1416" i="6"/>
  <c r="AA1417" i="6"/>
  <c r="AA1418" i="6"/>
  <c r="AA1419" i="6"/>
  <c r="AA1420" i="6"/>
  <c r="AA1421" i="6"/>
  <c r="AA1422" i="6"/>
  <c r="AA1423" i="6"/>
  <c r="AA1424" i="6"/>
  <c r="AA1425" i="6"/>
  <c r="AA1426" i="6"/>
  <c r="AA1427" i="6"/>
  <c r="AA1428" i="6"/>
  <c r="AA1429" i="6"/>
  <c r="AA1430" i="6"/>
  <c r="AA1431" i="6"/>
  <c r="AA1432" i="6"/>
  <c r="AA1433" i="6"/>
  <c r="AA1434" i="6"/>
  <c r="AA1435" i="6"/>
  <c r="AA1436" i="6"/>
  <c r="AA1437" i="6"/>
  <c r="AA1438" i="6"/>
  <c r="AA1439" i="6"/>
  <c r="AA1440" i="6"/>
  <c r="AA1441" i="6"/>
  <c r="AA1442" i="6"/>
  <c r="AA1443" i="6"/>
  <c r="AA1444" i="6"/>
  <c r="AA1445" i="6"/>
  <c r="AA1446" i="6"/>
  <c r="AA1447" i="6"/>
  <c r="AA1448" i="6"/>
  <c r="AA1449" i="6"/>
  <c r="AA1450" i="6"/>
  <c r="AA1451" i="6"/>
  <c r="AA1452" i="6"/>
  <c r="AA1453" i="6"/>
  <c r="AA1454" i="6"/>
  <c r="AA1455" i="6"/>
  <c r="AA1456" i="6"/>
  <c r="AA1457" i="6"/>
  <c r="AA1458" i="6"/>
  <c r="AA1459" i="6"/>
  <c r="AA1460" i="6"/>
  <c r="AA1461" i="6"/>
  <c r="AA1462" i="6"/>
  <c r="AA1463" i="6"/>
  <c r="AA1464" i="6"/>
  <c r="AA1465" i="6"/>
  <c r="AA1466" i="6"/>
  <c r="AA1467" i="6"/>
  <c r="AA1468" i="6"/>
  <c r="AA1469" i="6"/>
  <c r="AA1470" i="6"/>
  <c r="AA1471" i="6"/>
  <c r="AA1472" i="6"/>
  <c r="AA1473" i="6"/>
  <c r="AA1474" i="6"/>
  <c r="AA1475" i="6"/>
  <c r="AA1476" i="6"/>
  <c r="AA1477" i="6"/>
  <c r="AA1478" i="6"/>
  <c r="AA1479" i="6"/>
  <c r="AA1480" i="6"/>
  <c r="AA1481" i="6"/>
  <c r="AA1482" i="6"/>
  <c r="AA1483" i="6"/>
  <c r="AA1484" i="6"/>
  <c r="AA1485" i="6"/>
  <c r="AA1486" i="6"/>
  <c r="AA1487" i="6"/>
  <c r="AA1488" i="6"/>
  <c r="AA1489" i="6"/>
  <c r="AA1490" i="6"/>
  <c r="AA1491" i="6"/>
  <c r="AA1492" i="6"/>
  <c r="AA1493" i="6"/>
  <c r="AA1494" i="6"/>
  <c r="AA1495" i="6"/>
  <c r="AA1496" i="6"/>
  <c r="AA1497" i="6"/>
  <c r="AA1498" i="6"/>
  <c r="AA1499" i="6"/>
  <c r="AA1500" i="6"/>
  <c r="AA1501" i="6"/>
  <c r="AA1502" i="6"/>
  <c r="AA1503" i="6"/>
  <c r="AA1504" i="6"/>
  <c r="AA1505" i="6"/>
  <c r="AA1506" i="6"/>
  <c r="AA1507" i="6"/>
  <c r="AA1508" i="6"/>
  <c r="AA1509" i="6"/>
  <c r="AA1510" i="6"/>
  <c r="AA1511" i="6"/>
  <c r="AA1512" i="6"/>
  <c r="AA1513" i="6"/>
  <c r="AA1514" i="6"/>
  <c r="AA1515" i="6"/>
  <c r="AA1516" i="6"/>
  <c r="AA1517" i="6"/>
  <c r="AA1518" i="6"/>
  <c r="AA1519" i="6"/>
  <c r="AA1520" i="6"/>
  <c r="AA1521" i="6"/>
  <c r="AA1522" i="6"/>
  <c r="AA1523" i="6"/>
  <c r="AA1524" i="6"/>
  <c r="AA1525" i="6"/>
  <c r="AA1526" i="6"/>
  <c r="AA1527" i="6"/>
  <c r="AA1528" i="6"/>
  <c r="AA1529" i="6"/>
  <c r="AA1530" i="6"/>
  <c r="AA1531" i="6"/>
  <c r="AA1532" i="6"/>
  <c r="AA1533" i="6"/>
  <c r="AA1534" i="6"/>
  <c r="AA1535" i="6"/>
  <c r="AA1536" i="6"/>
  <c r="AA1537" i="6"/>
  <c r="AA1538" i="6"/>
  <c r="AA1539" i="6"/>
  <c r="AA1540" i="6"/>
  <c r="AA1541" i="6"/>
  <c r="AA1542" i="6"/>
  <c r="AA1543" i="6"/>
  <c r="AA1544" i="6"/>
  <c r="AA1545" i="6"/>
  <c r="AA1546" i="6"/>
  <c r="AA1547" i="6"/>
  <c r="AA1548" i="6"/>
  <c r="AA1549" i="6"/>
  <c r="AA1550" i="6"/>
  <c r="AA1551" i="6"/>
  <c r="AA1552" i="6"/>
  <c r="AA1553" i="6"/>
  <c r="AA1554" i="6"/>
  <c r="AA1555" i="6"/>
  <c r="AA1556" i="6"/>
  <c r="AA1557" i="6"/>
  <c r="AA1558" i="6"/>
  <c r="AA1559" i="6"/>
  <c r="AA1560" i="6"/>
  <c r="AA1561" i="6"/>
  <c r="AA1562" i="6"/>
  <c r="AA1563" i="6"/>
  <c r="AA1564" i="6"/>
  <c r="AA1565" i="6"/>
  <c r="AA1566" i="6"/>
  <c r="AA1567" i="6"/>
  <c r="AA1568" i="6"/>
  <c r="AA1569" i="6"/>
  <c r="AA1570" i="6"/>
  <c r="AA1571" i="6"/>
  <c r="AA1572" i="6"/>
  <c r="AA1573" i="6"/>
  <c r="AA1574" i="6"/>
  <c r="AA1575" i="6"/>
  <c r="AA1576" i="6"/>
  <c r="AA1577" i="6"/>
  <c r="AA1578" i="6"/>
  <c r="AA1579" i="6"/>
  <c r="AA1580" i="6"/>
  <c r="AA1581" i="6"/>
  <c r="AA1582" i="6"/>
  <c r="AA1583" i="6"/>
  <c r="AA1584" i="6"/>
  <c r="AA1585" i="6"/>
  <c r="AA1586" i="6"/>
  <c r="AA1587" i="6"/>
  <c r="AA1588" i="6"/>
  <c r="AA1589" i="6"/>
  <c r="AA1590" i="6"/>
  <c r="AA1591" i="6"/>
  <c r="AA1592" i="6"/>
  <c r="AA1593" i="6"/>
  <c r="AA1594" i="6"/>
  <c r="AA1595" i="6"/>
  <c r="AA1596" i="6"/>
  <c r="AA1597" i="6"/>
  <c r="AA1598" i="6"/>
  <c r="AA1599" i="6"/>
  <c r="AA1600" i="6"/>
  <c r="AA1601" i="6"/>
  <c r="AA1602" i="6"/>
  <c r="AA1603" i="6"/>
  <c r="AA1604" i="6"/>
  <c r="AA1605" i="6"/>
  <c r="AA1606" i="6"/>
  <c r="AA1607" i="6"/>
  <c r="AA1608" i="6"/>
  <c r="AA1609" i="6"/>
  <c r="AA1610" i="6"/>
  <c r="AA1611" i="6"/>
  <c r="AA1612" i="6"/>
  <c r="AA1613" i="6"/>
  <c r="AA1614" i="6"/>
  <c r="AA1615" i="6"/>
  <c r="AA1616" i="6"/>
  <c r="AA1617" i="6"/>
  <c r="AA1618" i="6"/>
  <c r="AA1619" i="6"/>
  <c r="AA1620" i="6"/>
  <c r="AA1621" i="6"/>
  <c r="AA1622" i="6"/>
  <c r="AA1623" i="6"/>
  <c r="AA1624" i="6"/>
  <c r="AA1625" i="6"/>
  <c r="AA1626" i="6"/>
  <c r="AA1627" i="6"/>
  <c r="AA1628" i="6"/>
  <c r="AA1629" i="6"/>
  <c r="AA1630" i="6"/>
  <c r="AA1631" i="6"/>
  <c r="AA1632" i="6"/>
  <c r="AA1633" i="6"/>
  <c r="AA1634" i="6"/>
  <c r="AA1635" i="6"/>
  <c r="AA1636" i="6"/>
  <c r="AA1637" i="6"/>
  <c r="AA1638" i="6"/>
  <c r="AA1639" i="6"/>
  <c r="AA1640" i="6"/>
  <c r="AA1641" i="6"/>
  <c r="AA1642" i="6"/>
  <c r="AA1643" i="6"/>
  <c r="AA1644" i="6"/>
  <c r="AA1645" i="6"/>
  <c r="AA1646" i="6"/>
  <c r="AA1647" i="6"/>
  <c r="AA1648" i="6"/>
  <c r="AA1649" i="6"/>
  <c r="AA1650" i="6"/>
  <c r="AA1651" i="6"/>
  <c r="AA1652" i="6"/>
  <c r="AA1653" i="6"/>
  <c r="AA1654" i="6"/>
  <c r="AA1655" i="6"/>
  <c r="AA1656" i="6"/>
  <c r="AA1657" i="6"/>
  <c r="AA1658" i="6"/>
  <c r="AA1659" i="6"/>
  <c r="AA1660" i="6"/>
  <c r="AA1661" i="6"/>
  <c r="AA1662" i="6"/>
  <c r="AA1663" i="6"/>
  <c r="AA1664" i="6"/>
  <c r="AA1665" i="6"/>
  <c r="AA1666" i="6"/>
  <c r="AA1667" i="6"/>
  <c r="AA1668" i="6"/>
  <c r="AA1669" i="6"/>
  <c r="AA1670" i="6"/>
  <c r="AA1671" i="6"/>
  <c r="AA1672" i="6"/>
  <c r="AA1673" i="6"/>
  <c r="AA1674" i="6"/>
  <c r="AA1675" i="6"/>
  <c r="AA1676" i="6"/>
  <c r="AA1677" i="6"/>
  <c r="AA1678" i="6"/>
  <c r="AA1679" i="6"/>
  <c r="AA1680" i="6"/>
  <c r="AA1681" i="6"/>
  <c r="AA1682" i="6"/>
  <c r="AA1683" i="6"/>
  <c r="AA1684" i="6"/>
  <c r="AA1685" i="6"/>
  <c r="AA1686" i="6"/>
  <c r="AA1687" i="6"/>
  <c r="AA1688" i="6"/>
  <c r="AA1689" i="6"/>
  <c r="AA1690" i="6"/>
  <c r="AA1691" i="6"/>
  <c r="AA1692" i="6"/>
  <c r="AA1693" i="6"/>
  <c r="AA1694" i="6"/>
  <c r="AA1695" i="6"/>
  <c r="AA1696" i="6"/>
  <c r="AA1697" i="6"/>
  <c r="AA1698" i="6"/>
  <c r="AA1699" i="6"/>
  <c r="AA1700" i="6"/>
  <c r="AA1701" i="6"/>
  <c r="AA1702" i="6"/>
  <c r="AA1703" i="6"/>
  <c r="AA1704" i="6"/>
  <c r="AA1705" i="6"/>
  <c r="AA1706" i="6"/>
  <c r="AA1707" i="6"/>
  <c r="AA1708" i="6"/>
  <c r="AA1709" i="6"/>
  <c r="AA1710" i="6"/>
  <c r="AA1711" i="6"/>
  <c r="AA1712" i="6"/>
  <c r="AA1713" i="6"/>
  <c r="AA1714" i="6"/>
  <c r="AA1715" i="6"/>
  <c r="AA1716" i="6"/>
  <c r="AA1717" i="6"/>
  <c r="AA1718" i="6"/>
  <c r="AA1719" i="6"/>
  <c r="AA1720" i="6"/>
  <c r="AA1721" i="6"/>
  <c r="AA1722" i="6"/>
  <c r="AA1723" i="6"/>
  <c r="AA1724" i="6"/>
  <c r="AA1725" i="6"/>
  <c r="AA1726" i="6"/>
  <c r="AA1727" i="6"/>
  <c r="AA1728" i="6"/>
  <c r="AA1729" i="6"/>
  <c r="AA1730" i="6"/>
  <c r="AA1731" i="6"/>
  <c r="AA1732" i="6"/>
  <c r="AA1733" i="6"/>
  <c r="AA1734" i="6"/>
  <c r="AA1735" i="6"/>
  <c r="AA1736" i="6"/>
  <c r="AA1737" i="6"/>
  <c r="AA1738" i="6"/>
  <c r="AA1739" i="6"/>
  <c r="AA1740" i="6"/>
  <c r="AA1741" i="6"/>
  <c r="AA1742" i="6"/>
  <c r="AA1743" i="6"/>
  <c r="AA1744" i="6"/>
  <c r="AA1745" i="6"/>
  <c r="AA1746" i="6"/>
  <c r="AA1747" i="6"/>
  <c r="AA1748" i="6"/>
  <c r="AA1749" i="6"/>
  <c r="AA1750" i="6"/>
  <c r="AA1751" i="6"/>
  <c r="AA1752" i="6"/>
  <c r="AA1753" i="6"/>
  <c r="AA1754" i="6"/>
  <c r="AA1755" i="6"/>
  <c r="AA1756" i="6"/>
  <c r="AA1757" i="6"/>
  <c r="AA1758" i="6"/>
  <c r="AA1759" i="6"/>
  <c r="AA1760" i="6"/>
  <c r="AA1761" i="6"/>
  <c r="AA1762" i="6"/>
  <c r="AA1763" i="6"/>
  <c r="AA1764" i="6"/>
  <c r="AA1765" i="6"/>
  <c r="AA1766" i="6"/>
  <c r="AA1767" i="6"/>
  <c r="AA1768" i="6"/>
  <c r="AA1769" i="6"/>
  <c r="AA1770" i="6"/>
  <c r="AA1771" i="6"/>
  <c r="AA1772" i="6"/>
  <c r="AA1773" i="6"/>
  <c r="AA1774" i="6"/>
  <c r="AA1775" i="6"/>
  <c r="AA1776" i="6"/>
  <c r="AA1777" i="6"/>
  <c r="AA1778" i="6"/>
  <c r="AA1779" i="6"/>
  <c r="AA1780" i="6"/>
  <c r="AA1781" i="6"/>
  <c r="AA1782" i="6"/>
  <c r="AA1783" i="6"/>
  <c r="AA1784" i="6"/>
  <c r="AA1785" i="6"/>
  <c r="AA1786" i="6"/>
  <c r="AA1787" i="6"/>
  <c r="AA1788" i="6"/>
  <c r="AA1789" i="6"/>
  <c r="AA1790" i="6"/>
  <c r="AA1791" i="6"/>
  <c r="AA1792" i="6"/>
  <c r="AA1793" i="6"/>
  <c r="AA1794" i="6"/>
  <c r="AA1795" i="6"/>
  <c r="AA1796" i="6"/>
  <c r="AA1797" i="6"/>
  <c r="AA1798" i="6"/>
  <c r="AA1799" i="6"/>
  <c r="AA1800" i="6"/>
  <c r="AA1801" i="6"/>
  <c r="AA1802" i="6"/>
  <c r="AA1803" i="6"/>
  <c r="AA1804" i="6"/>
  <c r="AA1805" i="6"/>
  <c r="AA1806" i="6"/>
  <c r="AA1807" i="6"/>
  <c r="AA1808" i="6"/>
  <c r="AA1809" i="6"/>
  <c r="AA1810" i="6"/>
  <c r="AA1811" i="6"/>
  <c r="AA1812" i="6"/>
  <c r="AA1813" i="6"/>
  <c r="AA1814" i="6"/>
  <c r="AA1815" i="6"/>
  <c r="AA1816" i="6"/>
  <c r="AA1817" i="6"/>
  <c r="AA1818" i="6"/>
  <c r="AA1819" i="6"/>
  <c r="AA1820" i="6"/>
  <c r="AA1821" i="6"/>
  <c r="AA1822" i="6"/>
  <c r="AA1823" i="6"/>
  <c r="AA1824" i="6"/>
  <c r="AA1825" i="6"/>
  <c r="AA1826" i="6"/>
  <c r="AA1827" i="6"/>
  <c r="AA1828" i="6"/>
  <c r="AA1829" i="6"/>
  <c r="AA1830" i="6"/>
  <c r="AA1831" i="6"/>
  <c r="AA1832" i="6"/>
  <c r="AA1833" i="6"/>
  <c r="AA1834" i="6"/>
  <c r="AA1835" i="6"/>
  <c r="AA1836" i="6"/>
  <c r="AA1837" i="6"/>
  <c r="AA1838" i="6"/>
  <c r="AA1839" i="6"/>
  <c r="AA1840" i="6"/>
  <c r="AA1841" i="6"/>
  <c r="AA1842" i="6"/>
  <c r="AA1843" i="6"/>
  <c r="AA1844" i="6"/>
  <c r="AA1845" i="6"/>
  <c r="AA1846" i="6"/>
  <c r="AA1847" i="6"/>
  <c r="AA1848" i="6"/>
  <c r="AA1849" i="6"/>
  <c r="AA1850" i="6"/>
  <c r="AA1851" i="6"/>
  <c r="AA1852" i="6"/>
  <c r="AA1853" i="6"/>
  <c r="AA1854" i="6"/>
  <c r="AA1855" i="6"/>
  <c r="AA1856" i="6"/>
  <c r="AA1857" i="6"/>
  <c r="AA1858" i="6"/>
  <c r="AA1859" i="6"/>
  <c r="AA1860" i="6"/>
  <c r="AA1861" i="6"/>
  <c r="AA1862" i="6"/>
  <c r="AA1863" i="6"/>
  <c r="AA1864" i="6"/>
  <c r="AA1865" i="6"/>
  <c r="AA1866" i="6"/>
  <c r="AA1867" i="6"/>
  <c r="AA1868" i="6"/>
  <c r="AA1869" i="6"/>
  <c r="AA1870" i="6"/>
  <c r="AA1871" i="6"/>
  <c r="AA1872" i="6"/>
  <c r="AA1873" i="6"/>
  <c r="AA1874" i="6"/>
  <c r="AA1875" i="6"/>
  <c r="AA1876" i="6"/>
  <c r="AA1877" i="6"/>
  <c r="AA1878" i="6"/>
  <c r="AA1879" i="6"/>
  <c r="AA1880" i="6"/>
  <c r="AA1881" i="6"/>
  <c r="AA1882" i="6"/>
  <c r="AA1883" i="6"/>
  <c r="AA1884" i="6"/>
  <c r="AA1885" i="6"/>
  <c r="AA1886" i="6"/>
  <c r="AA1887" i="6"/>
  <c r="AA1888" i="6"/>
  <c r="AA1889" i="6"/>
  <c r="AA1890" i="6"/>
  <c r="AA1891" i="6"/>
  <c r="AA1892" i="6"/>
  <c r="AA1893" i="6"/>
  <c r="AA1894" i="6"/>
  <c r="AA1895" i="6"/>
  <c r="AA1896" i="6"/>
  <c r="AA1897" i="6"/>
  <c r="AA1898" i="6"/>
  <c r="AA1899" i="6"/>
  <c r="AA1900" i="6"/>
  <c r="AA1901" i="6"/>
  <c r="AA1902" i="6"/>
  <c r="AA1903" i="6"/>
  <c r="AA1904" i="6"/>
  <c r="AA1905" i="6"/>
  <c r="AA1906" i="6"/>
  <c r="AA1907" i="6"/>
  <c r="AA1908" i="6"/>
  <c r="AA1909" i="6"/>
  <c r="AA1910" i="6"/>
  <c r="AA1911" i="6"/>
  <c r="AA1912" i="6"/>
  <c r="AA1913" i="6"/>
  <c r="AA1914" i="6"/>
  <c r="AA1915" i="6"/>
  <c r="AA1916" i="6"/>
  <c r="AA1917" i="6"/>
  <c r="AA1918" i="6"/>
  <c r="AA1919" i="6"/>
  <c r="AA1920" i="6"/>
  <c r="AA1921" i="6"/>
  <c r="AA1922" i="6"/>
  <c r="AA1923" i="6"/>
  <c r="AA1924" i="6"/>
  <c r="AA1925" i="6"/>
  <c r="AA1926" i="6"/>
  <c r="AA1927" i="6"/>
  <c r="AA1928" i="6"/>
  <c r="AA1929" i="6"/>
  <c r="AA1930" i="6"/>
  <c r="AA1931" i="6"/>
  <c r="AA1932" i="6"/>
  <c r="AA1933" i="6"/>
  <c r="AA1934" i="6"/>
  <c r="AA1935" i="6"/>
  <c r="AA1936" i="6"/>
  <c r="AA1937" i="6"/>
  <c r="AA1938" i="6"/>
  <c r="AA1939" i="6"/>
  <c r="AA1940" i="6"/>
  <c r="AA1941" i="6"/>
  <c r="AA1942" i="6"/>
  <c r="AA1943" i="6"/>
  <c r="AA1944" i="6"/>
  <c r="AA1945" i="6"/>
  <c r="AA1946" i="6"/>
  <c r="AA1947" i="6"/>
  <c r="AA1948" i="6"/>
  <c r="AA1949" i="6"/>
  <c r="AA1950" i="6"/>
  <c r="AA1951" i="6"/>
  <c r="AA1952" i="6"/>
  <c r="AA1953" i="6"/>
  <c r="AA195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1" i="6"/>
  <c r="Z212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7" i="6"/>
  <c r="Z268" i="6"/>
  <c r="Z269" i="6"/>
  <c r="Z270" i="6"/>
  <c r="Z271" i="6"/>
  <c r="Z272" i="6"/>
  <c r="Z273" i="6"/>
  <c r="Z274" i="6"/>
  <c r="Z275" i="6"/>
  <c r="Z276" i="6"/>
  <c r="Z277" i="6"/>
  <c r="Z278" i="6"/>
  <c r="Z279" i="6"/>
  <c r="Z28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5" i="6"/>
  <c r="Z296" i="6"/>
  <c r="Z297" i="6"/>
  <c r="Z298" i="6"/>
  <c r="Z299" i="6"/>
  <c r="Z300" i="6"/>
  <c r="Z301" i="6"/>
  <c r="Z302" i="6"/>
  <c r="Z303" i="6"/>
  <c r="Z304" i="6"/>
  <c r="Z305" i="6"/>
  <c r="Z306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320" i="6"/>
  <c r="Z321" i="6"/>
  <c r="Z322" i="6"/>
  <c r="Z323" i="6"/>
  <c r="Z324" i="6"/>
  <c r="Z325" i="6"/>
  <c r="Z326" i="6"/>
  <c r="Z327" i="6"/>
  <c r="Z328" i="6"/>
  <c r="Z329" i="6"/>
  <c r="Z330" i="6"/>
  <c r="Z331" i="6"/>
  <c r="Z332" i="6"/>
  <c r="Z333" i="6"/>
  <c r="Z334" i="6"/>
  <c r="Z335" i="6"/>
  <c r="Z336" i="6"/>
  <c r="Z337" i="6"/>
  <c r="Z338" i="6"/>
  <c r="Z339" i="6"/>
  <c r="Z340" i="6"/>
  <c r="Z341" i="6"/>
  <c r="Z342" i="6"/>
  <c r="Z343" i="6"/>
  <c r="Z344" i="6"/>
  <c r="Z345" i="6"/>
  <c r="Z346" i="6"/>
  <c r="Z347" i="6"/>
  <c r="Z348" i="6"/>
  <c r="Z349" i="6"/>
  <c r="Z350" i="6"/>
  <c r="Z351" i="6"/>
  <c r="Z352" i="6"/>
  <c r="Z353" i="6"/>
  <c r="Z354" i="6"/>
  <c r="Z355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374" i="6"/>
  <c r="Z375" i="6"/>
  <c r="Z376" i="6"/>
  <c r="Z377" i="6"/>
  <c r="Z378" i="6"/>
  <c r="Z379" i="6"/>
  <c r="Z380" i="6"/>
  <c r="Z381" i="6"/>
  <c r="Z382" i="6"/>
  <c r="Z383" i="6"/>
  <c r="Z384" i="6"/>
  <c r="Z385" i="6"/>
  <c r="Z386" i="6"/>
  <c r="Z387" i="6"/>
  <c r="Z388" i="6"/>
  <c r="Z389" i="6"/>
  <c r="Z390" i="6"/>
  <c r="Z391" i="6"/>
  <c r="Z392" i="6"/>
  <c r="Z393" i="6"/>
  <c r="Z394" i="6"/>
  <c r="Z395" i="6"/>
  <c r="Z396" i="6"/>
  <c r="Z397" i="6"/>
  <c r="Z398" i="6"/>
  <c r="Z399" i="6"/>
  <c r="Z400" i="6"/>
  <c r="Z401" i="6"/>
  <c r="Z402" i="6"/>
  <c r="Z403" i="6"/>
  <c r="Z404" i="6"/>
  <c r="Z405" i="6"/>
  <c r="Z406" i="6"/>
  <c r="Z407" i="6"/>
  <c r="Z408" i="6"/>
  <c r="Z409" i="6"/>
  <c r="Z410" i="6"/>
  <c r="Z411" i="6"/>
  <c r="Z412" i="6"/>
  <c r="Z413" i="6"/>
  <c r="Z414" i="6"/>
  <c r="Z415" i="6"/>
  <c r="Z416" i="6"/>
  <c r="Z417" i="6"/>
  <c r="Z418" i="6"/>
  <c r="Z419" i="6"/>
  <c r="Z420" i="6"/>
  <c r="Z421" i="6"/>
  <c r="Z422" i="6"/>
  <c r="Z423" i="6"/>
  <c r="Z424" i="6"/>
  <c r="Z425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Z534" i="6"/>
  <c r="Z535" i="6"/>
  <c r="Z536" i="6"/>
  <c r="Z537" i="6"/>
  <c r="Z538" i="6"/>
  <c r="Z539" i="6"/>
  <c r="Z540" i="6"/>
  <c r="Z541" i="6"/>
  <c r="Z542" i="6"/>
  <c r="Z543" i="6"/>
  <c r="Z544" i="6"/>
  <c r="Z545" i="6"/>
  <c r="Z546" i="6"/>
  <c r="Z547" i="6"/>
  <c r="Z548" i="6"/>
  <c r="Z549" i="6"/>
  <c r="Z550" i="6"/>
  <c r="Z551" i="6"/>
  <c r="Z552" i="6"/>
  <c r="Z553" i="6"/>
  <c r="Z554" i="6"/>
  <c r="Z555" i="6"/>
  <c r="Z556" i="6"/>
  <c r="Z557" i="6"/>
  <c r="Z558" i="6"/>
  <c r="Z559" i="6"/>
  <c r="Z560" i="6"/>
  <c r="Z561" i="6"/>
  <c r="Z562" i="6"/>
  <c r="Z563" i="6"/>
  <c r="Z564" i="6"/>
  <c r="Z565" i="6"/>
  <c r="Z566" i="6"/>
  <c r="Z567" i="6"/>
  <c r="Z568" i="6"/>
  <c r="Z569" i="6"/>
  <c r="Z570" i="6"/>
  <c r="Z571" i="6"/>
  <c r="Z572" i="6"/>
  <c r="Z573" i="6"/>
  <c r="Z574" i="6"/>
  <c r="Z575" i="6"/>
  <c r="Z576" i="6"/>
  <c r="Z577" i="6"/>
  <c r="Z578" i="6"/>
  <c r="Z579" i="6"/>
  <c r="Z580" i="6"/>
  <c r="Z581" i="6"/>
  <c r="Z582" i="6"/>
  <c r="Z583" i="6"/>
  <c r="Z584" i="6"/>
  <c r="Z585" i="6"/>
  <c r="Z586" i="6"/>
  <c r="Z587" i="6"/>
  <c r="Z588" i="6"/>
  <c r="Z589" i="6"/>
  <c r="Z590" i="6"/>
  <c r="Z591" i="6"/>
  <c r="Z592" i="6"/>
  <c r="Z593" i="6"/>
  <c r="Z594" i="6"/>
  <c r="Z595" i="6"/>
  <c r="Z596" i="6"/>
  <c r="Z597" i="6"/>
  <c r="Z598" i="6"/>
  <c r="Z599" i="6"/>
  <c r="Z600" i="6"/>
  <c r="Z601" i="6"/>
  <c r="Z602" i="6"/>
  <c r="Z603" i="6"/>
  <c r="Z604" i="6"/>
  <c r="Z605" i="6"/>
  <c r="Z606" i="6"/>
  <c r="Z607" i="6"/>
  <c r="Z608" i="6"/>
  <c r="Z609" i="6"/>
  <c r="Z610" i="6"/>
  <c r="Z611" i="6"/>
  <c r="Z612" i="6"/>
  <c r="Z613" i="6"/>
  <c r="Z614" i="6"/>
  <c r="Z615" i="6"/>
  <c r="Z616" i="6"/>
  <c r="Z617" i="6"/>
  <c r="Z618" i="6"/>
  <c r="Z619" i="6"/>
  <c r="Z620" i="6"/>
  <c r="Z621" i="6"/>
  <c r="Z622" i="6"/>
  <c r="Z623" i="6"/>
  <c r="Z624" i="6"/>
  <c r="Z625" i="6"/>
  <c r="Z626" i="6"/>
  <c r="Z627" i="6"/>
  <c r="Z628" i="6"/>
  <c r="Z629" i="6"/>
  <c r="Z630" i="6"/>
  <c r="Z631" i="6"/>
  <c r="Z632" i="6"/>
  <c r="Z633" i="6"/>
  <c r="Z634" i="6"/>
  <c r="Z635" i="6"/>
  <c r="Z636" i="6"/>
  <c r="Z637" i="6"/>
  <c r="Z638" i="6"/>
  <c r="Z639" i="6"/>
  <c r="Z640" i="6"/>
  <c r="Z641" i="6"/>
  <c r="Z642" i="6"/>
  <c r="Z643" i="6"/>
  <c r="Z644" i="6"/>
  <c r="Z645" i="6"/>
  <c r="Z646" i="6"/>
  <c r="Z647" i="6"/>
  <c r="Z648" i="6"/>
  <c r="Z649" i="6"/>
  <c r="Z650" i="6"/>
  <c r="Z651" i="6"/>
  <c r="Z652" i="6"/>
  <c r="Z653" i="6"/>
  <c r="Z654" i="6"/>
  <c r="Z655" i="6"/>
  <c r="Z656" i="6"/>
  <c r="Z657" i="6"/>
  <c r="Z658" i="6"/>
  <c r="Z659" i="6"/>
  <c r="Z660" i="6"/>
  <c r="Z661" i="6"/>
  <c r="Z662" i="6"/>
  <c r="Z663" i="6"/>
  <c r="Z664" i="6"/>
  <c r="Z665" i="6"/>
  <c r="Z666" i="6"/>
  <c r="Z667" i="6"/>
  <c r="Z668" i="6"/>
  <c r="Z669" i="6"/>
  <c r="Z670" i="6"/>
  <c r="Z671" i="6"/>
  <c r="Z672" i="6"/>
  <c r="Z673" i="6"/>
  <c r="Z674" i="6"/>
  <c r="Z675" i="6"/>
  <c r="Z676" i="6"/>
  <c r="Z677" i="6"/>
  <c r="Z678" i="6"/>
  <c r="Z679" i="6"/>
  <c r="Z680" i="6"/>
  <c r="Z681" i="6"/>
  <c r="Z682" i="6"/>
  <c r="Z683" i="6"/>
  <c r="Z684" i="6"/>
  <c r="Z685" i="6"/>
  <c r="Z686" i="6"/>
  <c r="Z687" i="6"/>
  <c r="Z688" i="6"/>
  <c r="Z689" i="6"/>
  <c r="Z690" i="6"/>
  <c r="Z691" i="6"/>
  <c r="Z692" i="6"/>
  <c r="Z693" i="6"/>
  <c r="Z694" i="6"/>
  <c r="Z695" i="6"/>
  <c r="Z696" i="6"/>
  <c r="Z697" i="6"/>
  <c r="Z698" i="6"/>
  <c r="Z699" i="6"/>
  <c r="Z700" i="6"/>
  <c r="Z701" i="6"/>
  <c r="Z702" i="6"/>
  <c r="Z703" i="6"/>
  <c r="Z704" i="6"/>
  <c r="Z705" i="6"/>
  <c r="Z706" i="6"/>
  <c r="Z707" i="6"/>
  <c r="Z708" i="6"/>
  <c r="Z709" i="6"/>
  <c r="Z710" i="6"/>
  <c r="Z711" i="6"/>
  <c r="Z712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30" i="6"/>
  <c r="Z731" i="6"/>
  <c r="Z732" i="6"/>
  <c r="Z733" i="6"/>
  <c r="Z734" i="6"/>
  <c r="Z735" i="6"/>
  <c r="Z736" i="6"/>
  <c r="Z737" i="6"/>
  <c r="Z738" i="6"/>
  <c r="Z739" i="6"/>
  <c r="Z740" i="6"/>
  <c r="Z741" i="6"/>
  <c r="Z742" i="6"/>
  <c r="Z743" i="6"/>
  <c r="Z744" i="6"/>
  <c r="Z745" i="6"/>
  <c r="Z746" i="6"/>
  <c r="Z747" i="6"/>
  <c r="Z748" i="6"/>
  <c r="Z749" i="6"/>
  <c r="Z750" i="6"/>
  <c r="Z751" i="6"/>
  <c r="Z752" i="6"/>
  <c r="Z753" i="6"/>
  <c r="Z754" i="6"/>
  <c r="Z755" i="6"/>
  <c r="Z756" i="6"/>
  <c r="Z757" i="6"/>
  <c r="Z758" i="6"/>
  <c r="Z759" i="6"/>
  <c r="Z760" i="6"/>
  <c r="Z761" i="6"/>
  <c r="Z762" i="6"/>
  <c r="Z763" i="6"/>
  <c r="Z764" i="6"/>
  <c r="Z765" i="6"/>
  <c r="Z766" i="6"/>
  <c r="Z767" i="6"/>
  <c r="Z768" i="6"/>
  <c r="Z769" i="6"/>
  <c r="Z770" i="6"/>
  <c r="Z771" i="6"/>
  <c r="Z772" i="6"/>
  <c r="Z773" i="6"/>
  <c r="Z774" i="6"/>
  <c r="Z775" i="6"/>
  <c r="Z776" i="6"/>
  <c r="Z777" i="6"/>
  <c r="Z778" i="6"/>
  <c r="Z779" i="6"/>
  <c r="Z780" i="6"/>
  <c r="Z781" i="6"/>
  <c r="Z782" i="6"/>
  <c r="Z783" i="6"/>
  <c r="Z784" i="6"/>
  <c r="Z785" i="6"/>
  <c r="Z786" i="6"/>
  <c r="Z787" i="6"/>
  <c r="Z788" i="6"/>
  <c r="Z789" i="6"/>
  <c r="Z790" i="6"/>
  <c r="Z791" i="6"/>
  <c r="Z792" i="6"/>
  <c r="Z793" i="6"/>
  <c r="Z794" i="6"/>
  <c r="Z795" i="6"/>
  <c r="Z796" i="6"/>
  <c r="Z797" i="6"/>
  <c r="Z798" i="6"/>
  <c r="Z799" i="6"/>
  <c r="Z800" i="6"/>
  <c r="Z801" i="6"/>
  <c r="Z802" i="6"/>
  <c r="Z803" i="6"/>
  <c r="Z804" i="6"/>
  <c r="Z805" i="6"/>
  <c r="Z806" i="6"/>
  <c r="Z807" i="6"/>
  <c r="Z808" i="6"/>
  <c r="Z809" i="6"/>
  <c r="Z810" i="6"/>
  <c r="Z811" i="6"/>
  <c r="Z812" i="6"/>
  <c r="Z813" i="6"/>
  <c r="Z814" i="6"/>
  <c r="Z815" i="6"/>
  <c r="Z816" i="6"/>
  <c r="Z817" i="6"/>
  <c r="Z818" i="6"/>
  <c r="Z819" i="6"/>
  <c r="Z820" i="6"/>
  <c r="Z821" i="6"/>
  <c r="Z822" i="6"/>
  <c r="Z823" i="6"/>
  <c r="Z824" i="6"/>
  <c r="Z825" i="6"/>
  <c r="Z826" i="6"/>
  <c r="Z827" i="6"/>
  <c r="Z828" i="6"/>
  <c r="Z829" i="6"/>
  <c r="Z830" i="6"/>
  <c r="Z831" i="6"/>
  <c r="Z832" i="6"/>
  <c r="Z833" i="6"/>
  <c r="Z834" i="6"/>
  <c r="Z835" i="6"/>
  <c r="Z836" i="6"/>
  <c r="Z837" i="6"/>
  <c r="Z838" i="6"/>
  <c r="Z839" i="6"/>
  <c r="Z840" i="6"/>
  <c r="Z841" i="6"/>
  <c r="Z842" i="6"/>
  <c r="Z843" i="6"/>
  <c r="Z844" i="6"/>
  <c r="Z845" i="6"/>
  <c r="Z846" i="6"/>
  <c r="Z847" i="6"/>
  <c r="Z848" i="6"/>
  <c r="Z849" i="6"/>
  <c r="Z850" i="6"/>
  <c r="Z851" i="6"/>
  <c r="Z852" i="6"/>
  <c r="Z853" i="6"/>
  <c r="Z854" i="6"/>
  <c r="Z855" i="6"/>
  <c r="Z856" i="6"/>
  <c r="Z857" i="6"/>
  <c r="Z858" i="6"/>
  <c r="Z859" i="6"/>
  <c r="Z860" i="6"/>
  <c r="Z861" i="6"/>
  <c r="Z862" i="6"/>
  <c r="Z863" i="6"/>
  <c r="Z864" i="6"/>
  <c r="Z865" i="6"/>
  <c r="Z866" i="6"/>
  <c r="Z867" i="6"/>
  <c r="Z868" i="6"/>
  <c r="Z869" i="6"/>
  <c r="Z870" i="6"/>
  <c r="Z871" i="6"/>
  <c r="Z872" i="6"/>
  <c r="Z873" i="6"/>
  <c r="Z874" i="6"/>
  <c r="Z875" i="6"/>
  <c r="Z876" i="6"/>
  <c r="Z877" i="6"/>
  <c r="Z878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899" i="6"/>
  <c r="Z900" i="6"/>
  <c r="Z901" i="6"/>
  <c r="Z902" i="6"/>
  <c r="Z903" i="6"/>
  <c r="Z904" i="6"/>
  <c r="Z905" i="6"/>
  <c r="Z906" i="6"/>
  <c r="Z907" i="6"/>
  <c r="Z908" i="6"/>
  <c r="Z909" i="6"/>
  <c r="Z910" i="6"/>
  <c r="Z911" i="6"/>
  <c r="Z912" i="6"/>
  <c r="Z913" i="6"/>
  <c r="Z914" i="6"/>
  <c r="Z915" i="6"/>
  <c r="Z916" i="6"/>
  <c r="Z917" i="6"/>
  <c r="Z918" i="6"/>
  <c r="Z919" i="6"/>
  <c r="Z920" i="6"/>
  <c r="Z921" i="6"/>
  <c r="Z922" i="6"/>
  <c r="Z923" i="6"/>
  <c r="Z924" i="6"/>
  <c r="Z925" i="6"/>
  <c r="Z926" i="6"/>
  <c r="Z927" i="6"/>
  <c r="Z928" i="6"/>
  <c r="Z929" i="6"/>
  <c r="Z930" i="6"/>
  <c r="Z931" i="6"/>
  <c r="Z932" i="6"/>
  <c r="Z933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Z965" i="6"/>
  <c r="Z966" i="6"/>
  <c r="Z967" i="6"/>
  <c r="Z968" i="6"/>
  <c r="Z969" i="6"/>
  <c r="Z970" i="6"/>
  <c r="Z971" i="6"/>
  <c r="Z972" i="6"/>
  <c r="Z973" i="6"/>
  <c r="Z974" i="6"/>
  <c r="Z975" i="6"/>
  <c r="Z976" i="6"/>
  <c r="Z977" i="6"/>
  <c r="Z978" i="6"/>
  <c r="Z979" i="6"/>
  <c r="Z980" i="6"/>
  <c r="Z981" i="6"/>
  <c r="Z982" i="6"/>
  <c r="Z983" i="6"/>
  <c r="Z984" i="6"/>
  <c r="Z985" i="6"/>
  <c r="Z986" i="6"/>
  <c r="Z987" i="6"/>
  <c r="Z988" i="6"/>
  <c r="Z989" i="6"/>
  <c r="Z990" i="6"/>
  <c r="Z991" i="6"/>
  <c r="Z992" i="6"/>
  <c r="Z993" i="6"/>
  <c r="Z994" i="6"/>
  <c r="Z995" i="6"/>
  <c r="Z996" i="6"/>
  <c r="Z997" i="6"/>
  <c r="Z998" i="6"/>
  <c r="Z999" i="6"/>
  <c r="Z1000" i="6"/>
  <c r="Z1001" i="6"/>
  <c r="Z1002" i="6"/>
  <c r="Z1003" i="6"/>
  <c r="Z1004" i="6"/>
  <c r="Z1005" i="6"/>
  <c r="Z1006" i="6"/>
  <c r="Z1007" i="6"/>
  <c r="Z1008" i="6"/>
  <c r="Z1009" i="6"/>
  <c r="Z1010" i="6"/>
  <c r="Z1011" i="6"/>
  <c r="Z1012" i="6"/>
  <c r="Z1013" i="6"/>
  <c r="Z1014" i="6"/>
  <c r="Z1015" i="6"/>
  <c r="Z1016" i="6"/>
  <c r="Z1017" i="6"/>
  <c r="Z1018" i="6"/>
  <c r="Z1019" i="6"/>
  <c r="Z1020" i="6"/>
  <c r="Z1021" i="6"/>
  <c r="Z1022" i="6"/>
  <c r="Z1023" i="6"/>
  <c r="Z1024" i="6"/>
  <c r="Z1025" i="6"/>
  <c r="Z1026" i="6"/>
  <c r="Z1027" i="6"/>
  <c r="Z1028" i="6"/>
  <c r="Z1029" i="6"/>
  <c r="Z1030" i="6"/>
  <c r="Z1031" i="6"/>
  <c r="Z1032" i="6"/>
  <c r="Z1033" i="6"/>
  <c r="Z1034" i="6"/>
  <c r="Z1035" i="6"/>
  <c r="Z1036" i="6"/>
  <c r="Z1037" i="6"/>
  <c r="Z1038" i="6"/>
  <c r="Z1039" i="6"/>
  <c r="Z1040" i="6"/>
  <c r="Z1041" i="6"/>
  <c r="Z1042" i="6"/>
  <c r="Z1043" i="6"/>
  <c r="Z1044" i="6"/>
  <c r="Z1045" i="6"/>
  <c r="Z1046" i="6"/>
  <c r="Z1047" i="6"/>
  <c r="Z1048" i="6"/>
  <c r="Z1049" i="6"/>
  <c r="Z1050" i="6"/>
  <c r="Z1051" i="6"/>
  <c r="Z1052" i="6"/>
  <c r="Z1053" i="6"/>
  <c r="Z1054" i="6"/>
  <c r="Z1055" i="6"/>
  <c r="Z1056" i="6"/>
  <c r="Z1057" i="6"/>
  <c r="Z1058" i="6"/>
  <c r="Z1059" i="6"/>
  <c r="Z1060" i="6"/>
  <c r="Z1061" i="6"/>
  <c r="Z1062" i="6"/>
  <c r="Z1063" i="6"/>
  <c r="Z1064" i="6"/>
  <c r="Z1065" i="6"/>
  <c r="Z1066" i="6"/>
  <c r="Z1067" i="6"/>
  <c r="Z1068" i="6"/>
  <c r="Z1069" i="6"/>
  <c r="Z1070" i="6"/>
  <c r="Z1071" i="6"/>
  <c r="Z1072" i="6"/>
  <c r="Z1073" i="6"/>
  <c r="Z1074" i="6"/>
  <c r="Z1075" i="6"/>
  <c r="Z1076" i="6"/>
  <c r="Z1077" i="6"/>
  <c r="Z1078" i="6"/>
  <c r="Z1079" i="6"/>
  <c r="Z1080" i="6"/>
  <c r="Z1081" i="6"/>
  <c r="Z1082" i="6"/>
  <c r="Z1083" i="6"/>
  <c r="Z1084" i="6"/>
  <c r="Z1085" i="6"/>
  <c r="Z1086" i="6"/>
  <c r="Z1087" i="6"/>
  <c r="Z1088" i="6"/>
  <c r="Z1089" i="6"/>
  <c r="Z1090" i="6"/>
  <c r="Z1091" i="6"/>
  <c r="Z1092" i="6"/>
  <c r="Z1093" i="6"/>
  <c r="Z1094" i="6"/>
  <c r="Z1095" i="6"/>
  <c r="Z1096" i="6"/>
  <c r="Z1097" i="6"/>
  <c r="Z1098" i="6"/>
  <c r="Z1099" i="6"/>
  <c r="Z1100" i="6"/>
  <c r="Z1101" i="6"/>
  <c r="Z1102" i="6"/>
  <c r="Z1103" i="6"/>
  <c r="Z1104" i="6"/>
  <c r="Z1105" i="6"/>
  <c r="Z1106" i="6"/>
  <c r="Z1107" i="6"/>
  <c r="Z1108" i="6"/>
  <c r="Z1109" i="6"/>
  <c r="Z1110" i="6"/>
  <c r="Z1111" i="6"/>
  <c r="Z1112" i="6"/>
  <c r="Z1113" i="6"/>
  <c r="Z1114" i="6"/>
  <c r="Z1115" i="6"/>
  <c r="Z1116" i="6"/>
  <c r="Z1117" i="6"/>
  <c r="Z1118" i="6"/>
  <c r="Z1119" i="6"/>
  <c r="Z1120" i="6"/>
  <c r="Z1121" i="6"/>
  <c r="Z1122" i="6"/>
  <c r="Z1123" i="6"/>
  <c r="Z1124" i="6"/>
  <c r="Z1125" i="6"/>
  <c r="Z1126" i="6"/>
  <c r="Z1127" i="6"/>
  <c r="Z1128" i="6"/>
  <c r="Z1129" i="6"/>
  <c r="Z1130" i="6"/>
  <c r="Z1131" i="6"/>
  <c r="Z1132" i="6"/>
  <c r="Z1133" i="6"/>
  <c r="Z1134" i="6"/>
  <c r="Z1135" i="6"/>
  <c r="Z1136" i="6"/>
  <c r="Z1137" i="6"/>
  <c r="Z1138" i="6"/>
  <c r="Z1139" i="6"/>
  <c r="Z1140" i="6"/>
  <c r="Z1141" i="6"/>
  <c r="Z1142" i="6"/>
  <c r="Z1143" i="6"/>
  <c r="Z1144" i="6"/>
  <c r="Z1145" i="6"/>
  <c r="Z1146" i="6"/>
  <c r="Z1147" i="6"/>
  <c r="Z1148" i="6"/>
  <c r="Z1149" i="6"/>
  <c r="Z1150" i="6"/>
  <c r="Z1151" i="6"/>
  <c r="Z1152" i="6"/>
  <c r="Z1153" i="6"/>
  <c r="Z1154" i="6"/>
  <c r="Z1155" i="6"/>
  <c r="Z1156" i="6"/>
  <c r="Z1157" i="6"/>
  <c r="Z1158" i="6"/>
  <c r="Z1159" i="6"/>
  <c r="Z1160" i="6"/>
  <c r="Z1161" i="6"/>
  <c r="Z1162" i="6"/>
  <c r="Z1163" i="6"/>
  <c r="Z1164" i="6"/>
  <c r="Z1165" i="6"/>
  <c r="Z1166" i="6"/>
  <c r="Z1167" i="6"/>
  <c r="Z1168" i="6"/>
  <c r="Z1169" i="6"/>
  <c r="Z1170" i="6"/>
  <c r="Z1171" i="6"/>
  <c r="Z1172" i="6"/>
  <c r="Z1173" i="6"/>
  <c r="Z1174" i="6"/>
  <c r="Z1175" i="6"/>
  <c r="Z1176" i="6"/>
  <c r="Z1177" i="6"/>
  <c r="Z1178" i="6"/>
  <c r="Z1179" i="6"/>
  <c r="Z1180" i="6"/>
  <c r="Z1181" i="6"/>
  <c r="Z1182" i="6"/>
  <c r="Z1183" i="6"/>
  <c r="Z1184" i="6"/>
  <c r="Z1185" i="6"/>
  <c r="Z1186" i="6"/>
  <c r="Z1187" i="6"/>
  <c r="Z1188" i="6"/>
  <c r="Z1189" i="6"/>
  <c r="Z1190" i="6"/>
  <c r="Z1191" i="6"/>
  <c r="Z1192" i="6"/>
  <c r="Z1193" i="6"/>
  <c r="Z1194" i="6"/>
  <c r="Z1195" i="6"/>
  <c r="Z1196" i="6"/>
  <c r="Z1197" i="6"/>
  <c r="Z1198" i="6"/>
  <c r="Z1199" i="6"/>
  <c r="Z1200" i="6"/>
  <c r="Z1201" i="6"/>
  <c r="Z1202" i="6"/>
  <c r="Z1203" i="6"/>
  <c r="Z1204" i="6"/>
  <c r="Z1205" i="6"/>
  <c r="Z1206" i="6"/>
  <c r="Z1207" i="6"/>
  <c r="Z1208" i="6"/>
  <c r="Z1209" i="6"/>
  <c r="Z1210" i="6"/>
  <c r="Z1211" i="6"/>
  <c r="Z1212" i="6"/>
  <c r="Z1213" i="6"/>
  <c r="Z1214" i="6"/>
  <c r="Z1215" i="6"/>
  <c r="Z1216" i="6"/>
  <c r="Z1217" i="6"/>
  <c r="Z1218" i="6"/>
  <c r="Z1219" i="6"/>
  <c r="Z1220" i="6"/>
  <c r="Z1221" i="6"/>
  <c r="Z1222" i="6"/>
  <c r="Z1223" i="6"/>
  <c r="Z1224" i="6"/>
  <c r="Z1225" i="6"/>
  <c r="Z1226" i="6"/>
  <c r="Z1227" i="6"/>
  <c r="Z1228" i="6"/>
  <c r="Z1229" i="6"/>
  <c r="Z1230" i="6"/>
  <c r="Z1231" i="6"/>
  <c r="Z1232" i="6"/>
  <c r="Z1233" i="6"/>
  <c r="Z1234" i="6"/>
  <c r="Z1235" i="6"/>
  <c r="Z1236" i="6"/>
  <c r="Z1237" i="6"/>
  <c r="Z1238" i="6"/>
  <c r="Z1239" i="6"/>
  <c r="Z1240" i="6"/>
  <c r="Z1241" i="6"/>
  <c r="Z1242" i="6"/>
  <c r="Z1243" i="6"/>
  <c r="Z1244" i="6"/>
  <c r="Z1245" i="6"/>
  <c r="Z1246" i="6"/>
  <c r="Z1247" i="6"/>
  <c r="Z1248" i="6"/>
  <c r="Z1249" i="6"/>
  <c r="Z1250" i="6"/>
  <c r="Z1251" i="6"/>
  <c r="Z1252" i="6"/>
  <c r="Z1253" i="6"/>
  <c r="Z1254" i="6"/>
  <c r="Z1255" i="6"/>
  <c r="Z1256" i="6"/>
  <c r="Z1257" i="6"/>
  <c r="Z1258" i="6"/>
  <c r="Z1259" i="6"/>
  <c r="Z1260" i="6"/>
  <c r="Z1261" i="6"/>
  <c r="Z1262" i="6"/>
  <c r="Z1263" i="6"/>
  <c r="Z1264" i="6"/>
  <c r="Z1265" i="6"/>
  <c r="Z1266" i="6"/>
  <c r="Z1267" i="6"/>
  <c r="Z1268" i="6"/>
  <c r="Z1269" i="6"/>
  <c r="Z1270" i="6"/>
  <c r="Z1271" i="6"/>
  <c r="Z1272" i="6"/>
  <c r="Z1273" i="6"/>
  <c r="Z1274" i="6"/>
  <c r="Z1275" i="6"/>
  <c r="Z1276" i="6"/>
  <c r="Z1277" i="6"/>
  <c r="Z1278" i="6"/>
  <c r="Z1279" i="6"/>
  <c r="Z1280" i="6"/>
  <c r="Z1281" i="6"/>
  <c r="Z1282" i="6"/>
  <c r="Z1283" i="6"/>
  <c r="Z1284" i="6"/>
  <c r="Z1285" i="6"/>
  <c r="Z1286" i="6"/>
  <c r="Z1287" i="6"/>
  <c r="Z1288" i="6"/>
  <c r="Z1289" i="6"/>
  <c r="Z1290" i="6"/>
  <c r="Z1291" i="6"/>
  <c r="Z1292" i="6"/>
  <c r="Z1293" i="6"/>
  <c r="Z1294" i="6"/>
  <c r="Z1295" i="6"/>
  <c r="Z1296" i="6"/>
  <c r="Z1297" i="6"/>
  <c r="Z1298" i="6"/>
  <c r="Z1299" i="6"/>
  <c r="Z1300" i="6"/>
  <c r="Z1301" i="6"/>
  <c r="Z1302" i="6"/>
  <c r="Z1303" i="6"/>
  <c r="Z1304" i="6"/>
  <c r="Z1305" i="6"/>
  <c r="Z1306" i="6"/>
  <c r="Z1307" i="6"/>
  <c r="Z1308" i="6"/>
  <c r="Z1309" i="6"/>
  <c r="Z1310" i="6"/>
  <c r="Z1311" i="6"/>
  <c r="Z1312" i="6"/>
  <c r="Z1313" i="6"/>
  <c r="Z1314" i="6"/>
  <c r="Z1315" i="6"/>
  <c r="Z1316" i="6"/>
  <c r="Z1317" i="6"/>
  <c r="Z1318" i="6"/>
  <c r="Z1319" i="6"/>
  <c r="Z1320" i="6"/>
  <c r="Z1321" i="6"/>
  <c r="Z1322" i="6"/>
  <c r="Z1323" i="6"/>
  <c r="Z1324" i="6"/>
  <c r="Z1325" i="6"/>
  <c r="Z1326" i="6"/>
  <c r="Z1327" i="6"/>
  <c r="Z1328" i="6"/>
  <c r="Z1329" i="6"/>
  <c r="Z1330" i="6"/>
  <c r="Z1331" i="6"/>
  <c r="Z1332" i="6"/>
  <c r="Z1333" i="6"/>
  <c r="Z1334" i="6"/>
  <c r="Z1335" i="6"/>
  <c r="Z1336" i="6"/>
  <c r="Z1337" i="6"/>
  <c r="Z1338" i="6"/>
  <c r="Z1339" i="6"/>
  <c r="Z1340" i="6"/>
  <c r="Z1341" i="6"/>
  <c r="Z1342" i="6"/>
  <c r="Z1343" i="6"/>
  <c r="Z1344" i="6"/>
  <c r="Z1345" i="6"/>
  <c r="Z1346" i="6"/>
  <c r="Z1347" i="6"/>
  <c r="Z1348" i="6"/>
  <c r="Z1349" i="6"/>
  <c r="Z1350" i="6"/>
  <c r="Z1351" i="6"/>
  <c r="Z1352" i="6"/>
  <c r="Z1353" i="6"/>
  <c r="Z1354" i="6"/>
  <c r="Z1355" i="6"/>
  <c r="Z1356" i="6"/>
  <c r="Z1357" i="6"/>
  <c r="Z1358" i="6"/>
  <c r="Z1359" i="6"/>
  <c r="Z1360" i="6"/>
  <c r="Z1361" i="6"/>
  <c r="Z1362" i="6"/>
  <c r="Z1363" i="6"/>
  <c r="Z1364" i="6"/>
  <c r="Z1365" i="6"/>
  <c r="Z1366" i="6"/>
  <c r="Z1367" i="6"/>
  <c r="Z1368" i="6"/>
  <c r="Z1369" i="6"/>
  <c r="Z1370" i="6"/>
  <c r="Z1371" i="6"/>
  <c r="Z1372" i="6"/>
  <c r="Z1373" i="6"/>
  <c r="Z1374" i="6"/>
  <c r="Z1375" i="6"/>
  <c r="Z1376" i="6"/>
  <c r="Z1377" i="6"/>
  <c r="Z1378" i="6"/>
  <c r="Z1379" i="6"/>
  <c r="Z1380" i="6"/>
  <c r="Z1381" i="6"/>
  <c r="Z1382" i="6"/>
  <c r="Z1383" i="6"/>
  <c r="Z1384" i="6"/>
  <c r="Z1385" i="6"/>
  <c r="Z1386" i="6"/>
  <c r="Z1387" i="6"/>
  <c r="Z1388" i="6"/>
  <c r="Z1389" i="6"/>
  <c r="Z1390" i="6"/>
  <c r="Z1391" i="6"/>
  <c r="Z1392" i="6"/>
  <c r="Z1393" i="6"/>
  <c r="Z1394" i="6"/>
  <c r="Z1395" i="6"/>
  <c r="Z1396" i="6"/>
  <c r="Z1397" i="6"/>
  <c r="Z1398" i="6"/>
  <c r="Z1399" i="6"/>
  <c r="Z1400" i="6"/>
  <c r="Z1401" i="6"/>
  <c r="Z1402" i="6"/>
  <c r="Z1403" i="6"/>
  <c r="Z1404" i="6"/>
  <c r="Z1405" i="6"/>
  <c r="Z1406" i="6"/>
  <c r="Z1407" i="6"/>
  <c r="Z1408" i="6"/>
  <c r="Z1409" i="6"/>
  <c r="Z1410" i="6"/>
  <c r="Z1411" i="6"/>
  <c r="Z1412" i="6"/>
  <c r="Z1413" i="6"/>
  <c r="Z1414" i="6"/>
  <c r="Z1415" i="6"/>
  <c r="Z1416" i="6"/>
  <c r="Z1417" i="6"/>
  <c r="Z1418" i="6"/>
  <c r="Z1419" i="6"/>
  <c r="Z1420" i="6"/>
  <c r="Z1421" i="6"/>
  <c r="Z1422" i="6"/>
  <c r="Z1423" i="6"/>
  <c r="Z1424" i="6"/>
  <c r="Z1425" i="6"/>
  <c r="Z1426" i="6"/>
  <c r="Z1427" i="6"/>
  <c r="Z1428" i="6"/>
  <c r="Z1429" i="6"/>
  <c r="Z1430" i="6"/>
  <c r="Z1431" i="6"/>
  <c r="Z1432" i="6"/>
  <c r="Z1433" i="6"/>
  <c r="Z1434" i="6"/>
  <c r="Z1435" i="6"/>
  <c r="Z1436" i="6"/>
  <c r="Z1437" i="6"/>
  <c r="Z1438" i="6"/>
  <c r="Z1439" i="6"/>
  <c r="Z1440" i="6"/>
  <c r="Z1441" i="6"/>
  <c r="Z1442" i="6"/>
  <c r="Z1443" i="6"/>
  <c r="Z1444" i="6"/>
  <c r="Z1445" i="6"/>
  <c r="Z1446" i="6"/>
  <c r="Z1447" i="6"/>
  <c r="Z1448" i="6"/>
  <c r="Z1449" i="6"/>
  <c r="Z1450" i="6"/>
  <c r="Z1451" i="6"/>
  <c r="Z1452" i="6"/>
  <c r="Z1453" i="6"/>
  <c r="Z1454" i="6"/>
  <c r="Z1455" i="6"/>
  <c r="Z1456" i="6"/>
  <c r="Z1457" i="6"/>
  <c r="Z1458" i="6"/>
  <c r="Z1459" i="6"/>
  <c r="Z1460" i="6"/>
  <c r="Z1461" i="6"/>
  <c r="Z1462" i="6"/>
  <c r="Z1463" i="6"/>
  <c r="Z1464" i="6"/>
  <c r="Z1465" i="6"/>
  <c r="Z1466" i="6"/>
  <c r="Z1467" i="6"/>
  <c r="Z1468" i="6"/>
  <c r="Z1469" i="6"/>
  <c r="Z1470" i="6"/>
  <c r="Z1471" i="6"/>
  <c r="Z1472" i="6"/>
  <c r="Z1473" i="6"/>
  <c r="Z1474" i="6"/>
  <c r="Z1475" i="6"/>
  <c r="Z1476" i="6"/>
  <c r="Z1477" i="6"/>
  <c r="Z1478" i="6"/>
  <c r="Z1479" i="6"/>
  <c r="Z1480" i="6"/>
  <c r="Z1481" i="6"/>
  <c r="Z1482" i="6"/>
  <c r="Z1483" i="6"/>
  <c r="Z1484" i="6"/>
  <c r="Z1485" i="6"/>
  <c r="Z1486" i="6"/>
  <c r="Z1487" i="6"/>
  <c r="Z1488" i="6"/>
  <c r="Z1489" i="6"/>
  <c r="Z1490" i="6"/>
  <c r="Z1491" i="6"/>
  <c r="Z1492" i="6"/>
  <c r="Z1493" i="6"/>
  <c r="Z1494" i="6"/>
  <c r="Z1495" i="6"/>
  <c r="Z1496" i="6"/>
  <c r="Z1497" i="6"/>
  <c r="Z1498" i="6"/>
  <c r="Z1499" i="6"/>
  <c r="Z1500" i="6"/>
  <c r="Z1501" i="6"/>
  <c r="Z1502" i="6"/>
  <c r="Z1503" i="6"/>
  <c r="Z1504" i="6"/>
  <c r="Z1505" i="6"/>
  <c r="Z1506" i="6"/>
  <c r="Z1507" i="6"/>
  <c r="Z1508" i="6"/>
  <c r="Z1509" i="6"/>
  <c r="Z1510" i="6"/>
  <c r="Z1511" i="6"/>
  <c r="Z1512" i="6"/>
  <c r="Z1513" i="6"/>
  <c r="Z1514" i="6"/>
  <c r="Z1515" i="6"/>
  <c r="Z1516" i="6"/>
  <c r="Z1517" i="6"/>
  <c r="Z1518" i="6"/>
  <c r="Z1519" i="6"/>
  <c r="Z1520" i="6"/>
  <c r="Z1521" i="6"/>
  <c r="Z1522" i="6"/>
  <c r="Z1523" i="6"/>
  <c r="Z1524" i="6"/>
  <c r="Z1525" i="6"/>
  <c r="Z1526" i="6"/>
  <c r="Z1527" i="6"/>
  <c r="Z1528" i="6"/>
  <c r="Z1529" i="6"/>
  <c r="Z1530" i="6"/>
  <c r="Z1531" i="6"/>
  <c r="Z1532" i="6"/>
  <c r="Z1533" i="6"/>
  <c r="Z1534" i="6"/>
  <c r="Z1535" i="6"/>
  <c r="Z1536" i="6"/>
  <c r="Z1537" i="6"/>
  <c r="Z1538" i="6"/>
  <c r="Z1539" i="6"/>
  <c r="Z1540" i="6"/>
  <c r="Z1541" i="6"/>
  <c r="Z1542" i="6"/>
  <c r="Z1543" i="6"/>
  <c r="Z1544" i="6"/>
  <c r="Z1545" i="6"/>
  <c r="Z1546" i="6"/>
  <c r="Z1547" i="6"/>
  <c r="Z1548" i="6"/>
  <c r="Z1549" i="6"/>
  <c r="Z1550" i="6"/>
  <c r="Z1551" i="6"/>
  <c r="Z1552" i="6"/>
  <c r="Z1553" i="6"/>
  <c r="Z1554" i="6"/>
  <c r="Z1555" i="6"/>
  <c r="Z1556" i="6"/>
  <c r="Z1557" i="6"/>
  <c r="Z1558" i="6"/>
  <c r="Z1559" i="6"/>
  <c r="Z1560" i="6"/>
  <c r="Z1561" i="6"/>
  <c r="Z1562" i="6"/>
  <c r="Z1563" i="6"/>
  <c r="Z1564" i="6"/>
  <c r="Z1565" i="6"/>
  <c r="Z1566" i="6"/>
  <c r="Z1567" i="6"/>
  <c r="Z1568" i="6"/>
  <c r="Z1569" i="6"/>
  <c r="Z1570" i="6"/>
  <c r="Z1571" i="6"/>
  <c r="Z1572" i="6"/>
  <c r="Z1573" i="6"/>
  <c r="Z1574" i="6"/>
  <c r="Z1575" i="6"/>
  <c r="Z1576" i="6"/>
  <c r="Z1577" i="6"/>
  <c r="Z1578" i="6"/>
  <c r="Z1579" i="6"/>
  <c r="Z1580" i="6"/>
  <c r="Z1581" i="6"/>
  <c r="Z1582" i="6"/>
  <c r="Z1583" i="6"/>
  <c r="Z1584" i="6"/>
  <c r="Z1585" i="6"/>
  <c r="Z1586" i="6"/>
  <c r="Z1587" i="6"/>
  <c r="Z1588" i="6"/>
  <c r="Z1589" i="6"/>
  <c r="Z1590" i="6"/>
  <c r="Z1591" i="6"/>
  <c r="Z1592" i="6"/>
  <c r="Z1593" i="6"/>
  <c r="Z1594" i="6"/>
  <c r="Z1595" i="6"/>
  <c r="Z1596" i="6"/>
  <c r="Z1597" i="6"/>
  <c r="Z1598" i="6"/>
  <c r="Z1599" i="6"/>
  <c r="Z1600" i="6"/>
  <c r="Z1601" i="6"/>
  <c r="Z1602" i="6"/>
  <c r="Z1603" i="6"/>
  <c r="Z1604" i="6"/>
  <c r="Z1605" i="6"/>
  <c r="Z1606" i="6"/>
  <c r="Z1607" i="6"/>
  <c r="Z1608" i="6"/>
  <c r="Z1609" i="6"/>
  <c r="Z1610" i="6"/>
  <c r="Z1611" i="6"/>
  <c r="Z1612" i="6"/>
  <c r="Z1613" i="6"/>
  <c r="Z1614" i="6"/>
  <c r="Z1615" i="6"/>
  <c r="Z1616" i="6"/>
  <c r="Z1617" i="6"/>
  <c r="Z1618" i="6"/>
  <c r="Z1619" i="6"/>
  <c r="Z1620" i="6"/>
  <c r="Z1621" i="6"/>
  <c r="Z1622" i="6"/>
  <c r="Z1623" i="6"/>
  <c r="Z1624" i="6"/>
  <c r="Z1625" i="6"/>
  <c r="Z1626" i="6"/>
  <c r="Z1627" i="6"/>
  <c r="Z1628" i="6"/>
  <c r="Z1629" i="6"/>
  <c r="Z1630" i="6"/>
  <c r="Z1631" i="6"/>
  <c r="Z1632" i="6"/>
  <c r="Z1633" i="6"/>
  <c r="Z1634" i="6"/>
  <c r="Z1635" i="6"/>
  <c r="Z1636" i="6"/>
  <c r="Z1637" i="6"/>
  <c r="Z1638" i="6"/>
  <c r="Z1639" i="6"/>
  <c r="Z1640" i="6"/>
  <c r="Z1641" i="6"/>
  <c r="Z1642" i="6"/>
  <c r="Z1643" i="6"/>
  <c r="Z1644" i="6"/>
  <c r="Z1645" i="6"/>
  <c r="Z1646" i="6"/>
  <c r="Z1647" i="6"/>
  <c r="Z1648" i="6"/>
  <c r="Z1649" i="6"/>
  <c r="Z1650" i="6"/>
  <c r="Z1651" i="6"/>
  <c r="Z1652" i="6"/>
  <c r="Z1653" i="6"/>
  <c r="Z1654" i="6"/>
  <c r="Z1655" i="6"/>
  <c r="Z1656" i="6"/>
  <c r="Z1657" i="6"/>
  <c r="Z1658" i="6"/>
  <c r="Z1659" i="6"/>
  <c r="Z1660" i="6"/>
  <c r="Z1661" i="6"/>
  <c r="Z1662" i="6"/>
  <c r="Z1663" i="6"/>
  <c r="Z1664" i="6"/>
  <c r="Z1665" i="6"/>
  <c r="Z1666" i="6"/>
  <c r="Z1667" i="6"/>
  <c r="Z1668" i="6"/>
  <c r="Z1669" i="6"/>
  <c r="Z1670" i="6"/>
  <c r="Z1671" i="6"/>
  <c r="Z1672" i="6"/>
  <c r="Z1673" i="6"/>
  <c r="Z1674" i="6"/>
  <c r="Z1675" i="6"/>
  <c r="Z1676" i="6"/>
  <c r="Z1677" i="6"/>
  <c r="Z1678" i="6"/>
  <c r="Z1679" i="6"/>
  <c r="Z1680" i="6"/>
  <c r="Z1681" i="6"/>
  <c r="Z1682" i="6"/>
  <c r="Z1683" i="6"/>
  <c r="Z1684" i="6"/>
  <c r="Z1685" i="6"/>
  <c r="Z1686" i="6"/>
  <c r="Z1687" i="6"/>
  <c r="Z1688" i="6"/>
  <c r="Z1689" i="6"/>
  <c r="Z1690" i="6"/>
  <c r="Z1691" i="6"/>
  <c r="Z1692" i="6"/>
  <c r="Z1693" i="6"/>
  <c r="Z1694" i="6"/>
  <c r="Z1695" i="6"/>
  <c r="Z1696" i="6"/>
  <c r="Z1697" i="6"/>
  <c r="Z1698" i="6"/>
  <c r="Z1699" i="6"/>
  <c r="Z1700" i="6"/>
  <c r="Z1701" i="6"/>
  <c r="Z1702" i="6"/>
  <c r="Z1703" i="6"/>
  <c r="Z1704" i="6"/>
  <c r="Z1705" i="6"/>
  <c r="Z1706" i="6"/>
  <c r="Z1707" i="6"/>
  <c r="Z1708" i="6"/>
  <c r="Z1709" i="6"/>
  <c r="Z1710" i="6"/>
  <c r="Z1711" i="6"/>
  <c r="Z1712" i="6"/>
  <c r="Z1713" i="6"/>
  <c r="Z1714" i="6"/>
  <c r="Z1715" i="6"/>
  <c r="Z1716" i="6"/>
  <c r="Z1717" i="6"/>
  <c r="Z1718" i="6"/>
  <c r="Z1719" i="6"/>
  <c r="Z1720" i="6"/>
  <c r="Z1721" i="6"/>
  <c r="Z1722" i="6"/>
  <c r="Z1723" i="6"/>
  <c r="Z1724" i="6"/>
  <c r="Z1725" i="6"/>
  <c r="Z1726" i="6"/>
  <c r="Z1727" i="6"/>
  <c r="Z1728" i="6"/>
  <c r="Z1729" i="6"/>
  <c r="Z1730" i="6"/>
  <c r="Z1731" i="6"/>
  <c r="Z1732" i="6"/>
  <c r="Z1733" i="6"/>
  <c r="Z1734" i="6"/>
  <c r="Z1735" i="6"/>
  <c r="Z1736" i="6"/>
  <c r="Z1737" i="6"/>
  <c r="Z1738" i="6"/>
  <c r="Z1739" i="6"/>
  <c r="Z1740" i="6"/>
  <c r="Z1741" i="6"/>
  <c r="Z1742" i="6"/>
  <c r="Z1743" i="6"/>
  <c r="Z1744" i="6"/>
  <c r="Z1745" i="6"/>
  <c r="Z1746" i="6"/>
  <c r="Z1747" i="6"/>
  <c r="Z1748" i="6"/>
  <c r="Z1749" i="6"/>
  <c r="Z1750" i="6"/>
  <c r="Z1751" i="6"/>
  <c r="Z1752" i="6"/>
  <c r="Z1753" i="6"/>
  <c r="Z1754" i="6"/>
  <c r="Z1755" i="6"/>
  <c r="Z1756" i="6"/>
  <c r="Z1757" i="6"/>
  <c r="Z1758" i="6"/>
  <c r="Z1759" i="6"/>
  <c r="Z1760" i="6"/>
  <c r="Z1761" i="6"/>
  <c r="Z1762" i="6"/>
  <c r="Z1763" i="6"/>
  <c r="Z1764" i="6"/>
  <c r="Z1765" i="6"/>
  <c r="Z1766" i="6"/>
  <c r="Z1767" i="6"/>
  <c r="Z1768" i="6"/>
  <c r="Z1769" i="6"/>
  <c r="Z1770" i="6"/>
  <c r="Z1771" i="6"/>
  <c r="Z1772" i="6"/>
  <c r="Z1773" i="6"/>
  <c r="Z1774" i="6"/>
  <c r="Z1775" i="6"/>
  <c r="Z1776" i="6"/>
  <c r="Z1777" i="6"/>
  <c r="Z1778" i="6"/>
  <c r="Z1779" i="6"/>
  <c r="Z1780" i="6"/>
  <c r="Z1781" i="6"/>
  <c r="Z1782" i="6"/>
  <c r="Z1783" i="6"/>
  <c r="Z1784" i="6"/>
  <c r="Z1785" i="6"/>
  <c r="Z1786" i="6"/>
  <c r="Z1787" i="6"/>
  <c r="Z1788" i="6"/>
  <c r="Z1789" i="6"/>
  <c r="Z1790" i="6"/>
  <c r="Z1791" i="6"/>
  <c r="Z1792" i="6"/>
  <c r="Z1793" i="6"/>
  <c r="Z1794" i="6"/>
  <c r="Z1795" i="6"/>
  <c r="Z1796" i="6"/>
  <c r="Z1797" i="6"/>
  <c r="Z1798" i="6"/>
  <c r="Z1799" i="6"/>
  <c r="Z1800" i="6"/>
  <c r="Z1801" i="6"/>
  <c r="Z1802" i="6"/>
  <c r="Z1803" i="6"/>
  <c r="Z1804" i="6"/>
  <c r="Z1805" i="6"/>
  <c r="Z1806" i="6"/>
  <c r="Z1807" i="6"/>
  <c r="Z1808" i="6"/>
  <c r="Z1809" i="6"/>
  <c r="Z1810" i="6"/>
  <c r="Z1811" i="6"/>
  <c r="Z1812" i="6"/>
  <c r="Z1813" i="6"/>
  <c r="Z1814" i="6"/>
  <c r="Z1815" i="6"/>
  <c r="Z1816" i="6"/>
  <c r="Z1817" i="6"/>
  <c r="Z1818" i="6"/>
  <c r="Z1819" i="6"/>
  <c r="Z1820" i="6"/>
  <c r="Z1821" i="6"/>
  <c r="Z1822" i="6"/>
  <c r="Z1823" i="6"/>
  <c r="Z1824" i="6"/>
  <c r="Z1825" i="6"/>
  <c r="Z1826" i="6"/>
  <c r="Z1827" i="6"/>
  <c r="Z1828" i="6"/>
  <c r="Z1829" i="6"/>
  <c r="Z1830" i="6"/>
  <c r="Z1831" i="6"/>
  <c r="Z1832" i="6"/>
  <c r="Z1833" i="6"/>
  <c r="Z1834" i="6"/>
  <c r="Z1835" i="6"/>
  <c r="Z1836" i="6"/>
  <c r="Z1837" i="6"/>
  <c r="Z1838" i="6"/>
  <c r="Z1839" i="6"/>
  <c r="Z1840" i="6"/>
  <c r="Z1841" i="6"/>
  <c r="Z1842" i="6"/>
  <c r="Z1843" i="6"/>
  <c r="Z1844" i="6"/>
  <c r="Z1845" i="6"/>
  <c r="Z1846" i="6"/>
  <c r="Z1847" i="6"/>
  <c r="Z1848" i="6"/>
  <c r="Z1849" i="6"/>
  <c r="Z1850" i="6"/>
  <c r="Z1851" i="6"/>
  <c r="Z1852" i="6"/>
  <c r="Z1853" i="6"/>
  <c r="Z1854" i="6"/>
  <c r="Z1855" i="6"/>
  <c r="Z1856" i="6"/>
  <c r="Z1857" i="6"/>
  <c r="Z1858" i="6"/>
  <c r="Z1859" i="6"/>
  <c r="Z1860" i="6"/>
  <c r="Z1861" i="6"/>
  <c r="Z1862" i="6"/>
  <c r="Z1863" i="6"/>
  <c r="Z1864" i="6"/>
  <c r="Z1865" i="6"/>
  <c r="Z1866" i="6"/>
  <c r="Z1867" i="6"/>
  <c r="Z1868" i="6"/>
  <c r="Z1869" i="6"/>
  <c r="Z1870" i="6"/>
  <c r="Z1871" i="6"/>
  <c r="Z1872" i="6"/>
  <c r="Z1873" i="6"/>
  <c r="Z1874" i="6"/>
  <c r="Z1875" i="6"/>
  <c r="Z1876" i="6"/>
  <c r="Z1877" i="6"/>
  <c r="Z1878" i="6"/>
  <c r="Z1879" i="6"/>
  <c r="Z1880" i="6"/>
  <c r="Z1881" i="6"/>
  <c r="Z1882" i="6"/>
  <c r="Z1883" i="6"/>
  <c r="Z1884" i="6"/>
  <c r="Z1885" i="6"/>
  <c r="Z1886" i="6"/>
  <c r="Z1887" i="6"/>
  <c r="Z1888" i="6"/>
  <c r="Z1889" i="6"/>
  <c r="Z1890" i="6"/>
  <c r="Z1891" i="6"/>
  <c r="Z1892" i="6"/>
  <c r="Z1893" i="6"/>
  <c r="Z1894" i="6"/>
  <c r="Z1895" i="6"/>
  <c r="Z1896" i="6"/>
  <c r="Z1897" i="6"/>
  <c r="Z1898" i="6"/>
  <c r="Z1899" i="6"/>
  <c r="Z1900" i="6"/>
  <c r="Z1901" i="6"/>
  <c r="Z1902" i="6"/>
  <c r="Z1903" i="6"/>
  <c r="Z1904" i="6"/>
  <c r="Z1905" i="6"/>
  <c r="Z1906" i="6"/>
  <c r="Z1907" i="6"/>
  <c r="Z1908" i="6"/>
  <c r="Z1909" i="6"/>
  <c r="Z1910" i="6"/>
  <c r="Z1911" i="6"/>
  <c r="Z1912" i="6"/>
  <c r="Z1913" i="6"/>
  <c r="Z1914" i="6"/>
  <c r="Z1915" i="6"/>
  <c r="Z1916" i="6"/>
  <c r="Z1917" i="6"/>
  <c r="Z1918" i="6"/>
  <c r="Z1919" i="6"/>
  <c r="Z1920" i="6"/>
  <c r="Z1921" i="6"/>
  <c r="Z1922" i="6"/>
  <c r="Z1923" i="6"/>
  <c r="Z1924" i="6"/>
  <c r="Z1925" i="6"/>
  <c r="Z1926" i="6"/>
  <c r="Z1927" i="6"/>
  <c r="Z1928" i="6"/>
  <c r="Z1929" i="6"/>
  <c r="Z1930" i="6"/>
  <c r="Z1931" i="6"/>
  <c r="Z1932" i="6"/>
  <c r="Z1933" i="6"/>
  <c r="Z1934" i="6"/>
  <c r="Z1935" i="6"/>
  <c r="Z1936" i="6"/>
  <c r="Z1937" i="6"/>
  <c r="Z1938" i="6"/>
  <c r="Z1939" i="6"/>
  <c r="Z1940" i="6"/>
  <c r="Z1941" i="6"/>
  <c r="Z1942" i="6"/>
  <c r="Z1943" i="6"/>
  <c r="Z1944" i="6"/>
  <c r="Z1945" i="6"/>
  <c r="Z1946" i="6"/>
  <c r="Z1947" i="6"/>
  <c r="Z1948" i="6"/>
  <c r="Z1949" i="6"/>
  <c r="Z1950" i="6"/>
  <c r="Z1951" i="6"/>
  <c r="Z1952" i="6"/>
  <c r="Z1953" i="6"/>
  <c r="Z195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3" i="6"/>
  <c r="Y144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193" i="6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7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3" i="6"/>
  <c r="Y244" i="6"/>
  <c r="Y245" i="6"/>
  <c r="Y246" i="6"/>
  <c r="Y247" i="6"/>
  <c r="Y248" i="6"/>
  <c r="Y249" i="6"/>
  <c r="Y250" i="6"/>
  <c r="Y251" i="6"/>
  <c r="Y252" i="6"/>
  <c r="Y253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1" i="6"/>
  <c r="Y272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1" i="6"/>
  <c r="Y322" i="6"/>
  <c r="Y323" i="6"/>
  <c r="Y324" i="6"/>
  <c r="Y325" i="6"/>
  <c r="Y326" i="6"/>
  <c r="Y327" i="6"/>
  <c r="Y328" i="6"/>
  <c r="Y329" i="6"/>
  <c r="Y330" i="6"/>
  <c r="Y331" i="6"/>
  <c r="Y332" i="6"/>
  <c r="Y333" i="6"/>
  <c r="Y334" i="6"/>
  <c r="Y335" i="6"/>
  <c r="Y336" i="6"/>
  <c r="Y337" i="6"/>
  <c r="Y338" i="6"/>
  <c r="Y339" i="6"/>
  <c r="Y340" i="6"/>
  <c r="Y341" i="6"/>
  <c r="Y342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399" i="6"/>
  <c r="Y400" i="6"/>
  <c r="Y401" i="6"/>
  <c r="Y402" i="6"/>
  <c r="Y403" i="6"/>
  <c r="Y404" i="6"/>
  <c r="Y405" i="6"/>
  <c r="Y406" i="6"/>
  <c r="Y407" i="6"/>
  <c r="Y408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Y532" i="6"/>
  <c r="Y533" i="6"/>
  <c r="Y534" i="6"/>
  <c r="Y535" i="6"/>
  <c r="Y536" i="6"/>
  <c r="Y537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2" i="6"/>
  <c r="Y563" i="6"/>
  <c r="Y564" i="6"/>
  <c r="Y565" i="6"/>
  <c r="Y566" i="6"/>
  <c r="Y567" i="6"/>
  <c r="Y568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0" i="6"/>
  <c r="Y601" i="6"/>
  <c r="Y602" i="6"/>
  <c r="Y603" i="6"/>
  <c r="Y604" i="6"/>
  <c r="Y605" i="6"/>
  <c r="Y606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4" i="6"/>
  <c r="Y655" i="6"/>
  <c r="Y656" i="6"/>
  <c r="Y657" i="6"/>
  <c r="Y658" i="6"/>
  <c r="Y659" i="6"/>
  <c r="Y660" i="6"/>
  <c r="Y661" i="6"/>
  <c r="Y662" i="6"/>
  <c r="Y663" i="6"/>
  <c r="Y664" i="6"/>
  <c r="Y665" i="6"/>
  <c r="Y666" i="6"/>
  <c r="Y667" i="6"/>
  <c r="Y668" i="6"/>
  <c r="Y669" i="6"/>
  <c r="Y670" i="6"/>
  <c r="Y671" i="6"/>
  <c r="Y672" i="6"/>
  <c r="Y673" i="6"/>
  <c r="Y674" i="6"/>
  <c r="Y675" i="6"/>
  <c r="Y676" i="6"/>
  <c r="Y677" i="6"/>
  <c r="Y678" i="6"/>
  <c r="Y679" i="6"/>
  <c r="Y680" i="6"/>
  <c r="Y681" i="6"/>
  <c r="Y682" i="6"/>
  <c r="Y683" i="6"/>
  <c r="Y684" i="6"/>
  <c r="Y685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69" i="6"/>
  <c r="Y770" i="6"/>
  <c r="Y771" i="6"/>
  <c r="Y772" i="6"/>
  <c r="Y773" i="6"/>
  <c r="Y774" i="6"/>
  <c r="Y775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0" i="6"/>
  <c r="Y791" i="6"/>
  <c r="Y792" i="6"/>
  <c r="Y793" i="6"/>
  <c r="Y794" i="6"/>
  <c r="Y795" i="6"/>
  <c r="Y796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58" i="6"/>
  <c r="Y859" i="6"/>
  <c r="Y860" i="6"/>
  <c r="Y861" i="6"/>
  <c r="Y862" i="6"/>
  <c r="Y863" i="6"/>
  <c r="Y864" i="6"/>
  <c r="Y865" i="6"/>
  <c r="Y866" i="6"/>
  <c r="Y867" i="6"/>
  <c r="Y868" i="6"/>
  <c r="Y869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967" i="6"/>
  <c r="Y968" i="6"/>
  <c r="Y969" i="6"/>
  <c r="Y970" i="6"/>
  <c r="Y971" i="6"/>
  <c r="Y972" i="6"/>
  <c r="Y973" i="6"/>
  <c r="Y974" i="6"/>
  <c r="Y975" i="6"/>
  <c r="Y976" i="6"/>
  <c r="Y977" i="6"/>
  <c r="Y978" i="6"/>
  <c r="Y979" i="6"/>
  <c r="Y980" i="6"/>
  <c r="Y981" i="6"/>
  <c r="Y982" i="6"/>
  <c r="Y983" i="6"/>
  <c r="Y984" i="6"/>
  <c r="Y985" i="6"/>
  <c r="Y986" i="6"/>
  <c r="Y987" i="6"/>
  <c r="Y988" i="6"/>
  <c r="Y989" i="6"/>
  <c r="Y990" i="6"/>
  <c r="Y991" i="6"/>
  <c r="Y992" i="6"/>
  <c r="Y993" i="6"/>
  <c r="Y994" i="6"/>
  <c r="Y995" i="6"/>
  <c r="Y996" i="6"/>
  <c r="Y997" i="6"/>
  <c r="Y998" i="6"/>
  <c r="Y999" i="6"/>
  <c r="Y1000" i="6"/>
  <c r="Y1001" i="6"/>
  <c r="Y1002" i="6"/>
  <c r="Y1003" i="6"/>
  <c r="Y1004" i="6"/>
  <c r="Y1005" i="6"/>
  <c r="Y1006" i="6"/>
  <c r="Y1007" i="6"/>
  <c r="Y1008" i="6"/>
  <c r="Y1009" i="6"/>
  <c r="Y1010" i="6"/>
  <c r="Y1011" i="6"/>
  <c r="Y1012" i="6"/>
  <c r="Y1013" i="6"/>
  <c r="Y1014" i="6"/>
  <c r="Y1015" i="6"/>
  <c r="Y1016" i="6"/>
  <c r="Y1017" i="6"/>
  <c r="Y1018" i="6"/>
  <c r="Y1019" i="6"/>
  <c r="Y1020" i="6"/>
  <c r="Y1021" i="6"/>
  <c r="Y1022" i="6"/>
  <c r="Y1023" i="6"/>
  <c r="Y1024" i="6"/>
  <c r="Y1025" i="6"/>
  <c r="Y1026" i="6"/>
  <c r="Y1027" i="6"/>
  <c r="Y1028" i="6"/>
  <c r="Y1029" i="6"/>
  <c r="Y1030" i="6"/>
  <c r="Y1031" i="6"/>
  <c r="Y1032" i="6"/>
  <c r="Y1033" i="6"/>
  <c r="Y1034" i="6"/>
  <c r="Y1035" i="6"/>
  <c r="Y1036" i="6"/>
  <c r="Y1037" i="6"/>
  <c r="Y1038" i="6"/>
  <c r="Y1039" i="6"/>
  <c r="Y1040" i="6"/>
  <c r="Y1041" i="6"/>
  <c r="Y1042" i="6"/>
  <c r="Y1043" i="6"/>
  <c r="Y1044" i="6"/>
  <c r="Y1045" i="6"/>
  <c r="Y1046" i="6"/>
  <c r="Y1047" i="6"/>
  <c r="Y1048" i="6"/>
  <c r="Y1049" i="6"/>
  <c r="Y1050" i="6"/>
  <c r="Y1051" i="6"/>
  <c r="Y1052" i="6"/>
  <c r="Y1053" i="6"/>
  <c r="Y1054" i="6"/>
  <c r="Y1055" i="6"/>
  <c r="Y1056" i="6"/>
  <c r="Y1057" i="6"/>
  <c r="Y1058" i="6"/>
  <c r="Y1059" i="6"/>
  <c r="Y1060" i="6"/>
  <c r="Y1061" i="6"/>
  <c r="Y1062" i="6"/>
  <c r="Y1063" i="6"/>
  <c r="Y1064" i="6"/>
  <c r="Y1065" i="6"/>
  <c r="Y1066" i="6"/>
  <c r="Y1067" i="6"/>
  <c r="Y1068" i="6"/>
  <c r="Y1069" i="6"/>
  <c r="Y1070" i="6"/>
  <c r="Y1071" i="6"/>
  <c r="Y1072" i="6"/>
  <c r="Y1073" i="6"/>
  <c r="Y1074" i="6"/>
  <c r="Y1075" i="6"/>
  <c r="Y1076" i="6"/>
  <c r="Y1077" i="6"/>
  <c r="Y1078" i="6"/>
  <c r="Y1079" i="6"/>
  <c r="Y1080" i="6"/>
  <c r="Y1081" i="6"/>
  <c r="Y1082" i="6"/>
  <c r="Y1083" i="6"/>
  <c r="Y1084" i="6"/>
  <c r="Y1085" i="6"/>
  <c r="Y1086" i="6"/>
  <c r="Y1087" i="6"/>
  <c r="Y1088" i="6"/>
  <c r="Y1089" i="6"/>
  <c r="Y1090" i="6"/>
  <c r="Y1091" i="6"/>
  <c r="Y1092" i="6"/>
  <c r="Y1093" i="6"/>
  <c r="Y1094" i="6"/>
  <c r="Y1095" i="6"/>
  <c r="Y1096" i="6"/>
  <c r="Y1097" i="6"/>
  <c r="Y1098" i="6"/>
  <c r="Y1099" i="6"/>
  <c r="Y1100" i="6"/>
  <c r="Y1101" i="6"/>
  <c r="Y1102" i="6"/>
  <c r="Y1103" i="6"/>
  <c r="Y1104" i="6"/>
  <c r="Y1105" i="6"/>
  <c r="Y1106" i="6"/>
  <c r="Y1107" i="6"/>
  <c r="Y1108" i="6"/>
  <c r="Y1109" i="6"/>
  <c r="Y1110" i="6"/>
  <c r="Y1111" i="6"/>
  <c r="Y1112" i="6"/>
  <c r="Y1113" i="6"/>
  <c r="Y1114" i="6"/>
  <c r="Y1115" i="6"/>
  <c r="Y1116" i="6"/>
  <c r="Y1117" i="6"/>
  <c r="Y1118" i="6"/>
  <c r="Y1119" i="6"/>
  <c r="Y1120" i="6"/>
  <c r="Y1121" i="6"/>
  <c r="Y1122" i="6"/>
  <c r="Y1123" i="6"/>
  <c r="Y1124" i="6"/>
  <c r="Y1125" i="6"/>
  <c r="Y1126" i="6"/>
  <c r="Y1127" i="6"/>
  <c r="Y1128" i="6"/>
  <c r="Y1129" i="6"/>
  <c r="Y1130" i="6"/>
  <c r="Y1131" i="6"/>
  <c r="Y1132" i="6"/>
  <c r="Y1133" i="6"/>
  <c r="Y1134" i="6"/>
  <c r="Y1135" i="6"/>
  <c r="Y1136" i="6"/>
  <c r="Y1137" i="6"/>
  <c r="Y1138" i="6"/>
  <c r="Y1139" i="6"/>
  <c r="Y1140" i="6"/>
  <c r="Y1141" i="6"/>
  <c r="Y1142" i="6"/>
  <c r="Y1143" i="6"/>
  <c r="Y1144" i="6"/>
  <c r="Y1145" i="6"/>
  <c r="Y1146" i="6"/>
  <c r="Y1147" i="6"/>
  <c r="Y1148" i="6"/>
  <c r="Y1149" i="6"/>
  <c r="Y1150" i="6"/>
  <c r="Y1151" i="6"/>
  <c r="Y1152" i="6"/>
  <c r="Y1153" i="6"/>
  <c r="Y1154" i="6"/>
  <c r="Y1155" i="6"/>
  <c r="Y1156" i="6"/>
  <c r="Y1157" i="6"/>
  <c r="Y1158" i="6"/>
  <c r="Y1159" i="6"/>
  <c r="Y1160" i="6"/>
  <c r="Y1161" i="6"/>
  <c r="Y1162" i="6"/>
  <c r="Y1163" i="6"/>
  <c r="Y1164" i="6"/>
  <c r="Y1165" i="6"/>
  <c r="Y1166" i="6"/>
  <c r="Y1167" i="6"/>
  <c r="Y1168" i="6"/>
  <c r="Y1169" i="6"/>
  <c r="Y1170" i="6"/>
  <c r="Y1171" i="6"/>
  <c r="Y1172" i="6"/>
  <c r="Y1173" i="6"/>
  <c r="Y1174" i="6"/>
  <c r="Y1175" i="6"/>
  <c r="Y1176" i="6"/>
  <c r="Y1177" i="6"/>
  <c r="Y1178" i="6"/>
  <c r="Y1179" i="6"/>
  <c r="Y1180" i="6"/>
  <c r="Y1181" i="6"/>
  <c r="Y1182" i="6"/>
  <c r="Y1183" i="6"/>
  <c r="Y1184" i="6"/>
  <c r="Y1185" i="6"/>
  <c r="Y1186" i="6"/>
  <c r="Y1187" i="6"/>
  <c r="Y1188" i="6"/>
  <c r="Y1189" i="6"/>
  <c r="Y1190" i="6"/>
  <c r="Y1191" i="6"/>
  <c r="Y1192" i="6"/>
  <c r="Y1193" i="6"/>
  <c r="Y1194" i="6"/>
  <c r="Y1195" i="6"/>
  <c r="Y1196" i="6"/>
  <c r="Y1197" i="6"/>
  <c r="Y1198" i="6"/>
  <c r="Y1199" i="6"/>
  <c r="Y1200" i="6"/>
  <c r="Y1201" i="6"/>
  <c r="Y1202" i="6"/>
  <c r="Y1203" i="6"/>
  <c r="Y1204" i="6"/>
  <c r="Y1205" i="6"/>
  <c r="Y1206" i="6"/>
  <c r="Y1207" i="6"/>
  <c r="Y1208" i="6"/>
  <c r="Y1209" i="6"/>
  <c r="Y1210" i="6"/>
  <c r="Y1211" i="6"/>
  <c r="Y1212" i="6"/>
  <c r="Y1213" i="6"/>
  <c r="Y1214" i="6"/>
  <c r="Y1215" i="6"/>
  <c r="Y1216" i="6"/>
  <c r="Y1217" i="6"/>
  <c r="Y1218" i="6"/>
  <c r="Y1219" i="6"/>
  <c r="Y1220" i="6"/>
  <c r="Y1221" i="6"/>
  <c r="Y1222" i="6"/>
  <c r="Y1223" i="6"/>
  <c r="Y1224" i="6"/>
  <c r="Y1225" i="6"/>
  <c r="Y1226" i="6"/>
  <c r="Y1227" i="6"/>
  <c r="Y1228" i="6"/>
  <c r="Y1229" i="6"/>
  <c r="Y1230" i="6"/>
  <c r="Y1231" i="6"/>
  <c r="Y1232" i="6"/>
  <c r="Y1233" i="6"/>
  <c r="Y1234" i="6"/>
  <c r="Y1235" i="6"/>
  <c r="Y1236" i="6"/>
  <c r="Y1237" i="6"/>
  <c r="Y1238" i="6"/>
  <c r="Y1239" i="6"/>
  <c r="Y1240" i="6"/>
  <c r="Y1241" i="6"/>
  <c r="Y1242" i="6"/>
  <c r="Y1243" i="6"/>
  <c r="Y1244" i="6"/>
  <c r="Y1245" i="6"/>
  <c r="Y1246" i="6"/>
  <c r="Y1247" i="6"/>
  <c r="Y1248" i="6"/>
  <c r="Y1249" i="6"/>
  <c r="Y1250" i="6"/>
  <c r="Y1251" i="6"/>
  <c r="Y1252" i="6"/>
  <c r="Y1253" i="6"/>
  <c r="Y1254" i="6"/>
  <c r="Y1255" i="6"/>
  <c r="Y1256" i="6"/>
  <c r="Y1257" i="6"/>
  <c r="Y1258" i="6"/>
  <c r="Y1259" i="6"/>
  <c r="Y1260" i="6"/>
  <c r="Y1261" i="6"/>
  <c r="Y1262" i="6"/>
  <c r="Y1263" i="6"/>
  <c r="Y1264" i="6"/>
  <c r="Y1265" i="6"/>
  <c r="Y1266" i="6"/>
  <c r="Y1267" i="6"/>
  <c r="Y1268" i="6"/>
  <c r="Y1269" i="6"/>
  <c r="Y1270" i="6"/>
  <c r="Y1271" i="6"/>
  <c r="Y1272" i="6"/>
  <c r="Y1273" i="6"/>
  <c r="Y1274" i="6"/>
  <c r="Y1275" i="6"/>
  <c r="Y1276" i="6"/>
  <c r="Y1277" i="6"/>
  <c r="Y1278" i="6"/>
  <c r="Y1279" i="6"/>
  <c r="Y1280" i="6"/>
  <c r="Y1281" i="6"/>
  <c r="Y1282" i="6"/>
  <c r="Y1283" i="6"/>
  <c r="Y1284" i="6"/>
  <c r="Y1285" i="6"/>
  <c r="Y1286" i="6"/>
  <c r="Y1287" i="6"/>
  <c r="Y1288" i="6"/>
  <c r="Y1289" i="6"/>
  <c r="Y1290" i="6"/>
  <c r="Y1291" i="6"/>
  <c r="Y1292" i="6"/>
  <c r="Y1293" i="6"/>
  <c r="Y1294" i="6"/>
  <c r="Y1295" i="6"/>
  <c r="Y1296" i="6"/>
  <c r="Y1297" i="6"/>
  <c r="Y1298" i="6"/>
  <c r="Y1299" i="6"/>
  <c r="Y1300" i="6"/>
  <c r="Y1301" i="6"/>
  <c r="Y1302" i="6"/>
  <c r="Y1303" i="6"/>
  <c r="Y1304" i="6"/>
  <c r="Y1305" i="6"/>
  <c r="Y1306" i="6"/>
  <c r="Y1307" i="6"/>
  <c r="Y1308" i="6"/>
  <c r="Y1309" i="6"/>
  <c r="Y1310" i="6"/>
  <c r="Y1311" i="6"/>
  <c r="Y1312" i="6"/>
  <c r="Y1313" i="6"/>
  <c r="Y1314" i="6"/>
  <c r="Y1315" i="6"/>
  <c r="Y1316" i="6"/>
  <c r="Y1317" i="6"/>
  <c r="Y1318" i="6"/>
  <c r="Y1319" i="6"/>
  <c r="Y1320" i="6"/>
  <c r="Y1321" i="6"/>
  <c r="Y1322" i="6"/>
  <c r="Y1323" i="6"/>
  <c r="Y1324" i="6"/>
  <c r="Y1325" i="6"/>
  <c r="Y1326" i="6"/>
  <c r="Y1327" i="6"/>
  <c r="Y1328" i="6"/>
  <c r="Y1329" i="6"/>
  <c r="Y1330" i="6"/>
  <c r="Y1331" i="6"/>
  <c r="Y1332" i="6"/>
  <c r="Y1333" i="6"/>
  <c r="Y1334" i="6"/>
  <c r="Y1335" i="6"/>
  <c r="Y1336" i="6"/>
  <c r="Y1337" i="6"/>
  <c r="Y1338" i="6"/>
  <c r="Y1339" i="6"/>
  <c r="Y1340" i="6"/>
  <c r="Y1341" i="6"/>
  <c r="Y1342" i="6"/>
  <c r="Y1343" i="6"/>
  <c r="Y1344" i="6"/>
  <c r="Y1345" i="6"/>
  <c r="Y1346" i="6"/>
  <c r="Y1347" i="6"/>
  <c r="Y1348" i="6"/>
  <c r="Y1349" i="6"/>
  <c r="Y1350" i="6"/>
  <c r="Y1351" i="6"/>
  <c r="Y1352" i="6"/>
  <c r="Y1353" i="6"/>
  <c r="Y1354" i="6"/>
  <c r="Y1355" i="6"/>
  <c r="Y1356" i="6"/>
  <c r="Y1357" i="6"/>
  <c r="Y1358" i="6"/>
  <c r="Y1359" i="6"/>
  <c r="Y1360" i="6"/>
  <c r="Y1361" i="6"/>
  <c r="Y1362" i="6"/>
  <c r="Y1363" i="6"/>
  <c r="Y1364" i="6"/>
  <c r="Y1365" i="6"/>
  <c r="Y1366" i="6"/>
  <c r="Y1367" i="6"/>
  <c r="Y1368" i="6"/>
  <c r="Y1369" i="6"/>
  <c r="Y1370" i="6"/>
  <c r="Y1371" i="6"/>
  <c r="Y1372" i="6"/>
  <c r="Y1373" i="6"/>
  <c r="Y1374" i="6"/>
  <c r="Y1375" i="6"/>
  <c r="Y1376" i="6"/>
  <c r="Y1377" i="6"/>
  <c r="Y1378" i="6"/>
  <c r="Y1379" i="6"/>
  <c r="Y1380" i="6"/>
  <c r="Y1381" i="6"/>
  <c r="Y1382" i="6"/>
  <c r="Y1383" i="6"/>
  <c r="Y1384" i="6"/>
  <c r="Y1385" i="6"/>
  <c r="Y1386" i="6"/>
  <c r="Y1387" i="6"/>
  <c r="Y1388" i="6"/>
  <c r="Y1389" i="6"/>
  <c r="Y1390" i="6"/>
  <c r="Y1391" i="6"/>
  <c r="Y1392" i="6"/>
  <c r="Y1393" i="6"/>
  <c r="Y1394" i="6"/>
  <c r="Y1395" i="6"/>
  <c r="Y1396" i="6"/>
  <c r="Y1397" i="6"/>
  <c r="Y1398" i="6"/>
  <c r="Y1399" i="6"/>
  <c r="Y1400" i="6"/>
  <c r="Y1401" i="6"/>
  <c r="Y1402" i="6"/>
  <c r="Y1403" i="6"/>
  <c r="Y1404" i="6"/>
  <c r="Y1405" i="6"/>
  <c r="Y1406" i="6"/>
  <c r="Y1407" i="6"/>
  <c r="Y1408" i="6"/>
  <c r="Y1409" i="6"/>
  <c r="Y1410" i="6"/>
  <c r="Y1411" i="6"/>
  <c r="Y1412" i="6"/>
  <c r="Y1413" i="6"/>
  <c r="Y1414" i="6"/>
  <c r="Y1415" i="6"/>
  <c r="Y1416" i="6"/>
  <c r="Y1417" i="6"/>
  <c r="Y1418" i="6"/>
  <c r="Y1419" i="6"/>
  <c r="Y1420" i="6"/>
  <c r="Y1421" i="6"/>
  <c r="Y1422" i="6"/>
  <c r="Y1423" i="6"/>
  <c r="Y1424" i="6"/>
  <c r="Y1425" i="6"/>
  <c r="Y1426" i="6"/>
  <c r="Y1427" i="6"/>
  <c r="Y1428" i="6"/>
  <c r="Y1429" i="6"/>
  <c r="Y1430" i="6"/>
  <c r="Y1431" i="6"/>
  <c r="Y1432" i="6"/>
  <c r="Y1433" i="6"/>
  <c r="Y1434" i="6"/>
  <c r="Y1435" i="6"/>
  <c r="Y1436" i="6"/>
  <c r="Y1437" i="6"/>
  <c r="Y1438" i="6"/>
  <c r="Y1439" i="6"/>
  <c r="Y1440" i="6"/>
  <c r="Y1441" i="6"/>
  <c r="Y1442" i="6"/>
  <c r="Y1443" i="6"/>
  <c r="Y1444" i="6"/>
  <c r="Y1445" i="6"/>
  <c r="Y1446" i="6"/>
  <c r="Y1447" i="6"/>
  <c r="Y1448" i="6"/>
  <c r="Y1449" i="6"/>
  <c r="Y1450" i="6"/>
  <c r="Y1451" i="6"/>
  <c r="Y1452" i="6"/>
  <c r="Y1453" i="6"/>
  <c r="Y1454" i="6"/>
  <c r="Y1455" i="6"/>
  <c r="Y1456" i="6"/>
  <c r="Y1457" i="6"/>
  <c r="Y1458" i="6"/>
  <c r="Y1459" i="6"/>
  <c r="Y1460" i="6"/>
  <c r="Y1461" i="6"/>
  <c r="Y1462" i="6"/>
  <c r="Y1463" i="6"/>
  <c r="Y1464" i="6"/>
  <c r="Y1465" i="6"/>
  <c r="Y1466" i="6"/>
  <c r="Y1467" i="6"/>
  <c r="Y1468" i="6"/>
  <c r="Y1469" i="6"/>
  <c r="Y1470" i="6"/>
  <c r="Y1471" i="6"/>
  <c r="Y1472" i="6"/>
  <c r="Y1473" i="6"/>
  <c r="Y1474" i="6"/>
  <c r="Y1475" i="6"/>
  <c r="Y1476" i="6"/>
  <c r="Y1477" i="6"/>
  <c r="Y1478" i="6"/>
  <c r="Y1479" i="6"/>
  <c r="Y1480" i="6"/>
  <c r="Y1481" i="6"/>
  <c r="Y1482" i="6"/>
  <c r="Y1483" i="6"/>
  <c r="Y1484" i="6"/>
  <c r="Y1485" i="6"/>
  <c r="Y1486" i="6"/>
  <c r="Y1487" i="6"/>
  <c r="Y1488" i="6"/>
  <c r="Y1489" i="6"/>
  <c r="Y1490" i="6"/>
  <c r="Y1491" i="6"/>
  <c r="Y1492" i="6"/>
  <c r="Y1493" i="6"/>
  <c r="Y1494" i="6"/>
  <c r="Y1495" i="6"/>
  <c r="Y1496" i="6"/>
  <c r="Y1497" i="6"/>
  <c r="Y1498" i="6"/>
  <c r="Y1499" i="6"/>
  <c r="Y1500" i="6"/>
  <c r="Y1501" i="6"/>
  <c r="Y1502" i="6"/>
  <c r="Y1503" i="6"/>
  <c r="Y1504" i="6"/>
  <c r="Y1505" i="6"/>
  <c r="Y1506" i="6"/>
  <c r="Y1507" i="6"/>
  <c r="Y1508" i="6"/>
  <c r="Y1509" i="6"/>
  <c r="Y1510" i="6"/>
  <c r="Y1511" i="6"/>
  <c r="Y1512" i="6"/>
  <c r="Y1513" i="6"/>
  <c r="Y1514" i="6"/>
  <c r="Y1515" i="6"/>
  <c r="Y1516" i="6"/>
  <c r="Y1517" i="6"/>
  <c r="Y1518" i="6"/>
  <c r="Y1519" i="6"/>
  <c r="Y1520" i="6"/>
  <c r="Y1521" i="6"/>
  <c r="Y1522" i="6"/>
  <c r="Y1523" i="6"/>
  <c r="Y1524" i="6"/>
  <c r="Y1525" i="6"/>
  <c r="Y1526" i="6"/>
  <c r="Y1527" i="6"/>
  <c r="Y1528" i="6"/>
  <c r="Y1529" i="6"/>
  <c r="Y1530" i="6"/>
  <c r="Y1531" i="6"/>
  <c r="Y1532" i="6"/>
  <c r="Y1533" i="6"/>
  <c r="Y1534" i="6"/>
  <c r="Y1535" i="6"/>
  <c r="Y1536" i="6"/>
  <c r="Y1537" i="6"/>
  <c r="Y1538" i="6"/>
  <c r="Y1539" i="6"/>
  <c r="Y1540" i="6"/>
  <c r="Y1541" i="6"/>
  <c r="Y1542" i="6"/>
  <c r="Y1543" i="6"/>
  <c r="Y1544" i="6"/>
  <c r="Y1545" i="6"/>
  <c r="Y1546" i="6"/>
  <c r="Y1547" i="6"/>
  <c r="Y1548" i="6"/>
  <c r="Y1549" i="6"/>
  <c r="Y1550" i="6"/>
  <c r="Y1551" i="6"/>
  <c r="Y1552" i="6"/>
  <c r="Y1553" i="6"/>
  <c r="Y1554" i="6"/>
  <c r="Y1555" i="6"/>
  <c r="Y1556" i="6"/>
  <c r="Y1557" i="6"/>
  <c r="Y1558" i="6"/>
  <c r="Y1559" i="6"/>
  <c r="Y1560" i="6"/>
  <c r="Y1561" i="6"/>
  <c r="Y1562" i="6"/>
  <c r="Y1563" i="6"/>
  <c r="Y1564" i="6"/>
  <c r="Y1565" i="6"/>
  <c r="Y1566" i="6"/>
  <c r="Y1567" i="6"/>
  <c r="Y1568" i="6"/>
  <c r="Y1569" i="6"/>
  <c r="Y1570" i="6"/>
  <c r="Y1571" i="6"/>
  <c r="Y1572" i="6"/>
  <c r="Y1573" i="6"/>
  <c r="Y1574" i="6"/>
  <c r="Y1575" i="6"/>
  <c r="Y1576" i="6"/>
  <c r="Y1577" i="6"/>
  <c r="Y1578" i="6"/>
  <c r="Y1579" i="6"/>
  <c r="Y1580" i="6"/>
  <c r="Y1581" i="6"/>
  <c r="Y1582" i="6"/>
  <c r="Y1583" i="6"/>
  <c r="Y1584" i="6"/>
  <c r="Y1585" i="6"/>
  <c r="Y1586" i="6"/>
  <c r="Y1587" i="6"/>
  <c r="Y1588" i="6"/>
  <c r="Y1589" i="6"/>
  <c r="Y1590" i="6"/>
  <c r="Y1591" i="6"/>
  <c r="Y1592" i="6"/>
  <c r="Y1593" i="6"/>
  <c r="Y1594" i="6"/>
  <c r="Y1595" i="6"/>
  <c r="Y1596" i="6"/>
  <c r="Y1597" i="6"/>
  <c r="Y1598" i="6"/>
  <c r="Y1599" i="6"/>
  <c r="Y1600" i="6"/>
  <c r="Y1601" i="6"/>
  <c r="Y1602" i="6"/>
  <c r="Y1603" i="6"/>
  <c r="Y1604" i="6"/>
  <c r="Y1605" i="6"/>
  <c r="Y1606" i="6"/>
  <c r="Y1607" i="6"/>
  <c r="Y1608" i="6"/>
  <c r="Y1609" i="6"/>
  <c r="Y1610" i="6"/>
  <c r="Y1611" i="6"/>
  <c r="Y1612" i="6"/>
  <c r="Y1613" i="6"/>
  <c r="Y1614" i="6"/>
  <c r="Y1615" i="6"/>
  <c r="Y1616" i="6"/>
  <c r="Y1617" i="6"/>
  <c r="Y1618" i="6"/>
  <c r="Y1619" i="6"/>
  <c r="Y1620" i="6"/>
  <c r="Y1621" i="6"/>
  <c r="Y1622" i="6"/>
  <c r="Y1623" i="6"/>
  <c r="Y1624" i="6"/>
  <c r="Y1625" i="6"/>
  <c r="Y1626" i="6"/>
  <c r="Y1627" i="6"/>
  <c r="Y1628" i="6"/>
  <c r="Y1629" i="6"/>
  <c r="Y1630" i="6"/>
  <c r="Y1631" i="6"/>
  <c r="Y1632" i="6"/>
  <c r="Y1633" i="6"/>
  <c r="Y1634" i="6"/>
  <c r="Y1635" i="6"/>
  <c r="Y1636" i="6"/>
  <c r="Y1637" i="6"/>
  <c r="Y1638" i="6"/>
  <c r="Y1639" i="6"/>
  <c r="Y1640" i="6"/>
  <c r="Y1641" i="6"/>
  <c r="Y1642" i="6"/>
  <c r="Y1643" i="6"/>
  <c r="Y1644" i="6"/>
  <c r="Y1645" i="6"/>
  <c r="Y1646" i="6"/>
  <c r="Y1647" i="6"/>
  <c r="Y1648" i="6"/>
  <c r="Y1649" i="6"/>
  <c r="Y1650" i="6"/>
  <c r="Y1651" i="6"/>
  <c r="Y1652" i="6"/>
  <c r="Y1653" i="6"/>
  <c r="Y1654" i="6"/>
  <c r="Y1655" i="6"/>
  <c r="Y1656" i="6"/>
  <c r="Y1657" i="6"/>
  <c r="Y1658" i="6"/>
  <c r="Y1659" i="6"/>
  <c r="Y1660" i="6"/>
  <c r="Y1661" i="6"/>
  <c r="Y1662" i="6"/>
  <c r="Y1663" i="6"/>
  <c r="Y1664" i="6"/>
  <c r="Y1665" i="6"/>
  <c r="Y1666" i="6"/>
  <c r="Y1667" i="6"/>
  <c r="Y1668" i="6"/>
  <c r="Y1669" i="6"/>
  <c r="Y1670" i="6"/>
  <c r="Y1671" i="6"/>
  <c r="Y1672" i="6"/>
  <c r="Y1673" i="6"/>
  <c r="Y1674" i="6"/>
  <c r="Y1675" i="6"/>
  <c r="Y1676" i="6"/>
  <c r="Y1677" i="6"/>
  <c r="Y1678" i="6"/>
  <c r="Y1679" i="6"/>
  <c r="Y1680" i="6"/>
  <c r="Y1681" i="6"/>
  <c r="Y1682" i="6"/>
  <c r="Y1683" i="6"/>
  <c r="Y1684" i="6"/>
  <c r="Y1685" i="6"/>
  <c r="Y1686" i="6"/>
  <c r="Y1687" i="6"/>
  <c r="Y1688" i="6"/>
  <c r="Y1689" i="6"/>
  <c r="Y1690" i="6"/>
  <c r="Y1691" i="6"/>
  <c r="Y1692" i="6"/>
  <c r="Y1693" i="6"/>
  <c r="Y1694" i="6"/>
  <c r="Y1695" i="6"/>
  <c r="Y1696" i="6"/>
  <c r="Y1697" i="6"/>
  <c r="Y1698" i="6"/>
  <c r="Y1699" i="6"/>
  <c r="Y1700" i="6"/>
  <c r="Y1701" i="6"/>
  <c r="Y1702" i="6"/>
  <c r="Y1703" i="6"/>
  <c r="Y1704" i="6"/>
  <c r="Y1705" i="6"/>
  <c r="Y1706" i="6"/>
  <c r="Y1707" i="6"/>
  <c r="Y1708" i="6"/>
  <c r="Y1709" i="6"/>
  <c r="Y1710" i="6"/>
  <c r="Y1711" i="6"/>
  <c r="Y1712" i="6"/>
  <c r="Y1713" i="6"/>
  <c r="Y1714" i="6"/>
  <c r="Y1715" i="6"/>
  <c r="Y1716" i="6"/>
  <c r="Y1717" i="6"/>
  <c r="Y1718" i="6"/>
  <c r="Y1719" i="6"/>
  <c r="Y1720" i="6"/>
  <c r="Y1721" i="6"/>
  <c r="Y1722" i="6"/>
  <c r="Y1723" i="6"/>
  <c r="Y1724" i="6"/>
  <c r="Y1725" i="6"/>
  <c r="Y1726" i="6"/>
  <c r="Y1727" i="6"/>
  <c r="Y1728" i="6"/>
  <c r="Y1729" i="6"/>
  <c r="Y1730" i="6"/>
  <c r="Y1731" i="6"/>
  <c r="Y1732" i="6"/>
  <c r="Y1733" i="6"/>
  <c r="Y1734" i="6"/>
  <c r="Y1735" i="6"/>
  <c r="Y1736" i="6"/>
  <c r="Y1737" i="6"/>
  <c r="Y1738" i="6"/>
  <c r="Y1739" i="6"/>
  <c r="Y1740" i="6"/>
  <c r="Y1741" i="6"/>
  <c r="Y1742" i="6"/>
  <c r="Y1743" i="6"/>
  <c r="Y1744" i="6"/>
  <c r="Y1745" i="6"/>
  <c r="Y1746" i="6"/>
  <c r="Y1747" i="6"/>
  <c r="Y1748" i="6"/>
  <c r="Y1749" i="6"/>
  <c r="Y1750" i="6"/>
  <c r="Y1751" i="6"/>
  <c r="Y1752" i="6"/>
  <c r="Y1753" i="6"/>
  <c r="Y1754" i="6"/>
  <c r="Y1755" i="6"/>
  <c r="Y1756" i="6"/>
  <c r="Y1757" i="6"/>
  <c r="Y1758" i="6"/>
  <c r="Y1759" i="6"/>
  <c r="Y1760" i="6"/>
  <c r="Y1761" i="6"/>
  <c r="Y1762" i="6"/>
  <c r="Y1763" i="6"/>
  <c r="Y1764" i="6"/>
  <c r="Y1765" i="6"/>
  <c r="Y1766" i="6"/>
  <c r="Y1767" i="6"/>
  <c r="Y1768" i="6"/>
  <c r="Y1769" i="6"/>
  <c r="Y1770" i="6"/>
  <c r="Y1771" i="6"/>
  <c r="Y1772" i="6"/>
  <c r="Y1773" i="6"/>
  <c r="Y1774" i="6"/>
  <c r="Y1775" i="6"/>
  <c r="Y1776" i="6"/>
  <c r="Y1777" i="6"/>
  <c r="Y1778" i="6"/>
  <c r="Y1779" i="6"/>
  <c r="Y1780" i="6"/>
  <c r="Y1781" i="6"/>
  <c r="Y1782" i="6"/>
  <c r="Y1783" i="6"/>
  <c r="Y1784" i="6"/>
  <c r="Y1785" i="6"/>
  <c r="Y1786" i="6"/>
  <c r="Y1787" i="6"/>
  <c r="Y1788" i="6"/>
  <c r="Y1789" i="6"/>
  <c r="Y1790" i="6"/>
  <c r="Y1791" i="6"/>
  <c r="Y1792" i="6"/>
  <c r="Y1793" i="6"/>
  <c r="Y1794" i="6"/>
  <c r="Y1795" i="6"/>
  <c r="Y1796" i="6"/>
  <c r="Y1797" i="6"/>
  <c r="Y1798" i="6"/>
  <c r="Y1799" i="6"/>
  <c r="Y1800" i="6"/>
  <c r="Y1801" i="6"/>
  <c r="Y1802" i="6"/>
  <c r="Y1803" i="6"/>
  <c r="Y1804" i="6"/>
  <c r="Y1805" i="6"/>
  <c r="Y1806" i="6"/>
  <c r="Y1807" i="6"/>
  <c r="Y1808" i="6"/>
  <c r="Y1809" i="6"/>
  <c r="Y1810" i="6"/>
  <c r="Y1811" i="6"/>
  <c r="Y1812" i="6"/>
  <c r="Y1813" i="6"/>
  <c r="Y1814" i="6"/>
  <c r="Y1815" i="6"/>
  <c r="Y1816" i="6"/>
  <c r="Y1817" i="6"/>
  <c r="Y1818" i="6"/>
  <c r="Y1819" i="6"/>
  <c r="Y1820" i="6"/>
  <c r="Y1821" i="6"/>
  <c r="Y1822" i="6"/>
  <c r="Y1823" i="6"/>
  <c r="Y1824" i="6"/>
  <c r="Y1825" i="6"/>
  <c r="Y1826" i="6"/>
  <c r="Y1827" i="6"/>
  <c r="Y1828" i="6"/>
  <c r="Y1829" i="6"/>
  <c r="Y1830" i="6"/>
  <c r="Y1831" i="6"/>
  <c r="Y1832" i="6"/>
  <c r="Y1833" i="6"/>
  <c r="Y1834" i="6"/>
  <c r="Y1835" i="6"/>
  <c r="Y1836" i="6"/>
  <c r="Y1837" i="6"/>
  <c r="Y1838" i="6"/>
  <c r="Y1839" i="6"/>
  <c r="Y1840" i="6"/>
  <c r="Y1841" i="6"/>
  <c r="Y1842" i="6"/>
  <c r="Y1843" i="6"/>
  <c r="Y1844" i="6"/>
  <c r="Y1845" i="6"/>
  <c r="Y1846" i="6"/>
  <c r="Y1847" i="6"/>
  <c r="Y1848" i="6"/>
  <c r="Y1849" i="6"/>
  <c r="Y1850" i="6"/>
  <c r="Y1851" i="6"/>
  <c r="Y1852" i="6"/>
  <c r="Y1853" i="6"/>
  <c r="Y1854" i="6"/>
  <c r="Y1855" i="6"/>
  <c r="Y1856" i="6"/>
  <c r="Y1857" i="6"/>
  <c r="Y1858" i="6"/>
  <c r="Y1859" i="6"/>
  <c r="Y1860" i="6"/>
  <c r="Y1861" i="6"/>
  <c r="Y1862" i="6"/>
  <c r="Y1863" i="6"/>
  <c r="Y1864" i="6"/>
  <c r="Y1865" i="6"/>
  <c r="Y1866" i="6"/>
  <c r="Y1867" i="6"/>
  <c r="Y1868" i="6"/>
  <c r="Y1869" i="6"/>
  <c r="Y1870" i="6"/>
  <c r="Y1871" i="6"/>
  <c r="Y1872" i="6"/>
  <c r="Y1873" i="6"/>
  <c r="Y1874" i="6"/>
  <c r="Y1875" i="6"/>
  <c r="Y1876" i="6"/>
  <c r="Y1877" i="6"/>
  <c r="Y1878" i="6"/>
  <c r="Y1879" i="6"/>
  <c r="Y1880" i="6"/>
  <c r="Y1881" i="6"/>
  <c r="Y1882" i="6"/>
  <c r="Y1883" i="6"/>
  <c r="Y1884" i="6"/>
  <c r="Y1885" i="6"/>
  <c r="Y1886" i="6"/>
  <c r="Y1887" i="6"/>
  <c r="Y1888" i="6"/>
  <c r="Y1889" i="6"/>
  <c r="Y1890" i="6"/>
  <c r="Y1891" i="6"/>
  <c r="Y1892" i="6"/>
  <c r="Y1893" i="6"/>
  <c r="Y1894" i="6"/>
  <c r="Y1895" i="6"/>
  <c r="Y1896" i="6"/>
  <c r="Y1897" i="6"/>
  <c r="Y1898" i="6"/>
  <c r="Y1899" i="6"/>
  <c r="Y1900" i="6"/>
  <c r="Y1901" i="6"/>
  <c r="Y1902" i="6"/>
  <c r="Y1903" i="6"/>
  <c r="Y1904" i="6"/>
  <c r="Y1905" i="6"/>
  <c r="Y1906" i="6"/>
  <c r="Y1907" i="6"/>
  <c r="Y1908" i="6"/>
  <c r="Y1909" i="6"/>
  <c r="Y1910" i="6"/>
  <c r="Y1911" i="6"/>
  <c r="Y1912" i="6"/>
  <c r="Y1913" i="6"/>
  <c r="Y1914" i="6"/>
  <c r="Y1915" i="6"/>
  <c r="Y1916" i="6"/>
  <c r="Y1917" i="6"/>
  <c r="Y1918" i="6"/>
  <c r="Y1919" i="6"/>
  <c r="Y1920" i="6"/>
  <c r="Y1921" i="6"/>
  <c r="Y1922" i="6"/>
  <c r="Y1923" i="6"/>
  <c r="Y1924" i="6"/>
  <c r="Y1925" i="6"/>
  <c r="Y1926" i="6"/>
  <c r="Y1927" i="6"/>
  <c r="Y1928" i="6"/>
  <c r="Y1929" i="6"/>
  <c r="Y1930" i="6"/>
  <c r="Y1931" i="6"/>
  <c r="Y1932" i="6"/>
  <c r="Y1933" i="6"/>
  <c r="Y1934" i="6"/>
  <c r="Y1935" i="6"/>
  <c r="Y1936" i="6"/>
  <c r="Y1937" i="6"/>
  <c r="Y1938" i="6"/>
  <c r="Y1939" i="6"/>
  <c r="Y1940" i="6"/>
  <c r="Y1941" i="6"/>
  <c r="Y1942" i="6"/>
  <c r="Y1943" i="6"/>
  <c r="Y1944" i="6"/>
  <c r="Y1945" i="6"/>
  <c r="Y1946" i="6"/>
  <c r="Y1947" i="6"/>
  <c r="Y1948" i="6"/>
  <c r="Y1949" i="6"/>
  <c r="Y1950" i="6"/>
  <c r="Y1951" i="6"/>
  <c r="Y1952" i="6"/>
  <c r="Y1953" i="6"/>
  <c r="Y195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0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55" i="6"/>
  <c r="X156" i="6"/>
  <c r="X157" i="6"/>
  <c r="X158" i="6"/>
  <c r="X159" i="6"/>
  <c r="X160" i="6"/>
  <c r="X161" i="6"/>
  <c r="X162" i="6"/>
  <c r="X163" i="6"/>
  <c r="X164" i="6"/>
  <c r="X165" i="6"/>
  <c r="X166" i="6"/>
  <c r="X167" i="6"/>
  <c r="X168" i="6"/>
  <c r="X169" i="6"/>
  <c r="X170" i="6"/>
  <c r="X171" i="6"/>
  <c r="X172" i="6"/>
  <c r="X173" i="6"/>
  <c r="X174" i="6"/>
  <c r="X175" i="6"/>
  <c r="X176" i="6"/>
  <c r="X177" i="6"/>
  <c r="X178" i="6"/>
  <c r="X179" i="6"/>
  <c r="X180" i="6"/>
  <c r="X181" i="6"/>
  <c r="X182" i="6"/>
  <c r="X183" i="6"/>
  <c r="X184" i="6"/>
  <c r="X185" i="6"/>
  <c r="X186" i="6"/>
  <c r="X187" i="6"/>
  <c r="X188" i="6"/>
  <c r="X189" i="6"/>
  <c r="X190" i="6"/>
  <c r="X191" i="6"/>
  <c r="X192" i="6"/>
  <c r="X193" i="6"/>
  <c r="X194" i="6"/>
  <c r="X195" i="6"/>
  <c r="X196" i="6"/>
  <c r="X197" i="6"/>
  <c r="X198" i="6"/>
  <c r="X199" i="6"/>
  <c r="X200" i="6"/>
  <c r="X201" i="6"/>
  <c r="X202" i="6"/>
  <c r="X203" i="6"/>
  <c r="X204" i="6"/>
  <c r="X205" i="6"/>
  <c r="X206" i="6"/>
  <c r="X207" i="6"/>
  <c r="X208" i="6"/>
  <c r="X209" i="6"/>
  <c r="X210" i="6"/>
  <c r="X211" i="6"/>
  <c r="X212" i="6"/>
  <c r="X213" i="6"/>
  <c r="X214" i="6"/>
  <c r="X215" i="6"/>
  <c r="X216" i="6"/>
  <c r="X217" i="6"/>
  <c r="X218" i="6"/>
  <c r="X219" i="6"/>
  <c r="X220" i="6"/>
  <c r="X221" i="6"/>
  <c r="X222" i="6"/>
  <c r="X223" i="6"/>
  <c r="X224" i="6"/>
  <c r="X225" i="6"/>
  <c r="X226" i="6"/>
  <c r="X227" i="6"/>
  <c r="X228" i="6"/>
  <c r="X229" i="6"/>
  <c r="X230" i="6"/>
  <c r="X231" i="6"/>
  <c r="X232" i="6"/>
  <c r="X233" i="6"/>
  <c r="X234" i="6"/>
  <c r="X235" i="6"/>
  <c r="X236" i="6"/>
  <c r="X237" i="6"/>
  <c r="X238" i="6"/>
  <c r="X239" i="6"/>
  <c r="X240" i="6"/>
  <c r="X241" i="6"/>
  <c r="X242" i="6"/>
  <c r="X243" i="6"/>
  <c r="X244" i="6"/>
  <c r="X245" i="6"/>
  <c r="X246" i="6"/>
  <c r="X247" i="6"/>
  <c r="X248" i="6"/>
  <c r="X249" i="6"/>
  <c r="X250" i="6"/>
  <c r="X251" i="6"/>
  <c r="X252" i="6"/>
  <c r="X253" i="6"/>
  <c r="X254" i="6"/>
  <c r="X255" i="6"/>
  <c r="X256" i="6"/>
  <c r="X257" i="6"/>
  <c r="X258" i="6"/>
  <c r="X259" i="6"/>
  <c r="X260" i="6"/>
  <c r="X261" i="6"/>
  <c r="X262" i="6"/>
  <c r="X263" i="6"/>
  <c r="X264" i="6"/>
  <c r="X265" i="6"/>
  <c r="X266" i="6"/>
  <c r="X267" i="6"/>
  <c r="X268" i="6"/>
  <c r="X269" i="6"/>
  <c r="X270" i="6"/>
  <c r="X271" i="6"/>
  <c r="X272" i="6"/>
  <c r="X273" i="6"/>
  <c r="X274" i="6"/>
  <c r="X275" i="6"/>
  <c r="X276" i="6"/>
  <c r="X277" i="6"/>
  <c r="X278" i="6"/>
  <c r="X279" i="6"/>
  <c r="X280" i="6"/>
  <c r="X281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295" i="6"/>
  <c r="X296" i="6"/>
  <c r="X297" i="6"/>
  <c r="X298" i="6"/>
  <c r="X299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319" i="6"/>
  <c r="X320" i="6"/>
  <c r="X321" i="6"/>
  <c r="X322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559" i="6"/>
  <c r="X560" i="6"/>
  <c r="X561" i="6"/>
  <c r="X562" i="6"/>
  <c r="X563" i="6"/>
  <c r="X564" i="6"/>
  <c r="X565" i="6"/>
  <c r="X566" i="6"/>
  <c r="X567" i="6"/>
  <c r="X568" i="6"/>
  <c r="X569" i="6"/>
  <c r="X570" i="6"/>
  <c r="X571" i="6"/>
  <c r="X572" i="6"/>
  <c r="X573" i="6"/>
  <c r="X574" i="6"/>
  <c r="X575" i="6"/>
  <c r="X576" i="6"/>
  <c r="X577" i="6"/>
  <c r="X578" i="6"/>
  <c r="X579" i="6"/>
  <c r="X580" i="6"/>
  <c r="X581" i="6"/>
  <c r="X582" i="6"/>
  <c r="X583" i="6"/>
  <c r="X584" i="6"/>
  <c r="X585" i="6"/>
  <c r="X586" i="6"/>
  <c r="X587" i="6"/>
  <c r="X588" i="6"/>
  <c r="X589" i="6"/>
  <c r="X590" i="6"/>
  <c r="X591" i="6"/>
  <c r="X592" i="6"/>
  <c r="X593" i="6"/>
  <c r="X594" i="6"/>
  <c r="X595" i="6"/>
  <c r="X596" i="6"/>
  <c r="X597" i="6"/>
  <c r="X598" i="6"/>
  <c r="X599" i="6"/>
  <c r="X600" i="6"/>
  <c r="X601" i="6"/>
  <c r="X602" i="6"/>
  <c r="X603" i="6"/>
  <c r="X604" i="6"/>
  <c r="X605" i="6"/>
  <c r="X606" i="6"/>
  <c r="X607" i="6"/>
  <c r="X608" i="6"/>
  <c r="X609" i="6"/>
  <c r="X610" i="6"/>
  <c r="X611" i="6"/>
  <c r="X612" i="6"/>
  <c r="X613" i="6"/>
  <c r="X614" i="6"/>
  <c r="X615" i="6"/>
  <c r="X616" i="6"/>
  <c r="X617" i="6"/>
  <c r="X618" i="6"/>
  <c r="X619" i="6"/>
  <c r="X620" i="6"/>
  <c r="X621" i="6"/>
  <c r="X622" i="6"/>
  <c r="X623" i="6"/>
  <c r="X624" i="6"/>
  <c r="X625" i="6"/>
  <c r="X626" i="6"/>
  <c r="X627" i="6"/>
  <c r="X628" i="6"/>
  <c r="X629" i="6"/>
  <c r="X630" i="6"/>
  <c r="X631" i="6"/>
  <c r="X632" i="6"/>
  <c r="X633" i="6"/>
  <c r="X634" i="6"/>
  <c r="X635" i="6"/>
  <c r="X636" i="6"/>
  <c r="X637" i="6"/>
  <c r="X638" i="6"/>
  <c r="X639" i="6"/>
  <c r="X640" i="6"/>
  <c r="X641" i="6"/>
  <c r="X642" i="6"/>
  <c r="X643" i="6"/>
  <c r="X644" i="6"/>
  <c r="X645" i="6"/>
  <c r="X646" i="6"/>
  <c r="X647" i="6"/>
  <c r="X648" i="6"/>
  <c r="X649" i="6"/>
  <c r="X650" i="6"/>
  <c r="X651" i="6"/>
  <c r="X652" i="6"/>
  <c r="X653" i="6"/>
  <c r="X654" i="6"/>
  <c r="X655" i="6"/>
  <c r="X656" i="6"/>
  <c r="X657" i="6"/>
  <c r="X658" i="6"/>
  <c r="X659" i="6"/>
  <c r="X660" i="6"/>
  <c r="X661" i="6"/>
  <c r="X662" i="6"/>
  <c r="X663" i="6"/>
  <c r="X664" i="6"/>
  <c r="X665" i="6"/>
  <c r="X666" i="6"/>
  <c r="X667" i="6"/>
  <c r="X66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06" i="6"/>
  <c r="X707" i="6"/>
  <c r="X708" i="6"/>
  <c r="X709" i="6"/>
  <c r="X710" i="6"/>
  <c r="X711" i="6"/>
  <c r="X712" i="6"/>
  <c r="X713" i="6"/>
  <c r="X714" i="6"/>
  <c r="X715" i="6"/>
  <c r="X716" i="6"/>
  <c r="X717" i="6"/>
  <c r="X718" i="6"/>
  <c r="X719" i="6"/>
  <c r="X720" i="6"/>
  <c r="X721" i="6"/>
  <c r="X722" i="6"/>
  <c r="X723" i="6"/>
  <c r="X724" i="6"/>
  <c r="X725" i="6"/>
  <c r="X726" i="6"/>
  <c r="X727" i="6"/>
  <c r="X728" i="6"/>
  <c r="X729" i="6"/>
  <c r="X730" i="6"/>
  <c r="X731" i="6"/>
  <c r="X732" i="6"/>
  <c r="X733" i="6"/>
  <c r="X734" i="6"/>
  <c r="X735" i="6"/>
  <c r="X736" i="6"/>
  <c r="X737" i="6"/>
  <c r="X738" i="6"/>
  <c r="X739" i="6"/>
  <c r="X740" i="6"/>
  <c r="X741" i="6"/>
  <c r="X742" i="6"/>
  <c r="X743" i="6"/>
  <c r="X744" i="6"/>
  <c r="X745" i="6"/>
  <c r="X746" i="6"/>
  <c r="X747" i="6"/>
  <c r="X748" i="6"/>
  <c r="X749" i="6"/>
  <c r="X750" i="6"/>
  <c r="X751" i="6"/>
  <c r="X752" i="6"/>
  <c r="X753" i="6"/>
  <c r="X754" i="6"/>
  <c r="X755" i="6"/>
  <c r="X756" i="6"/>
  <c r="X757" i="6"/>
  <c r="X758" i="6"/>
  <c r="X759" i="6"/>
  <c r="X760" i="6"/>
  <c r="X761" i="6"/>
  <c r="X762" i="6"/>
  <c r="X763" i="6"/>
  <c r="X764" i="6"/>
  <c r="X765" i="6"/>
  <c r="X766" i="6"/>
  <c r="X767" i="6"/>
  <c r="X768" i="6"/>
  <c r="X769" i="6"/>
  <c r="X770" i="6"/>
  <c r="X771" i="6"/>
  <c r="X772" i="6"/>
  <c r="X773" i="6"/>
  <c r="X774" i="6"/>
  <c r="X775" i="6"/>
  <c r="X776" i="6"/>
  <c r="X777" i="6"/>
  <c r="X778" i="6"/>
  <c r="X779" i="6"/>
  <c r="X780" i="6"/>
  <c r="X781" i="6"/>
  <c r="X782" i="6"/>
  <c r="X783" i="6"/>
  <c r="X784" i="6"/>
  <c r="X785" i="6"/>
  <c r="X786" i="6"/>
  <c r="X787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X947" i="6"/>
  <c r="X948" i="6"/>
  <c r="X949" i="6"/>
  <c r="X950" i="6"/>
  <c r="X951" i="6"/>
  <c r="X952" i="6"/>
  <c r="X953" i="6"/>
  <c r="X954" i="6"/>
  <c r="X955" i="6"/>
  <c r="X956" i="6"/>
  <c r="X957" i="6"/>
  <c r="X958" i="6"/>
  <c r="X959" i="6"/>
  <c r="X960" i="6"/>
  <c r="X961" i="6"/>
  <c r="X962" i="6"/>
  <c r="X963" i="6"/>
  <c r="X964" i="6"/>
  <c r="X965" i="6"/>
  <c r="X966" i="6"/>
  <c r="X967" i="6"/>
  <c r="X968" i="6"/>
  <c r="X969" i="6"/>
  <c r="X970" i="6"/>
  <c r="X971" i="6"/>
  <c r="X972" i="6"/>
  <c r="X973" i="6"/>
  <c r="X974" i="6"/>
  <c r="X975" i="6"/>
  <c r="X976" i="6"/>
  <c r="X977" i="6"/>
  <c r="X978" i="6"/>
  <c r="X979" i="6"/>
  <c r="X980" i="6"/>
  <c r="X981" i="6"/>
  <c r="X982" i="6"/>
  <c r="X983" i="6"/>
  <c r="X984" i="6"/>
  <c r="X985" i="6"/>
  <c r="X986" i="6"/>
  <c r="X987" i="6"/>
  <c r="X988" i="6"/>
  <c r="X989" i="6"/>
  <c r="X990" i="6"/>
  <c r="X991" i="6"/>
  <c r="X992" i="6"/>
  <c r="X993" i="6"/>
  <c r="X994" i="6"/>
  <c r="X995" i="6"/>
  <c r="X996" i="6"/>
  <c r="X997" i="6"/>
  <c r="X998" i="6"/>
  <c r="X999" i="6"/>
  <c r="X1000" i="6"/>
  <c r="X1001" i="6"/>
  <c r="X1002" i="6"/>
  <c r="X1003" i="6"/>
  <c r="X1004" i="6"/>
  <c r="X1005" i="6"/>
  <c r="X1006" i="6"/>
  <c r="X1007" i="6"/>
  <c r="X1008" i="6"/>
  <c r="X1009" i="6"/>
  <c r="X1010" i="6"/>
  <c r="X1011" i="6"/>
  <c r="X1012" i="6"/>
  <c r="X1013" i="6"/>
  <c r="X1014" i="6"/>
  <c r="X1015" i="6"/>
  <c r="X1016" i="6"/>
  <c r="X1017" i="6"/>
  <c r="X1018" i="6"/>
  <c r="X1019" i="6"/>
  <c r="X1020" i="6"/>
  <c r="X1021" i="6"/>
  <c r="X1022" i="6"/>
  <c r="X1023" i="6"/>
  <c r="X1024" i="6"/>
  <c r="X1025" i="6"/>
  <c r="X1026" i="6"/>
  <c r="X1027" i="6"/>
  <c r="X1028" i="6"/>
  <c r="X1029" i="6"/>
  <c r="X1030" i="6"/>
  <c r="X1031" i="6"/>
  <c r="X1032" i="6"/>
  <c r="X1033" i="6"/>
  <c r="X1034" i="6"/>
  <c r="X1035" i="6"/>
  <c r="X1036" i="6"/>
  <c r="X1037" i="6"/>
  <c r="X1038" i="6"/>
  <c r="X1039" i="6"/>
  <c r="X1040" i="6"/>
  <c r="X1041" i="6"/>
  <c r="X1042" i="6"/>
  <c r="X1043" i="6"/>
  <c r="X1044" i="6"/>
  <c r="X1045" i="6"/>
  <c r="X1046" i="6"/>
  <c r="X1047" i="6"/>
  <c r="X1048" i="6"/>
  <c r="X1049" i="6"/>
  <c r="X1050" i="6"/>
  <c r="X1051" i="6"/>
  <c r="X1052" i="6"/>
  <c r="X1053" i="6"/>
  <c r="X1054" i="6"/>
  <c r="X1055" i="6"/>
  <c r="X1056" i="6"/>
  <c r="X1057" i="6"/>
  <c r="X1058" i="6"/>
  <c r="X1059" i="6"/>
  <c r="X1060" i="6"/>
  <c r="X1061" i="6"/>
  <c r="X1062" i="6"/>
  <c r="X1063" i="6"/>
  <c r="X1064" i="6"/>
  <c r="X1065" i="6"/>
  <c r="X1066" i="6"/>
  <c r="X1067" i="6"/>
  <c r="X1068" i="6"/>
  <c r="X1069" i="6"/>
  <c r="X1070" i="6"/>
  <c r="X1071" i="6"/>
  <c r="X1072" i="6"/>
  <c r="X1073" i="6"/>
  <c r="X1074" i="6"/>
  <c r="X1075" i="6"/>
  <c r="X1076" i="6"/>
  <c r="X1077" i="6"/>
  <c r="X1078" i="6"/>
  <c r="X1079" i="6"/>
  <c r="X1080" i="6"/>
  <c r="X1081" i="6"/>
  <c r="X1082" i="6"/>
  <c r="X1083" i="6"/>
  <c r="X1084" i="6"/>
  <c r="X1085" i="6"/>
  <c r="X1086" i="6"/>
  <c r="X1087" i="6"/>
  <c r="X1088" i="6"/>
  <c r="X1089" i="6"/>
  <c r="X1090" i="6"/>
  <c r="X1091" i="6"/>
  <c r="X1092" i="6"/>
  <c r="X1093" i="6"/>
  <c r="X1094" i="6"/>
  <c r="X1095" i="6"/>
  <c r="X1096" i="6"/>
  <c r="X1097" i="6"/>
  <c r="X1098" i="6"/>
  <c r="X1099" i="6"/>
  <c r="X1100" i="6"/>
  <c r="X1101" i="6"/>
  <c r="X1102" i="6"/>
  <c r="X1103" i="6"/>
  <c r="X1104" i="6"/>
  <c r="X1105" i="6"/>
  <c r="X1106" i="6"/>
  <c r="X1107" i="6"/>
  <c r="X1108" i="6"/>
  <c r="X1109" i="6"/>
  <c r="X1110" i="6"/>
  <c r="X1111" i="6"/>
  <c r="X1112" i="6"/>
  <c r="X1113" i="6"/>
  <c r="X1114" i="6"/>
  <c r="X1115" i="6"/>
  <c r="X1116" i="6"/>
  <c r="X1117" i="6"/>
  <c r="X1118" i="6"/>
  <c r="X1119" i="6"/>
  <c r="X1120" i="6"/>
  <c r="X1121" i="6"/>
  <c r="X1122" i="6"/>
  <c r="X1123" i="6"/>
  <c r="X1124" i="6"/>
  <c r="X1125" i="6"/>
  <c r="X1126" i="6"/>
  <c r="X1127" i="6"/>
  <c r="X1128" i="6"/>
  <c r="X1129" i="6"/>
  <c r="X1130" i="6"/>
  <c r="X1131" i="6"/>
  <c r="X1132" i="6"/>
  <c r="X1133" i="6"/>
  <c r="X1134" i="6"/>
  <c r="X1135" i="6"/>
  <c r="X1136" i="6"/>
  <c r="X1137" i="6"/>
  <c r="X1138" i="6"/>
  <c r="X1139" i="6"/>
  <c r="X1140" i="6"/>
  <c r="X1141" i="6"/>
  <c r="X1142" i="6"/>
  <c r="X1143" i="6"/>
  <c r="X1144" i="6"/>
  <c r="X1145" i="6"/>
  <c r="X1146" i="6"/>
  <c r="X1147" i="6"/>
  <c r="X1148" i="6"/>
  <c r="X1149" i="6"/>
  <c r="X1150" i="6"/>
  <c r="X1151" i="6"/>
  <c r="X1152" i="6"/>
  <c r="X1153" i="6"/>
  <c r="X1154" i="6"/>
  <c r="X1155" i="6"/>
  <c r="X1156" i="6"/>
  <c r="X1157" i="6"/>
  <c r="X1158" i="6"/>
  <c r="X1159" i="6"/>
  <c r="X1160" i="6"/>
  <c r="X1161" i="6"/>
  <c r="X1162" i="6"/>
  <c r="X1163" i="6"/>
  <c r="X1164" i="6"/>
  <c r="X1165" i="6"/>
  <c r="X1166" i="6"/>
  <c r="X1167" i="6"/>
  <c r="X1168" i="6"/>
  <c r="X1169" i="6"/>
  <c r="X1170" i="6"/>
  <c r="X1171" i="6"/>
  <c r="X1172" i="6"/>
  <c r="X1173" i="6"/>
  <c r="X1174" i="6"/>
  <c r="X1175" i="6"/>
  <c r="X1176" i="6"/>
  <c r="X1177" i="6"/>
  <c r="X1178" i="6"/>
  <c r="X1179" i="6"/>
  <c r="X1180" i="6"/>
  <c r="X1181" i="6"/>
  <c r="X1182" i="6"/>
  <c r="X1183" i="6"/>
  <c r="X1184" i="6"/>
  <c r="X1185" i="6"/>
  <c r="X1186" i="6"/>
  <c r="X1187" i="6"/>
  <c r="X1188" i="6"/>
  <c r="X1189" i="6"/>
  <c r="X1190" i="6"/>
  <c r="X1191" i="6"/>
  <c r="X1192" i="6"/>
  <c r="X1193" i="6"/>
  <c r="X1194" i="6"/>
  <c r="X1195" i="6"/>
  <c r="X1196" i="6"/>
  <c r="X1197" i="6"/>
  <c r="X1198" i="6"/>
  <c r="X1199" i="6"/>
  <c r="X1200" i="6"/>
  <c r="X1201" i="6"/>
  <c r="X1202" i="6"/>
  <c r="X1203" i="6"/>
  <c r="X1204" i="6"/>
  <c r="X1205" i="6"/>
  <c r="X1206" i="6"/>
  <c r="X1207" i="6"/>
  <c r="X1208" i="6"/>
  <c r="X1209" i="6"/>
  <c r="X1210" i="6"/>
  <c r="X1211" i="6"/>
  <c r="X1212" i="6"/>
  <c r="X1213" i="6"/>
  <c r="X1214" i="6"/>
  <c r="X1215" i="6"/>
  <c r="X1216" i="6"/>
  <c r="X1217" i="6"/>
  <c r="X1218" i="6"/>
  <c r="X1219" i="6"/>
  <c r="X1220" i="6"/>
  <c r="X1221" i="6"/>
  <c r="X1222" i="6"/>
  <c r="X1223" i="6"/>
  <c r="X1224" i="6"/>
  <c r="X1225" i="6"/>
  <c r="X1226" i="6"/>
  <c r="X1227" i="6"/>
  <c r="X1228" i="6"/>
  <c r="X1229" i="6"/>
  <c r="X1230" i="6"/>
  <c r="X1231" i="6"/>
  <c r="X1232" i="6"/>
  <c r="X1233" i="6"/>
  <c r="X1234" i="6"/>
  <c r="X1235" i="6"/>
  <c r="X1236" i="6"/>
  <c r="X1237" i="6"/>
  <c r="X1238" i="6"/>
  <c r="X1239" i="6"/>
  <c r="X1240" i="6"/>
  <c r="X1241" i="6"/>
  <c r="X1242" i="6"/>
  <c r="X1243" i="6"/>
  <c r="X1244" i="6"/>
  <c r="X1245" i="6"/>
  <c r="X1246" i="6"/>
  <c r="X1247" i="6"/>
  <c r="X1248" i="6"/>
  <c r="X1249" i="6"/>
  <c r="X1250" i="6"/>
  <c r="X1251" i="6"/>
  <c r="X1252" i="6"/>
  <c r="X1253" i="6"/>
  <c r="X1254" i="6"/>
  <c r="X1255" i="6"/>
  <c r="X1256" i="6"/>
  <c r="X1257" i="6"/>
  <c r="X1258" i="6"/>
  <c r="X1259" i="6"/>
  <c r="X1260" i="6"/>
  <c r="X1261" i="6"/>
  <c r="X1262" i="6"/>
  <c r="X1263" i="6"/>
  <c r="X1264" i="6"/>
  <c r="X1265" i="6"/>
  <c r="X1266" i="6"/>
  <c r="X1267" i="6"/>
  <c r="X1268" i="6"/>
  <c r="X1269" i="6"/>
  <c r="X1270" i="6"/>
  <c r="X1271" i="6"/>
  <c r="X1272" i="6"/>
  <c r="X1273" i="6"/>
  <c r="X1274" i="6"/>
  <c r="X1275" i="6"/>
  <c r="X1276" i="6"/>
  <c r="X1277" i="6"/>
  <c r="X1278" i="6"/>
  <c r="X1279" i="6"/>
  <c r="X1280" i="6"/>
  <c r="X1281" i="6"/>
  <c r="X1282" i="6"/>
  <c r="X1283" i="6"/>
  <c r="X1284" i="6"/>
  <c r="X1285" i="6"/>
  <c r="X1286" i="6"/>
  <c r="X1287" i="6"/>
  <c r="X1288" i="6"/>
  <c r="X1289" i="6"/>
  <c r="X1290" i="6"/>
  <c r="X1291" i="6"/>
  <c r="X1292" i="6"/>
  <c r="X1293" i="6"/>
  <c r="X1294" i="6"/>
  <c r="X1295" i="6"/>
  <c r="X1296" i="6"/>
  <c r="X1297" i="6"/>
  <c r="X1298" i="6"/>
  <c r="X1299" i="6"/>
  <c r="X1300" i="6"/>
  <c r="X1301" i="6"/>
  <c r="X1302" i="6"/>
  <c r="X1303" i="6"/>
  <c r="X1304" i="6"/>
  <c r="X1305" i="6"/>
  <c r="X1306" i="6"/>
  <c r="X1307" i="6"/>
  <c r="X1308" i="6"/>
  <c r="X1309" i="6"/>
  <c r="X1310" i="6"/>
  <c r="X1311" i="6"/>
  <c r="X1312" i="6"/>
  <c r="X1313" i="6"/>
  <c r="X1314" i="6"/>
  <c r="X1315" i="6"/>
  <c r="X1316" i="6"/>
  <c r="X1317" i="6"/>
  <c r="X1318" i="6"/>
  <c r="X1319" i="6"/>
  <c r="X1320" i="6"/>
  <c r="X1321" i="6"/>
  <c r="X1322" i="6"/>
  <c r="X1323" i="6"/>
  <c r="X1324" i="6"/>
  <c r="X1325" i="6"/>
  <c r="X1326" i="6"/>
  <c r="X1327" i="6"/>
  <c r="X1328" i="6"/>
  <c r="X1329" i="6"/>
  <c r="X1330" i="6"/>
  <c r="X1331" i="6"/>
  <c r="X1332" i="6"/>
  <c r="X1333" i="6"/>
  <c r="X1334" i="6"/>
  <c r="X1335" i="6"/>
  <c r="X1336" i="6"/>
  <c r="X1337" i="6"/>
  <c r="X1338" i="6"/>
  <c r="X1339" i="6"/>
  <c r="X1340" i="6"/>
  <c r="X1341" i="6"/>
  <c r="X1342" i="6"/>
  <c r="X1343" i="6"/>
  <c r="X1344" i="6"/>
  <c r="X1345" i="6"/>
  <c r="X1346" i="6"/>
  <c r="X1347" i="6"/>
  <c r="X1348" i="6"/>
  <c r="X1349" i="6"/>
  <c r="X1350" i="6"/>
  <c r="X1351" i="6"/>
  <c r="X1352" i="6"/>
  <c r="X1353" i="6"/>
  <c r="X1354" i="6"/>
  <c r="X1355" i="6"/>
  <c r="X1356" i="6"/>
  <c r="X1357" i="6"/>
  <c r="X1358" i="6"/>
  <c r="X1359" i="6"/>
  <c r="X1360" i="6"/>
  <c r="X1361" i="6"/>
  <c r="X1362" i="6"/>
  <c r="X1363" i="6"/>
  <c r="X1364" i="6"/>
  <c r="X1365" i="6"/>
  <c r="X1366" i="6"/>
  <c r="X1367" i="6"/>
  <c r="X1368" i="6"/>
  <c r="X1369" i="6"/>
  <c r="X1370" i="6"/>
  <c r="X1371" i="6"/>
  <c r="X1372" i="6"/>
  <c r="X1373" i="6"/>
  <c r="X1374" i="6"/>
  <c r="X1375" i="6"/>
  <c r="X1376" i="6"/>
  <c r="X1377" i="6"/>
  <c r="X1378" i="6"/>
  <c r="X1379" i="6"/>
  <c r="X1380" i="6"/>
  <c r="X1381" i="6"/>
  <c r="X1382" i="6"/>
  <c r="X1383" i="6"/>
  <c r="X1384" i="6"/>
  <c r="X1385" i="6"/>
  <c r="X1386" i="6"/>
  <c r="X1387" i="6"/>
  <c r="X1388" i="6"/>
  <c r="X1389" i="6"/>
  <c r="X1390" i="6"/>
  <c r="X1391" i="6"/>
  <c r="X1392" i="6"/>
  <c r="X1393" i="6"/>
  <c r="X1394" i="6"/>
  <c r="X1395" i="6"/>
  <c r="X1396" i="6"/>
  <c r="X1397" i="6"/>
  <c r="X1398" i="6"/>
  <c r="X1399" i="6"/>
  <c r="X1400" i="6"/>
  <c r="X1401" i="6"/>
  <c r="X1402" i="6"/>
  <c r="X1403" i="6"/>
  <c r="X1404" i="6"/>
  <c r="X1405" i="6"/>
  <c r="X1406" i="6"/>
  <c r="X1407" i="6"/>
  <c r="X1408" i="6"/>
  <c r="X1409" i="6"/>
  <c r="X1410" i="6"/>
  <c r="X1411" i="6"/>
  <c r="X1412" i="6"/>
  <c r="X1413" i="6"/>
  <c r="X1414" i="6"/>
  <c r="X1415" i="6"/>
  <c r="X1416" i="6"/>
  <c r="X1417" i="6"/>
  <c r="X1418" i="6"/>
  <c r="X1419" i="6"/>
  <c r="X1420" i="6"/>
  <c r="X1421" i="6"/>
  <c r="X1422" i="6"/>
  <c r="X1423" i="6"/>
  <c r="X1424" i="6"/>
  <c r="X1425" i="6"/>
  <c r="X1426" i="6"/>
  <c r="X1427" i="6"/>
  <c r="X1428" i="6"/>
  <c r="X1429" i="6"/>
  <c r="X1430" i="6"/>
  <c r="X1431" i="6"/>
  <c r="X1432" i="6"/>
  <c r="X1433" i="6"/>
  <c r="X1434" i="6"/>
  <c r="X1435" i="6"/>
  <c r="X1436" i="6"/>
  <c r="X1437" i="6"/>
  <c r="X1438" i="6"/>
  <c r="X1439" i="6"/>
  <c r="X1440" i="6"/>
  <c r="X1441" i="6"/>
  <c r="X1442" i="6"/>
  <c r="X1443" i="6"/>
  <c r="X1444" i="6"/>
  <c r="X1445" i="6"/>
  <c r="X1446" i="6"/>
  <c r="X1447" i="6"/>
  <c r="X1448" i="6"/>
  <c r="X1449" i="6"/>
  <c r="X1450" i="6"/>
  <c r="X1451" i="6"/>
  <c r="X1452" i="6"/>
  <c r="X1453" i="6"/>
  <c r="X1454" i="6"/>
  <c r="X1455" i="6"/>
  <c r="X1456" i="6"/>
  <c r="X1457" i="6"/>
  <c r="X1458" i="6"/>
  <c r="X1459" i="6"/>
  <c r="X1460" i="6"/>
  <c r="X1461" i="6"/>
  <c r="X1462" i="6"/>
  <c r="X1463" i="6"/>
  <c r="X1464" i="6"/>
  <c r="X1465" i="6"/>
  <c r="X1466" i="6"/>
  <c r="X1467" i="6"/>
  <c r="X1468" i="6"/>
  <c r="X1469" i="6"/>
  <c r="X1470" i="6"/>
  <c r="X1471" i="6"/>
  <c r="X1472" i="6"/>
  <c r="X1473" i="6"/>
  <c r="X1474" i="6"/>
  <c r="X1475" i="6"/>
  <c r="X1476" i="6"/>
  <c r="X1477" i="6"/>
  <c r="X1478" i="6"/>
  <c r="X1479" i="6"/>
  <c r="X1480" i="6"/>
  <c r="X1481" i="6"/>
  <c r="X1482" i="6"/>
  <c r="X1483" i="6"/>
  <c r="X1484" i="6"/>
  <c r="X1485" i="6"/>
  <c r="X1486" i="6"/>
  <c r="X1487" i="6"/>
  <c r="X1488" i="6"/>
  <c r="X1489" i="6"/>
  <c r="X1490" i="6"/>
  <c r="X1491" i="6"/>
  <c r="X1492" i="6"/>
  <c r="X1493" i="6"/>
  <c r="X1494" i="6"/>
  <c r="X1495" i="6"/>
  <c r="X1496" i="6"/>
  <c r="X1497" i="6"/>
  <c r="X1498" i="6"/>
  <c r="X1499" i="6"/>
  <c r="X1500" i="6"/>
  <c r="X1501" i="6"/>
  <c r="X1502" i="6"/>
  <c r="X1503" i="6"/>
  <c r="X1504" i="6"/>
  <c r="X1505" i="6"/>
  <c r="X1506" i="6"/>
  <c r="X1507" i="6"/>
  <c r="X1508" i="6"/>
  <c r="X1509" i="6"/>
  <c r="X1510" i="6"/>
  <c r="X1511" i="6"/>
  <c r="X1512" i="6"/>
  <c r="X1513" i="6"/>
  <c r="X1514" i="6"/>
  <c r="X1515" i="6"/>
  <c r="X1516" i="6"/>
  <c r="X1517" i="6"/>
  <c r="X1518" i="6"/>
  <c r="X1519" i="6"/>
  <c r="X1520" i="6"/>
  <c r="X1521" i="6"/>
  <c r="X1522" i="6"/>
  <c r="X1523" i="6"/>
  <c r="X1524" i="6"/>
  <c r="X1525" i="6"/>
  <c r="X1526" i="6"/>
  <c r="X1527" i="6"/>
  <c r="X1528" i="6"/>
  <c r="X1529" i="6"/>
  <c r="X1530" i="6"/>
  <c r="X1531" i="6"/>
  <c r="X1532" i="6"/>
  <c r="X1533" i="6"/>
  <c r="X1534" i="6"/>
  <c r="X1535" i="6"/>
  <c r="X1536" i="6"/>
  <c r="X1537" i="6"/>
  <c r="X1538" i="6"/>
  <c r="X1539" i="6"/>
  <c r="X1540" i="6"/>
  <c r="X1541" i="6"/>
  <c r="X1542" i="6"/>
  <c r="X1543" i="6"/>
  <c r="X1544" i="6"/>
  <c r="X1545" i="6"/>
  <c r="X1546" i="6"/>
  <c r="X1547" i="6"/>
  <c r="X1548" i="6"/>
  <c r="X1549" i="6"/>
  <c r="X1550" i="6"/>
  <c r="X1551" i="6"/>
  <c r="X1552" i="6"/>
  <c r="X1553" i="6"/>
  <c r="X1554" i="6"/>
  <c r="X1555" i="6"/>
  <c r="X1556" i="6"/>
  <c r="X1557" i="6"/>
  <c r="X1558" i="6"/>
  <c r="X1559" i="6"/>
  <c r="X1560" i="6"/>
  <c r="X1561" i="6"/>
  <c r="X1562" i="6"/>
  <c r="X1563" i="6"/>
  <c r="X1564" i="6"/>
  <c r="X1565" i="6"/>
  <c r="X1566" i="6"/>
  <c r="X1567" i="6"/>
  <c r="X1568" i="6"/>
  <c r="X1569" i="6"/>
  <c r="X1570" i="6"/>
  <c r="X1571" i="6"/>
  <c r="X1572" i="6"/>
  <c r="X1573" i="6"/>
  <c r="X1574" i="6"/>
  <c r="X1575" i="6"/>
  <c r="X1576" i="6"/>
  <c r="X1577" i="6"/>
  <c r="X1578" i="6"/>
  <c r="X1579" i="6"/>
  <c r="X1580" i="6"/>
  <c r="X1581" i="6"/>
  <c r="X1582" i="6"/>
  <c r="X1583" i="6"/>
  <c r="X1584" i="6"/>
  <c r="X1585" i="6"/>
  <c r="X1586" i="6"/>
  <c r="X1587" i="6"/>
  <c r="X1588" i="6"/>
  <c r="X1589" i="6"/>
  <c r="X1590" i="6"/>
  <c r="X1591" i="6"/>
  <c r="X1592" i="6"/>
  <c r="X1593" i="6"/>
  <c r="X1594" i="6"/>
  <c r="X1595" i="6"/>
  <c r="X1596" i="6"/>
  <c r="X1597" i="6"/>
  <c r="X1598" i="6"/>
  <c r="X1599" i="6"/>
  <c r="X1600" i="6"/>
  <c r="X1601" i="6"/>
  <c r="X1602" i="6"/>
  <c r="X1603" i="6"/>
  <c r="X1604" i="6"/>
  <c r="X1605" i="6"/>
  <c r="X1606" i="6"/>
  <c r="X1607" i="6"/>
  <c r="X1608" i="6"/>
  <c r="X1609" i="6"/>
  <c r="X1610" i="6"/>
  <c r="X1611" i="6"/>
  <c r="X1612" i="6"/>
  <c r="X1613" i="6"/>
  <c r="X1614" i="6"/>
  <c r="X1615" i="6"/>
  <c r="X1616" i="6"/>
  <c r="X1617" i="6"/>
  <c r="X1618" i="6"/>
  <c r="X1619" i="6"/>
  <c r="X1620" i="6"/>
  <c r="X1621" i="6"/>
  <c r="X1622" i="6"/>
  <c r="X1623" i="6"/>
  <c r="X1624" i="6"/>
  <c r="X1625" i="6"/>
  <c r="X1626" i="6"/>
  <c r="X1627" i="6"/>
  <c r="X1628" i="6"/>
  <c r="X1629" i="6"/>
  <c r="X1630" i="6"/>
  <c r="X1631" i="6"/>
  <c r="X1632" i="6"/>
  <c r="X1633" i="6"/>
  <c r="X1634" i="6"/>
  <c r="X1635" i="6"/>
  <c r="X1636" i="6"/>
  <c r="X1637" i="6"/>
  <c r="X1638" i="6"/>
  <c r="X1639" i="6"/>
  <c r="X1640" i="6"/>
  <c r="X1641" i="6"/>
  <c r="X1642" i="6"/>
  <c r="X1643" i="6"/>
  <c r="X1644" i="6"/>
  <c r="X1645" i="6"/>
  <c r="X1646" i="6"/>
  <c r="X1647" i="6"/>
  <c r="X1648" i="6"/>
  <c r="X1649" i="6"/>
  <c r="X1650" i="6"/>
  <c r="X1651" i="6"/>
  <c r="X1652" i="6"/>
  <c r="X1653" i="6"/>
  <c r="X1654" i="6"/>
  <c r="X1655" i="6"/>
  <c r="X1656" i="6"/>
  <c r="X1657" i="6"/>
  <c r="X1658" i="6"/>
  <c r="X1659" i="6"/>
  <c r="X1660" i="6"/>
  <c r="X1661" i="6"/>
  <c r="X1662" i="6"/>
  <c r="X1663" i="6"/>
  <c r="X1664" i="6"/>
  <c r="X1665" i="6"/>
  <c r="X1666" i="6"/>
  <c r="X1667" i="6"/>
  <c r="X1668" i="6"/>
  <c r="X1669" i="6"/>
  <c r="X1670" i="6"/>
  <c r="X1671" i="6"/>
  <c r="X1672" i="6"/>
  <c r="X1673" i="6"/>
  <c r="X1674" i="6"/>
  <c r="X1675" i="6"/>
  <c r="X1676" i="6"/>
  <c r="X1677" i="6"/>
  <c r="X1678" i="6"/>
  <c r="X1679" i="6"/>
  <c r="X1680" i="6"/>
  <c r="X1681" i="6"/>
  <c r="X1682" i="6"/>
  <c r="X1683" i="6"/>
  <c r="X1684" i="6"/>
  <c r="X1685" i="6"/>
  <c r="X1686" i="6"/>
  <c r="X1687" i="6"/>
  <c r="X1688" i="6"/>
  <c r="X1689" i="6"/>
  <c r="X1690" i="6"/>
  <c r="X1691" i="6"/>
  <c r="X1692" i="6"/>
  <c r="X1693" i="6"/>
  <c r="X1694" i="6"/>
  <c r="X1695" i="6"/>
  <c r="X1696" i="6"/>
  <c r="X1697" i="6"/>
  <c r="X1698" i="6"/>
  <c r="X1699" i="6"/>
  <c r="X1700" i="6"/>
  <c r="X1701" i="6"/>
  <c r="X1702" i="6"/>
  <c r="X1703" i="6"/>
  <c r="X1704" i="6"/>
  <c r="X1705" i="6"/>
  <c r="X1706" i="6"/>
  <c r="X1707" i="6"/>
  <c r="X1708" i="6"/>
  <c r="X1709" i="6"/>
  <c r="X1710" i="6"/>
  <c r="X1711" i="6"/>
  <c r="X1712" i="6"/>
  <c r="X1713" i="6"/>
  <c r="X1714" i="6"/>
  <c r="X1715" i="6"/>
  <c r="X1716" i="6"/>
  <c r="X1717" i="6"/>
  <c r="X1718" i="6"/>
  <c r="X1719" i="6"/>
  <c r="X1720" i="6"/>
  <c r="X1721" i="6"/>
  <c r="X1722" i="6"/>
  <c r="X1723" i="6"/>
  <c r="X1724" i="6"/>
  <c r="X1725" i="6"/>
  <c r="X1726" i="6"/>
  <c r="X1727" i="6"/>
  <c r="X1728" i="6"/>
  <c r="X1729" i="6"/>
  <c r="X1730" i="6"/>
  <c r="X1731" i="6"/>
  <c r="X1732" i="6"/>
  <c r="X1733" i="6"/>
  <c r="X1734" i="6"/>
  <c r="X1735" i="6"/>
  <c r="X1736" i="6"/>
  <c r="X1737" i="6"/>
  <c r="X1738" i="6"/>
  <c r="X1739" i="6"/>
  <c r="X1740" i="6"/>
  <c r="X1741" i="6"/>
  <c r="X1742" i="6"/>
  <c r="X1743" i="6"/>
  <c r="X1744" i="6"/>
  <c r="X1745" i="6"/>
  <c r="X1746" i="6"/>
  <c r="X1747" i="6"/>
  <c r="X1748" i="6"/>
  <c r="X1749" i="6"/>
  <c r="X1750" i="6"/>
  <c r="X1751" i="6"/>
  <c r="X1752" i="6"/>
  <c r="X1753" i="6"/>
  <c r="X1754" i="6"/>
  <c r="X1755" i="6"/>
  <c r="X1756" i="6"/>
  <c r="X1757" i="6"/>
  <c r="X1758" i="6"/>
  <c r="X1759" i="6"/>
  <c r="X1760" i="6"/>
  <c r="X1761" i="6"/>
  <c r="X1762" i="6"/>
  <c r="X1763" i="6"/>
  <c r="X1764" i="6"/>
  <c r="X1765" i="6"/>
  <c r="X1766" i="6"/>
  <c r="X1767" i="6"/>
  <c r="X1768" i="6"/>
  <c r="X1769" i="6"/>
  <c r="X1770" i="6"/>
  <c r="X1771" i="6"/>
  <c r="X1772" i="6"/>
  <c r="X1773" i="6"/>
  <c r="X1774" i="6"/>
  <c r="X1775" i="6"/>
  <c r="X1776" i="6"/>
  <c r="X1777" i="6"/>
  <c r="X1778" i="6"/>
  <c r="X1779" i="6"/>
  <c r="X1780" i="6"/>
  <c r="X1781" i="6"/>
  <c r="X1782" i="6"/>
  <c r="X1783" i="6"/>
  <c r="X1784" i="6"/>
  <c r="X1785" i="6"/>
  <c r="X1786" i="6"/>
  <c r="X1787" i="6"/>
  <c r="X1788" i="6"/>
  <c r="X1789" i="6"/>
  <c r="X1790" i="6"/>
  <c r="X1791" i="6"/>
  <c r="X1792" i="6"/>
  <c r="X1793" i="6"/>
  <c r="X1794" i="6"/>
  <c r="X1795" i="6"/>
  <c r="X1796" i="6"/>
  <c r="X1797" i="6"/>
  <c r="X1798" i="6"/>
  <c r="X1799" i="6"/>
  <c r="X1800" i="6"/>
  <c r="X1801" i="6"/>
  <c r="X1802" i="6"/>
  <c r="X1803" i="6"/>
  <c r="X1804" i="6"/>
  <c r="X1805" i="6"/>
  <c r="X1806" i="6"/>
  <c r="X1807" i="6"/>
  <c r="X1808" i="6"/>
  <c r="X1809" i="6"/>
  <c r="X1810" i="6"/>
  <c r="X1811" i="6"/>
  <c r="X1812" i="6"/>
  <c r="X1813" i="6"/>
  <c r="X1814" i="6"/>
  <c r="X1815" i="6"/>
  <c r="X1816" i="6"/>
  <c r="X1817" i="6"/>
  <c r="X1818" i="6"/>
  <c r="X1819" i="6"/>
  <c r="X1820" i="6"/>
  <c r="X1821" i="6"/>
  <c r="X1822" i="6"/>
  <c r="X1823" i="6"/>
  <c r="X1824" i="6"/>
  <c r="X1825" i="6"/>
  <c r="X1826" i="6"/>
  <c r="X1827" i="6"/>
  <c r="X1828" i="6"/>
  <c r="X1829" i="6"/>
  <c r="X1830" i="6"/>
  <c r="X1831" i="6"/>
  <c r="X1832" i="6"/>
  <c r="X1833" i="6"/>
  <c r="X1834" i="6"/>
  <c r="X1835" i="6"/>
  <c r="X1836" i="6"/>
  <c r="X1837" i="6"/>
  <c r="X1838" i="6"/>
  <c r="X1839" i="6"/>
  <c r="X1840" i="6"/>
  <c r="X1841" i="6"/>
  <c r="X1842" i="6"/>
  <c r="X1843" i="6"/>
  <c r="X1844" i="6"/>
  <c r="X1845" i="6"/>
  <c r="X1846" i="6"/>
  <c r="X1847" i="6"/>
  <c r="X1848" i="6"/>
  <c r="X1849" i="6"/>
  <c r="X1850" i="6"/>
  <c r="X1851" i="6"/>
  <c r="X1852" i="6"/>
  <c r="X1853" i="6"/>
  <c r="X1854" i="6"/>
  <c r="X1855" i="6"/>
  <c r="X1856" i="6"/>
  <c r="X1857" i="6"/>
  <c r="X1858" i="6"/>
  <c r="X1859" i="6"/>
  <c r="X1860" i="6"/>
  <c r="X1861" i="6"/>
  <c r="X1862" i="6"/>
  <c r="X1863" i="6"/>
  <c r="X1864" i="6"/>
  <c r="X1865" i="6"/>
  <c r="X1866" i="6"/>
  <c r="X1867" i="6"/>
  <c r="X1868" i="6"/>
  <c r="X1869" i="6"/>
  <c r="X1870" i="6"/>
  <c r="X1871" i="6"/>
  <c r="X1872" i="6"/>
  <c r="X1873" i="6"/>
  <c r="X1874" i="6"/>
  <c r="X1875" i="6"/>
  <c r="X1876" i="6"/>
  <c r="X1877" i="6"/>
  <c r="X1878" i="6"/>
  <c r="X1879" i="6"/>
  <c r="X1880" i="6"/>
  <c r="X1881" i="6"/>
  <c r="X1882" i="6"/>
  <c r="X1883" i="6"/>
  <c r="X1884" i="6"/>
  <c r="X1885" i="6"/>
  <c r="X1886" i="6"/>
  <c r="X1887" i="6"/>
  <c r="X1888" i="6"/>
  <c r="X1889" i="6"/>
  <c r="X1890" i="6"/>
  <c r="X1891" i="6"/>
  <c r="X1892" i="6"/>
  <c r="X1893" i="6"/>
  <c r="X1894" i="6"/>
  <c r="X1895" i="6"/>
  <c r="X1896" i="6"/>
  <c r="X1897" i="6"/>
  <c r="X1898" i="6"/>
  <c r="X1899" i="6"/>
  <c r="X1900" i="6"/>
  <c r="X1901" i="6"/>
  <c r="X1902" i="6"/>
  <c r="X1903" i="6"/>
  <c r="X1904" i="6"/>
  <c r="X1905" i="6"/>
  <c r="X1906" i="6"/>
  <c r="X1907" i="6"/>
  <c r="X1908" i="6"/>
  <c r="X1909" i="6"/>
  <c r="X1910" i="6"/>
  <c r="X1911" i="6"/>
  <c r="X1912" i="6"/>
  <c r="X1913" i="6"/>
  <c r="X1914" i="6"/>
  <c r="X1915" i="6"/>
  <c r="X1916" i="6"/>
  <c r="X1917" i="6"/>
  <c r="X1918" i="6"/>
  <c r="X1919" i="6"/>
  <c r="X1920" i="6"/>
  <c r="X1921" i="6"/>
  <c r="X1922" i="6"/>
  <c r="X1923" i="6"/>
  <c r="X1924" i="6"/>
  <c r="X1925" i="6"/>
  <c r="X1926" i="6"/>
  <c r="X1927" i="6"/>
  <c r="X1928" i="6"/>
  <c r="X1929" i="6"/>
  <c r="X1930" i="6"/>
  <c r="X1931" i="6"/>
  <c r="X1932" i="6"/>
  <c r="X1933" i="6"/>
  <c r="X1934" i="6"/>
  <c r="X1935" i="6"/>
  <c r="X1936" i="6"/>
  <c r="X1937" i="6"/>
  <c r="X1938" i="6"/>
  <c r="X1939" i="6"/>
  <c r="X1940" i="6"/>
  <c r="X1941" i="6"/>
  <c r="X1942" i="6"/>
  <c r="X1943" i="6"/>
  <c r="X1944" i="6"/>
  <c r="X1945" i="6"/>
  <c r="X1946" i="6"/>
  <c r="X1947" i="6"/>
  <c r="X1948" i="6"/>
  <c r="X1949" i="6"/>
  <c r="X1950" i="6"/>
  <c r="X1951" i="6"/>
  <c r="X1952" i="6"/>
  <c r="X1953" i="6"/>
  <c r="X1954" i="6"/>
</calcChain>
</file>

<file path=xl/sharedStrings.xml><?xml version="1.0" encoding="utf-8"?>
<sst xmlns="http://schemas.openxmlformats.org/spreadsheetml/2006/main" count="14693" uniqueCount="7155">
  <si>
    <t>股本</t>
  </si>
  <si>
    <t>鴻海</t>
  </si>
  <si>
    <t>和碩</t>
  </si>
  <si>
    <t>廣達</t>
  </si>
  <si>
    <t>仁寶</t>
  </si>
  <si>
    <t>英業達</t>
  </si>
  <si>
    <t>緯創</t>
  </si>
  <si>
    <t>微星</t>
  </si>
  <si>
    <t>亞太電信股份有限公司</t>
  </si>
  <si>
    <t>海華</t>
  </si>
  <si>
    <t>華擎</t>
  </si>
  <si>
    <t>景碩</t>
  </si>
  <si>
    <t>鋐寶科技</t>
  </si>
  <si>
    <t>緯穎</t>
  </si>
  <si>
    <t>閎暉實業股份有限公司</t>
  </si>
  <si>
    <t>證券代號</t>
  </si>
  <si>
    <t>公司名稱</t>
  </si>
  <si>
    <t>淨值</t>
  </si>
  <si>
    <t>市值</t>
  </si>
  <si>
    <t>負債比率</t>
  </si>
  <si>
    <t>總資產</t>
  </si>
  <si>
    <t>證券名稱</t>
  </si>
  <si>
    <t>收盤價</t>
  </si>
  <si>
    <t>流動資產</t>
  </si>
  <si>
    <t>流動負債</t>
  </si>
  <si>
    <t>總負債</t>
  </si>
  <si>
    <t>上市</t>
  </si>
  <si>
    <t>台灣水泥股份有限公司</t>
  </si>
  <si>
    <t>台泥</t>
  </si>
  <si>
    <t>亞洲水泥股份有限公司</t>
  </si>
  <si>
    <t>亞泥</t>
  </si>
  <si>
    <t>嘉新水泥股份有限公司</t>
  </si>
  <si>
    <t>嘉泥</t>
  </si>
  <si>
    <t>環球水泥股份有限公司</t>
  </si>
  <si>
    <t>環泥</t>
  </si>
  <si>
    <t>幸福水泥股份有限公司</t>
  </si>
  <si>
    <t>幸福</t>
  </si>
  <si>
    <t>信大水泥股份有限公司</t>
  </si>
  <si>
    <t>信大</t>
  </si>
  <si>
    <t>東南水泥股份有限公司</t>
  </si>
  <si>
    <t>東泥</t>
  </si>
  <si>
    <t>味全食品工業股份有限公司</t>
  </si>
  <si>
    <t>味全</t>
  </si>
  <si>
    <t>味王股份有限公司</t>
  </si>
  <si>
    <t>味王</t>
  </si>
  <si>
    <t>大成長城企業股份有限公司</t>
  </si>
  <si>
    <t>大成</t>
  </si>
  <si>
    <t>大西洋飲料股份有限公司</t>
  </si>
  <si>
    <t>大飲</t>
  </si>
  <si>
    <t>台灣卜蜂企業股份有限公司</t>
  </si>
  <si>
    <t>卜蜂</t>
  </si>
  <si>
    <t>統一企業股份有限公司</t>
  </si>
  <si>
    <t>統一</t>
  </si>
  <si>
    <t>愛之味股份有限公司</t>
  </si>
  <si>
    <t>愛之味</t>
  </si>
  <si>
    <t>泰山企業股份有限公司</t>
  </si>
  <si>
    <t>泰山</t>
  </si>
  <si>
    <t>福壽實業股份有限公司</t>
  </si>
  <si>
    <t>福壽</t>
  </si>
  <si>
    <t>台榮產業股份有限公司</t>
  </si>
  <si>
    <t>台榮</t>
  </si>
  <si>
    <t>福懋油脂股份有限公司</t>
  </si>
  <si>
    <t>福懋油</t>
  </si>
  <si>
    <t>佳格食品股份有限公司</t>
  </si>
  <si>
    <t>佳格</t>
  </si>
  <si>
    <t>聯華實業投資控股股份有限公司</t>
  </si>
  <si>
    <t>聯華</t>
  </si>
  <si>
    <t>聯華食品工業股份有限公司</t>
  </si>
  <si>
    <t>聯華食</t>
  </si>
  <si>
    <t>大統益股份有限公司</t>
  </si>
  <si>
    <t>大統益</t>
  </si>
  <si>
    <t>天仁茶業股份有限公司</t>
  </si>
  <si>
    <t>天仁</t>
  </si>
  <si>
    <t>黑松股份有限公司</t>
  </si>
  <si>
    <t>黑松</t>
  </si>
  <si>
    <t>興泰實業股份有限公司</t>
  </si>
  <si>
    <t>興泰</t>
  </si>
  <si>
    <t>宏亞食品股份有限公司</t>
  </si>
  <si>
    <t>宏亞</t>
  </si>
  <si>
    <t>鮮活控股股份有限公司</t>
  </si>
  <si>
    <t>鮮活果汁-KY</t>
  </si>
  <si>
    <t>台灣塑膠工業股份有限公司</t>
  </si>
  <si>
    <t>台塑</t>
  </si>
  <si>
    <t>南亞塑膠工業股份有限公司</t>
  </si>
  <si>
    <t>南亞</t>
  </si>
  <si>
    <t>台灣聚合化學品股份有限公司</t>
  </si>
  <si>
    <t>台聚</t>
  </si>
  <si>
    <t>華夏海灣塑膠股份有限公司</t>
  </si>
  <si>
    <t>華夏</t>
  </si>
  <si>
    <t>三芳化學工業股份有限公司</t>
  </si>
  <si>
    <t>三芳</t>
  </si>
  <si>
    <t>亞洲聚合股份有限公司</t>
  </si>
  <si>
    <t>亞聚</t>
  </si>
  <si>
    <t>台達化學工業股份有限公司</t>
  </si>
  <si>
    <t>台達化</t>
  </si>
  <si>
    <t>台灣苯乙烯工業股份有限公司</t>
  </si>
  <si>
    <t>台苯</t>
  </si>
  <si>
    <t>國喬石油化學股份有限公司</t>
  </si>
  <si>
    <t>國喬</t>
  </si>
  <si>
    <t>聯成化學科技股份有限公司</t>
  </si>
  <si>
    <t>聯成</t>
  </si>
  <si>
    <t>中國石油化學工業開發(股)公司</t>
  </si>
  <si>
    <t>中石化</t>
  </si>
  <si>
    <t>達新工業股份有限公司</t>
  </si>
  <si>
    <t>達新</t>
  </si>
  <si>
    <t>上曜建設開發股份有限公司</t>
  </si>
  <si>
    <t>上曜</t>
  </si>
  <si>
    <t>東陽實業廠股份有限公司</t>
  </si>
  <si>
    <t>東陽</t>
  </si>
  <si>
    <t>大洋塑膠工業股份有限公司</t>
  </si>
  <si>
    <t>大洋</t>
  </si>
  <si>
    <t>永裕塑膠工業股份有限公司</t>
  </si>
  <si>
    <t>永裕</t>
  </si>
  <si>
    <t>地球綜合工業股份有限公司</t>
  </si>
  <si>
    <t>地球</t>
  </si>
  <si>
    <t>恒大股份有限公司</t>
  </si>
  <si>
    <t>恆大</t>
  </si>
  <si>
    <t>台灣化學纖維股份有限公司</t>
  </si>
  <si>
    <t>台化</t>
  </si>
  <si>
    <t>亞洲塑膠再生資源控股有限公司</t>
  </si>
  <si>
    <t>再生-KY</t>
  </si>
  <si>
    <t>廣華控股有限公司</t>
  </si>
  <si>
    <t>廣華-KY</t>
  </si>
  <si>
    <t>昭輝實業股份有限公司</t>
  </si>
  <si>
    <t>昭輝</t>
  </si>
  <si>
    <t>勝悅新材料有限公司</t>
  </si>
  <si>
    <t>勝悅-KY</t>
  </si>
  <si>
    <t>富林塑膠工業(開曼)控股(股)公司</t>
  </si>
  <si>
    <t>富林-KY</t>
  </si>
  <si>
    <t>遠東新世紀股份有限公司</t>
  </si>
  <si>
    <t>遠東新</t>
  </si>
  <si>
    <t>新光合成纖維股份有限公司</t>
  </si>
  <si>
    <t>新纖</t>
  </si>
  <si>
    <t>南洋染整股份有限公司</t>
  </si>
  <si>
    <t>南染</t>
  </si>
  <si>
    <t>宏洲纖維工業股份有限公司</t>
  </si>
  <si>
    <t>宏洲</t>
  </si>
  <si>
    <t>東和紡織股份有限公司</t>
  </si>
  <si>
    <t>東和</t>
  </si>
  <si>
    <t>廣豐實業股份有限公司</t>
  </si>
  <si>
    <t>廣豐</t>
  </si>
  <si>
    <t>嘉裕股份有限公司</t>
  </si>
  <si>
    <t>嘉裕</t>
  </si>
  <si>
    <t>東華合纖股份有限公司</t>
  </si>
  <si>
    <t>東華</t>
  </si>
  <si>
    <t>新光紡織股份有限公司</t>
  </si>
  <si>
    <t>新紡</t>
  </si>
  <si>
    <t>利華羊毛工業股份有限公司</t>
  </si>
  <si>
    <t>利華</t>
  </si>
  <si>
    <t>大魯閣實業股份有限公司</t>
  </si>
  <si>
    <t>大魯閣</t>
  </si>
  <si>
    <t>福懋興業股份有限公司</t>
  </si>
  <si>
    <t>福懋</t>
  </si>
  <si>
    <t>中福國際(股)公司</t>
  </si>
  <si>
    <t>中福</t>
  </si>
  <si>
    <t>華友聯開發股份有限公司(原福益)</t>
  </si>
  <si>
    <t>華友聯</t>
  </si>
  <si>
    <t>勤益投資控股股份有限公司</t>
  </si>
  <si>
    <t>勤益控</t>
  </si>
  <si>
    <t>裕豐國際開發股份有限公司</t>
  </si>
  <si>
    <t>裕豐</t>
  </si>
  <si>
    <t>中和羊毛工業股份有限公司</t>
  </si>
  <si>
    <t>中和</t>
  </si>
  <si>
    <t>臺南紡織股份有限公司</t>
  </si>
  <si>
    <t>南紡</t>
  </si>
  <si>
    <t>大東紡織股份有限公司</t>
  </si>
  <si>
    <t>大東</t>
  </si>
  <si>
    <t>名軒開發股份有限公司</t>
  </si>
  <si>
    <t>名軒</t>
  </si>
  <si>
    <t>立益紡織股份有限公司</t>
  </si>
  <si>
    <t>立益</t>
  </si>
  <si>
    <t>力麗企業股份有限公司</t>
  </si>
  <si>
    <t>力麗</t>
  </si>
  <si>
    <t>大宇紡織股份有限公司</t>
  </si>
  <si>
    <t>大宇</t>
  </si>
  <si>
    <t>宏和精密紡織股份有限公司</t>
  </si>
  <si>
    <t>宏和</t>
  </si>
  <si>
    <t>力鵬企業股份有限公司</t>
  </si>
  <si>
    <t>力鵬</t>
  </si>
  <si>
    <t>佳和實業股份有限公司</t>
  </si>
  <si>
    <t>佳和</t>
  </si>
  <si>
    <t>年興紡織股份有限公司</t>
  </si>
  <si>
    <t>年興</t>
  </si>
  <si>
    <t>宏益纖維工業股份有限公司</t>
  </si>
  <si>
    <t>宏益</t>
  </si>
  <si>
    <t>大將開發股份有限公司</t>
  </si>
  <si>
    <t>大將</t>
  </si>
  <si>
    <t>台灣富綢纖維股份有限公司</t>
  </si>
  <si>
    <t>台富</t>
  </si>
  <si>
    <t>集盛實業股份有限公司</t>
  </si>
  <si>
    <t>集盛</t>
  </si>
  <si>
    <t>怡華實業股份有限公司</t>
  </si>
  <si>
    <t>怡華</t>
  </si>
  <si>
    <t>宜進實業股份有限公司</t>
  </si>
  <si>
    <t>宜進</t>
  </si>
  <si>
    <t>聯發紡織纖維股份有限公司</t>
  </si>
  <si>
    <t>聯發</t>
  </si>
  <si>
    <t>宏遠興業股份有限公司</t>
  </si>
  <si>
    <t>宏遠</t>
  </si>
  <si>
    <t>強盛染整股份有限公司</t>
  </si>
  <si>
    <t>強盛</t>
  </si>
  <si>
    <t>得力實業股份有限公司</t>
  </si>
  <si>
    <t>得力</t>
  </si>
  <si>
    <t>偉全實業股份有限公司</t>
  </si>
  <si>
    <t>偉全</t>
  </si>
  <si>
    <t>聚隆纖維股份有限公司</t>
  </si>
  <si>
    <t>聚隆</t>
  </si>
  <si>
    <t>南緯實業股份有限公司</t>
  </si>
  <si>
    <t>南緯</t>
  </si>
  <si>
    <t>昶和纖維興業股份有限公司</t>
  </si>
  <si>
    <t>昶和</t>
  </si>
  <si>
    <t>大統新創股份有限公司</t>
  </si>
  <si>
    <t>大統新創</t>
  </si>
  <si>
    <t>首利實業股份有限公司</t>
  </si>
  <si>
    <t>首利</t>
  </si>
  <si>
    <t>三洋紡織纖維股份有限公司</t>
  </si>
  <si>
    <t>三洋紡</t>
  </si>
  <si>
    <t>台南企業股份有限公司</t>
  </si>
  <si>
    <t>台南</t>
  </si>
  <si>
    <t>弘裕企業股份有限公司</t>
  </si>
  <si>
    <t>弘裕</t>
  </si>
  <si>
    <t>本盟光電股份有限公司</t>
  </si>
  <si>
    <t>本盟</t>
  </si>
  <si>
    <t>儒鴻企業股份有限公司</t>
  </si>
  <si>
    <t>儒鴻</t>
  </si>
  <si>
    <t>聚陽實業股份有限公司</t>
  </si>
  <si>
    <t>聚陽</t>
  </si>
  <si>
    <t>士林電機廠股份有限公司</t>
  </si>
  <si>
    <t>士電</t>
  </si>
  <si>
    <t>東元電機股份有限公司</t>
  </si>
  <si>
    <t>東元</t>
  </si>
  <si>
    <t>正道工業股份有限公司</t>
  </si>
  <si>
    <t>正道</t>
  </si>
  <si>
    <t>永大機電工業股份有限公司</t>
  </si>
  <si>
    <t>永大</t>
  </si>
  <si>
    <t>瑞利企業股份有限公司</t>
  </si>
  <si>
    <t>瑞利</t>
  </si>
  <si>
    <t>中興電工機械股份有限公司</t>
  </si>
  <si>
    <t>中興電</t>
  </si>
  <si>
    <t>亞力電機股份有限公司</t>
  </si>
  <si>
    <t>亞力</t>
  </si>
  <si>
    <t>力山工業股份有限公司</t>
  </si>
  <si>
    <t>力山</t>
  </si>
  <si>
    <t>川飛能源股份有限公司</t>
  </si>
  <si>
    <t>川飛</t>
  </si>
  <si>
    <t>利奇機械工業股份有限公司</t>
  </si>
  <si>
    <t>利奇</t>
  </si>
  <si>
    <t>華城電機股份有限公司</t>
  </si>
  <si>
    <t>華城</t>
  </si>
  <si>
    <t>大億交通工業製造股份有限公司</t>
  </si>
  <si>
    <t>大億</t>
  </si>
  <si>
    <t>堤維西交通工業股份有限公司</t>
  </si>
  <si>
    <t>堤維西</t>
  </si>
  <si>
    <t>耿鼎企業股份有限公司</t>
  </si>
  <si>
    <t>耿鼎</t>
  </si>
  <si>
    <t>江申工業股份有限公司</t>
  </si>
  <si>
    <t>江申</t>
  </si>
  <si>
    <t>日馳企業股份有限公司</t>
  </si>
  <si>
    <t>日馳</t>
  </si>
  <si>
    <t>鑽全實業股份有限公司</t>
  </si>
  <si>
    <t>鑽全</t>
  </si>
  <si>
    <t>恩德科技股份有限公司</t>
  </si>
  <si>
    <t>恩德</t>
  </si>
  <si>
    <t>樂士股份有限公司</t>
  </si>
  <si>
    <t>樂士</t>
  </si>
  <si>
    <t>亞崴機電股份有限公司</t>
  </si>
  <si>
    <t>亞崴</t>
  </si>
  <si>
    <t>高林股份有限公司</t>
  </si>
  <si>
    <t>高林股</t>
  </si>
  <si>
    <t>勤美股份有限公司</t>
  </si>
  <si>
    <t>勤美</t>
  </si>
  <si>
    <t>車王電子股份有限公司</t>
  </si>
  <si>
    <t>車王電</t>
  </si>
  <si>
    <t>中宇環保工程股份有限公司</t>
  </si>
  <si>
    <t>中宇</t>
  </si>
  <si>
    <t>和大工業股份有限公司</t>
  </si>
  <si>
    <t>和大</t>
  </si>
  <si>
    <t>廣隆光電科技股份有限公司</t>
  </si>
  <si>
    <t>廣隆</t>
  </si>
  <si>
    <t>正峰新能源股份有限公司</t>
  </si>
  <si>
    <t>正峰新</t>
  </si>
  <si>
    <t>巨庭機械股份有限公司</t>
  </si>
  <si>
    <t>巨庭</t>
  </si>
  <si>
    <t>喬福機械工業股份有限公司</t>
  </si>
  <si>
    <t>喬福</t>
  </si>
  <si>
    <t>錩泰工業股份有限公司</t>
  </si>
  <si>
    <t>錩泰</t>
  </si>
  <si>
    <t>伸興工業股份有限公司</t>
  </si>
  <si>
    <t>伸興</t>
  </si>
  <si>
    <t>中國砂輪企業股份有限公司</t>
  </si>
  <si>
    <t>中砂</t>
  </si>
  <si>
    <t>倉佑實業股份有限公司</t>
  </si>
  <si>
    <t>倉佑</t>
  </si>
  <si>
    <t>信錦企業股份有限公司</t>
  </si>
  <si>
    <t>信錦</t>
  </si>
  <si>
    <t>程泰機械股份有限公司</t>
  </si>
  <si>
    <t>程泰</t>
  </si>
  <si>
    <t>吉茂精密股份有限公司</t>
  </si>
  <si>
    <t>吉茂</t>
  </si>
  <si>
    <t>永冠能源科技集團有限公司</t>
  </si>
  <si>
    <t>永冠-KY</t>
  </si>
  <si>
    <t>亞德客國際集團</t>
  </si>
  <si>
    <t>亞德客-KY</t>
  </si>
  <si>
    <t>英瑞國際股份有限公司</t>
  </si>
  <si>
    <t>英瑞-KY</t>
  </si>
  <si>
    <t>岱宇國際股份有限公司</t>
  </si>
  <si>
    <t>岱宇</t>
  </si>
  <si>
    <t>中華電線電纜股份有限公司</t>
  </si>
  <si>
    <t>華電</t>
  </si>
  <si>
    <t>聲寶股份有限公司</t>
  </si>
  <si>
    <t>聲寶</t>
  </si>
  <si>
    <t>華新麗華股份有限公司</t>
  </si>
  <si>
    <t>華新</t>
  </si>
  <si>
    <t>華榮電線電纜股份有限公司</t>
  </si>
  <si>
    <t>華榮</t>
  </si>
  <si>
    <t>大亞電線電纜股份有限公司</t>
  </si>
  <si>
    <t>大亞</t>
  </si>
  <si>
    <t>中國電器股份有限公司</t>
  </si>
  <si>
    <t>中電</t>
  </si>
  <si>
    <t>宏泰電工股份有限公司</t>
  </si>
  <si>
    <t>宏泰</t>
  </si>
  <si>
    <t>台灣三洋電機股份有限公司</t>
  </si>
  <si>
    <t>三洋電</t>
  </si>
  <si>
    <t>大山電線電纜股份有限公司</t>
  </si>
  <si>
    <t>大山</t>
  </si>
  <si>
    <t>億泰電線電纜股份有限公司</t>
  </si>
  <si>
    <t>億泰</t>
  </si>
  <si>
    <t>榮星電線工業股份有限公司</t>
  </si>
  <si>
    <t>榮星</t>
  </si>
  <si>
    <t>合機電線電纜股份有限公司</t>
  </si>
  <si>
    <t>合機</t>
  </si>
  <si>
    <t>艾美特(開曼)國際有限公司</t>
  </si>
  <si>
    <t>艾美特-KY</t>
  </si>
  <si>
    <t>中國化學製藥股份有限公司</t>
  </si>
  <si>
    <t>中化</t>
  </si>
  <si>
    <t>南僑投資控股股份有限公司</t>
  </si>
  <si>
    <t>南僑</t>
  </si>
  <si>
    <t>葡萄王生技股份有限公司</t>
  </si>
  <si>
    <t>葡萄王</t>
  </si>
  <si>
    <t>東鹼股份有限公司</t>
  </si>
  <si>
    <t>東鹼</t>
  </si>
  <si>
    <t>和益化學工業股份有限公司</t>
  </si>
  <si>
    <t>和益</t>
  </si>
  <si>
    <t>東聯化學股份有限公司</t>
  </si>
  <si>
    <t>東聯</t>
  </si>
  <si>
    <t>臺灣永光化學工業股份有限公司</t>
  </si>
  <si>
    <t>永光</t>
  </si>
  <si>
    <t>興農股份有限公司</t>
  </si>
  <si>
    <t>興農</t>
  </si>
  <si>
    <t>國泰化工廠股份有限公司</t>
  </si>
  <si>
    <t>國化</t>
  </si>
  <si>
    <t>和桐化學股份有限公司</t>
  </si>
  <si>
    <t>和桐</t>
  </si>
  <si>
    <t>長興材料工業股份有限公司</t>
  </si>
  <si>
    <t>長興</t>
  </si>
  <si>
    <t>中國人造纖維股份有限公司</t>
  </si>
  <si>
    <t>中纖</t>
  </si>
  <si>
    <t>生達化學製藥股份有限公司</t>
  </si>
  <si>
    <t>生達</t>
  </si>
  <si>
    <t>三晃股份有限公司</t>
  </si>
  <si>
    <t>三晃</t>
  </si>
  <si>
    <t>台灣肥料股份有限公司</t>
  </si>
  <si>
    <t>台肥</t>
  </si>
  <si>
    <t>中鋼碳素化學股份有限公司</t>
  </si>
  <si>
    <t>中碳</t>
  </si>
  <si>
    <t>台硝股份有限公司</t>
  </si>
  <si>
    <t>台硝</t>
  </si>
  <si>
    <t>元禎企業股份有限公司</t>
  </si>
  <si>
    <t>元禎</t>
  </si>
  <si>
    <t>永記造漆工業股份有限公司</t>
  </si>
  <si>
    <t>永記</t>
  </si>
  <si>
    <t>臺灣中華化學工業股份有限公司</t>
  </si>
  <si>
    <t>中華化</t>
  </si>
  <si>
    <t>花仙子企業股份有限公司</t>
  </si>
  <si>
    <t>花仙子</t>
  </si>
  <si>
    <t>美吾華股份有限公司</t>
  </si>
  <si>
    <t>美吾華</t>
  </si>
  <si>
    <t>毛寶股份有限公司</t>
  </si>
  <si>
    <t>毛寶</t>
  </si>
  <si>
    <t>五鼎生物技術股份有限公司</t>
  </si>
  <si>
    <t>五鼎</t>
  </si>
  <si>
    <t>杏輝藥品工業股份有限公司</t>
  </si>
  <si>
    <t>杏輝</t>
  </si>
  <si>
    <t>日勝化工股份有限公司</t>
  </si>
  <si>
    <t>日勝化</t>
  </si>
  <si>
    <t>喬山健康科技股份有限公司</t>
  </si>
  <si>
    <t>喬山</t>
  </si>
  <si>
    <t>臺鹽實業股份有限公司</t>
  </si>
  <si>
    <t>臺鹽</t>
  </si>
  <si>
    <t>寶齡富錦生技股份有限公司</t>
  </si>
  <si>
    <t>寶齡富錦</t>
  </si>
  <si>
    <t>中化合成生技股份有限公司</t>
  </si>
  <si>
    <t>中化生</t>
  </si>
  <si>
    <t>勝一化工股份有限公司</t>
  </si>
  <si>
    <t>勝一</t>
  </si>
  <si>
    <t>展宇科技材料股份有限公司</t>
  </si>
  <si>
    <t>展宇</t>
  </si>
  <si>
    <t>和康生物科技股份有限公司</t>
  </si>
  <si>
    <t>和康生</t>
  </si>
  <si>
    <t>科妍生物科技股份有限公司</t>
  </si>
  <si>
    <t>科妍</t>
  </si>
  <si>
    <t>台灣神隆股份有限公司</t>
  </si>
  <si>
    <t>神隆</t>
  </si>
  <si>
    <t>美時化學製藥股份有限公司</t>
  </si>
  <si>
    <t>美時</t>
  </si>
  <si>
    <t>台灣玻璃工業股份有限公司</t>
  </si>
  <si>
    <t>台玻</t>
  </si>
  <si>
    <t>寶徠建設股份有限公司</t>
  </si>
  <si>
    <t>寶徠</t>
  </si>
  <si>
    <t>冠軍建材股份有限公司</t>
  </si>
  <si>
    <t>冠軍</t>
  </si>
  <si>
    <t>潤隆建設股份有限公司</t>
  </si>
  <si>
    <t>潤隆</t>
  </si>
  <si>
    <t>中國製釉股份有限公司</t>
  </si>
  <si>
    <t>中釉</t>
  </si>
  <si>
    <t>和成欣業股份有限公司</t>
  </si>
  <si>
    <t>和成</t>
  </si>
  <si>
    <t>凱撒衛浴股份有限公司</t>
  </si>
  <si>
    <t>凱撒衛</t>
  </si>
  <si>
    <t>台灣紙業股份有限公司</t>
  </si>
  <si>
    <t>台紙</t>
  </si>
  <si>
    <t>士林紙業股份有限公司</t>
  </si>
  <si>
    <t>士紙</t>
  </si>
  <si>
    <t>正隆股份有限公司</t>
  </si>
  <si>
    <t>正隆</t>
  </si>
  <si>
    <t>中華紙漿股份有限公司</t>
  </si>
  <si>
    <t>華紙</t>
  </si>
  <si>
    <t>寶隆國際股份有限公司</t>
  </si>
  <si>
    <t>寶隆</t>
  </si>
  <si>
    <t>永豐餘投資控股股份有限公司</t>
  </si>
  <si>
    <t>永豐餘</t>
  </si>
  <si>
    <t>榮成紙業股份有限公司</t>
  </si>
  <si>
    <t>榮成</t>
  </si>
  <si>
    <t>中國鋼鐵股份有限公司</t>
  </si>
  <si>
    <t>中鋼</t>
  </si>
  <si>
    <t>東和鋼鐵企業股份有限公司</t>
  </si>
  <si>
    <t>東和鋼鐵</t>
  </si>
  <si>
    <t>燁興企業股份有限公司</t>
  </si>
  <si>
    <t>燁興</t>
  </si>
  <si>
    <t>高興昌鋼鐵股份有限公司</t>
  </si>
  <si>
    <t>高興昌</t>
  </si>
  <si>
    <t>第一伸銅科技股份有限公司</t>
  </si>
  <si>
    <t>第一銅</t>
  </si>
  <si>
    <t>春源鋼鐵工業股份有限公司</t>
  </si>
  <si>
    <t>春源</t>
  </si>
  <si>
    <t>春雨工廠股份有限公司</t>
  </si>
  <si>
    <t>春雨</t>
  </si>
  <si>
    <t>中國鋼鐵結構股份有限公司</t>
  </si>
  <si>
    <t>中鋼構</t>
  </si>
  <si>
    <t>中鴻鋼鐵股份有限公司</t>
  </si>
  <si>
    <t>中鴻</t>
  </si>
  <si>
    <t>豐興鋼鐵股份有限公司</t>
  </si>
  <si>
    <t>豐興</t>
  </si>
  <si>
    <t>官田鋼鐵股份有限公司</t>
  </si>
  <si>
    <t>官田鋼</t>
  </si>
  <si>
    <t>美亞鋼管廠股份有限公司</t>
  </si>
  <si>
    <t>美亞</t>
  </si>
  <si>
    <t>聚亨企業股份有限公司</t>
  </si>
  <si>
    <t>聚亨</t>
  </si>
  <si>
    <t>燁輝企業股份有限公司</t>
  </si>
  <si>
    <t>燁輝</t>
  </si>
  <si>
    <t>志聯工業股份有限公司</t>
  </si>
  <si>
    <t>志聯</t>
  </si>
  <si>
    <t>千興不銹鋼(股)公司</t>
  </si>
  <si>
    <t>千興</t>
  </si>
  <si>
    <t>大成不銹鋼工業股份有限公司</t>
  </si>
  <si>
    <t>大成鋼</t>
  </si>
  <si>
    <t>威致鋼鐵工業股份有限公司</t>
  </si>
  <si>
    <t>威致</t>
  </si>
  <si>
    <t>盛餘股份有限公司</t>
  </si>
  <si>
    <t>盛餘</t>
  </si>
  <si>
    <t>彰源企業股份有限公司</t>
  </si>
  <si>
    <t>彰源</t>
  </si>
  <si>
    <t>新光鋼鐵股份有限公司</t>
  </si>
  <si>
    <t>新光鋼</t>
  </si>
  <si>
    <t>新鋼工業股份有限公司</t>
  </si>
  <si>
    <t>新鋼</t>
  </si>
  <si>
    <t>佳大世界股份有限公司</t>
  </si>
  <si>
    <t>佳大</t>
  </si>
  <si>
    <t>允強實業股份有限公司</t>
  </si>
  <si>
    <t>允強</t>
  </si>
  <si>
    <t>海光企業股份有限公司</t>
  </si>
  <si>
    <t>海光</t>
  </si>
  <si>
    <t>上銀科技股份有限公司</t>
  </si>
  <si>
    <t>上銀</t>
  </si>
  <si>
    <t>川湖科技股份有限公司</t>
  </si>
  <si>
    <t>川湖</t>
  </si>
  <si>
    <t>橋椿金屬股份有限公司</t>
  </si>
  <si>
    <t>橋椿</t>
  </si>
  <si>
    <t>運錩鋼鐵股份有限公司</t>
  </si>
  <si>
    <t>運錩</t>
  </si>
  <si>
    <t>南港輪胎股份有限公司</t>
  </si>
  <si>
    <t>南港</t>
  </si>
  <si>
    <t>泰豐輪胎股份有限公司</t>
  </si>
  <si>
    <t>泰豐</t>
  </si>
  <si>
    <t>台橡股份有限公司</t>
  </si>
  <si>
    <t>台橡</t>
  </si>
  <si>
    <t>國際中橡投資控股股份有限公司</t>
  </si>
  <si>
    <t>國際中橡</t>
  </si>
  <si>
    <t>正新橡膠工業股份有限公司</t>
  </si>
  <si>
    <t>正新</t>
  </si>
  <si>
    <t>建大工業股份有限公司</t>
  </si>
  <si>
    <t>建大</t>
  </si>
  <si>
    <t>厚生股份有限公司</t>
  </si>
  <si>
    <t>厚生</t>
  </si>
  <si>
    <t>南帝化學工業股份有限公司</t>
  </si>
  <si>
    <t>南帝</t>
  </si>
  <si>
    <t>華豐橡膠工業股份有限公司</t>
  </si>
  <si>
    <t>華豐</t>
  </si>
  <si>
    <t>鑫永銓股份有限公司</t>
  </si>
  <si>
    <t>鑫永銓</t>
  </si>
  <si>
    <t>六暉控股股份有限公司</t>
  </si>
  <si>
    <t>六暉-KY</t>
  </si>
  <si>
    <t>裕隆汽車製造股份有限公司</t>
  </si>
  <si>
    <t>裕隆</t>
  </si>
  <si>
    <t>中華汽車工業股份有限公司</t>
  </si>
  <si>
    <t>中華</t>
  </si>
  <si>
    <t>三陽工業股份有限公司</t>
  </si>
  <si>
    <t>三陽工業</t>
  </si>
  <si>
    <t>和泰汽車股份有限公司</t>
  </si>
  <si>
    <t>和泰車</t>
  </si>
  <si>
    <t>台灣國際造船股份有限公司</t>
  </si>
  <si>
    <t>台船</t>
  </si>
  <si>
    <t>裕隆日產汽車股份有限公司</t>
  </si>
  <si>
    <t>裕日車</t>
  </si>
  <si>
    <t>劍麟股份有限公司</t>
  </si>
  <si>
    <t>劍麟</t>
  </si>
  <si>
    <t>為升電裝工業股份有限公司</t>
  </si>
  <si>
    <t>為升</t>
  </si>
  <si>
    <t>宇隆科技股份有限公司</t>
  </si>
  <si>
    <t>宇隆</t>
  </si>
  <si>
    <t>百達精密工業股份有限公司</t>
  </si>
  <si>
    <t>百達-KY</t>
  </si>
  <si>
    <t>開曼英利工業股份有限公司</t>
  </si>
  <si>
    <t>英利-KY</t>
  </si>
  <si>
    <t>宏旭控股股份有限公司</t>
  </si>
  <si>
    <t>宏旭-KY</t>
  </si>
  <si>
    <t>光寶科技股份有限公司</t>
  </si>
  <si>
    <t>光寶科</t>
  </si>
  <si>
    <t>麗正國際科技股份有限公司</t>
  </si>
  <si>
    <t>麗正</t>
  </si>
  <si>
    <t>聯華電子股份有限公司</t>
  </si>
  <si>
    <t>聯電</t>
  </si>
  <si>
    <t>全友電腦股份有限公司</t>
  </si>
  <si>
    <t>全友</t>
  </si>
  <si>
    <t>台達電子工業股份有限公司</t>
  </si>
  <si>
    <t>台達電</t>
  </si>
  <si>
    <t>金寶電子工業股份有限公司</t>
  </si>
  <si>
    <t>金寶</t>
  </si>
  <si>
    <t>華通電腦股份有限公司</t>
  </si>
  <si>
    <t>華通</t>
  </si>
  <si>
    <t>台揚科技股份有限公司</t>
  </si>
  <si>
    <t>台揚</t>
  </si>
  <si>
    <t>楠梓電子股份有限公司</t>
  </si>
  <si>
    <t>楠梓電</t>
  </si>
  <si>
    <t>鴻海精密工業股份有限公司</t>
  </si>
  <si>
    <t>東訊股份有限公司</t>
  </si>
  <si>
    <t>東訊</t>
  </si>
  <si>
    <t>中環股份有限公司</t>
  </si>
  <si>
    <t>中環</t>
  </si>
  <si>
    <t>仁寶電腦工業股份有限公司</t>
  </si>
  <si>
    <t>國巨股份有限公司</t>
  </si>
  <si>
    <t>國巨</t>
  </si>
  <si>
    <t>廣宇科技股份有限公司</t>
  </si>
  <si>
    <t>廣宇</t>
  </si>
  <si>
    <t>華泰電子股份有限公司</t>
  </si>
  <si>
    <t>華泰</t>
  </si>
  <si>
    <t>台灣積體電路製造股份有限公司</t>
  </si>
  <si>
    <t>台積電</t>
  </si>
  <si>
    <t>精英電腦股份有限公司</t>
  </si>
  <si>
    <t>精英</t>
  </si>
  <si>
    <t>友訊科技股份有限公司</t>
  </si>
  <si>
    <t>友訊</t>
  </si>
  <si>
    <t>旺宏電子股份有限公司</t>
  </si>
  <si>
    <t>旺宏</t>
  </si>
  <si>
    <t>台灣光罩股份有限公司</t>
  </si>
  <si>
    <t>光罩</t>
  </si>
  <si>
    <t>光磊科技股份有限公司</t>
  </si>
  <si>
    <t>光磊</t>
  </si>
  <si>
    <t>台灣茂矽電子股份有限公司</t>
  </si>
  <si>
    <t>茂矽</t>
  </si>
  <si>
    <t>華邦電子股份有限公司</t>
  </si>
  <si>
    <t>華邦電</t>
  </si>
  <si>
    <t>智邦科技股份有限公司</t>
  </si>
  <si>
    <t>智邦</t>
  </si>
  <si>
    <t>聯強國際股份有限公司</t>
  </si>
  <si>
    <t>聯強</t>
  </si>
  <si>
    <t>海悅國際開發股份有限公司</t>
  </si>
  <si>
    <t>海悅</t>
  </si>
  <si>
    <t>錸德科技股份有限公司</t>
  </si>
  <si>
    <t>錸德</t>
  </si>
  <si>
    <t>順德工業股份有限公司</t>
  </si>
  <si>
    <t>順德</t>
  </si>
  <si>
    <t>佳世達科技股份有限公司</t>
  </si>
  <si>
    <t>佳世達</t>
  </si>
  <si>
    <t>宏碁股份有限公司</t>
  </si>
  <si>
    <t>宏碁</t>
  </si>
  <si>
    <t>鴻準精密工業股份有限公司</t>
  </si>
  <si>
    <t>鴻準</t>
  </si>
  <si>
    <t>敬鵬工業股份有限公司</t>
  </si>
  <si>
    <t>敬鵬</t>
  </si>
  <si>
    <t>英業達股份有限公司</t>
  </si>
  <si>
    <t>華碩電腦股份有限公司</t>
  </si>
  <si>
    <t>華碩</t>
  </si>
  <si>
    <t>廷鑫興業股份有限公司</t>
  </si>
  <si>
    <t>廷鑫</t>
  </si>
  <si>
    <t>所羅門股份有限公司</t>
  </si>
  <si>
    <t>所羅門</t>
  </si>
  <si>
    <t>致茂電子股份有限公司</t>
  </si>
  <si>
    <t>致茂</t>
  </si>
  <si>
    <t>藍天電腦股份有限公司</t>
  </si>
  <si>
    <t>藍天</t>
  </si>
  <si>
    <t>矽統科技股份有限公司</t>
  </si>
  <si>
    <t>矽統</t>
  </si>
  <si>
    <t>倫飛電腦實業股份有限公司</t>
  </si>
  <si>
    <t>倫飛</t>
  </si>
  <si>
    <t>昆盈企業股份有限公司</t>
  </si>
  <si>
    <t>昆盈</t>
  </si>
  <si>
    <t>燿華電子股份有限公司</t>
  </si>
  <si>
    <t>燿華</t>
  </si>
  <si>
    <t>金像電子(股)公司</t>
  </si>
  <si>
    <t>金像電</t>
  </si>
  <si>
    <t>菱生精密工業股份有限公司</t>
  </si>
  <si>
    <t>菱生</t>
  </si>
  <si>
    <t>大同股份有限公司</t>
  </si>
  <si>
    <t>大同</t>
  </si>
  <si>
    <t>震旦行股份有限公司</t>
  </si>
  <si>
    <t>震旦行</t>
  </si>
  <si>
    <t>佳能企業股份有限公司</t>
  </si>
  <si>
    <t>佳能</t>
  </si>
  <si>
    <t>凱美電機股份有限公司</t>
  </si>
  <si>
    <t>凱美</t>
  </si>
  <si>
    <t>技嘉科技股份有限公司</t>
  </si>
  <si>
    <t>技嘉</t>
  </si>
  <si>
    <t>微星科技股份有限公司</t>
  </si>
  <si>
    <t>瑞昱半導體股份有限公司</t>
  </si>
  <si>
    <t>瑞昱</t>
  </si>
  <si>
    <t>虹光精密工業股份有限公司</t>
  </si>
  <si>
    <t>虹光</t>
  </si>
  <si>
    <t>廣達電腦股份有限公司</t>
  </si>
  <si>
    <t>台光電子材料股份有限公司</t>
  </si>
  <si>
    <t>台光電</t>
  </si>
  <si>
    <t>群光電子股份有限公司</t>
  </si>
  <si>
    <t>群光</t>
  </si>
  <si>
    <t>精元電腦股份有限公司</t>
  </si>
  <si>
    <t>精元</t>
  </si>
  <si>
    <t>威盛電子股份有限公司</t>
  </si>
  <si>
    <t>威盛</t>
  </si>
  <si>
    <t>云辰電子開發股份有限公司</t>
  </si>
  <si>
    <t>云辰</t>
  </si>
  <si>
    <t>正崴精密工業股份有限公司</t>
  </si>
  <si>
    <t>正崴</t>
  </si>
  <si>
    <t>億光電子工業股份有限公司</t>
  </si>
  <si>
    <t>億光</t>
  </si>
  <si>
    <t>研華股份有限公司</t>
  </si>
  <si>
    <t>研華</t>
  </si>
  <si>
    <t>友通資訊股份有限公司</t>
  </si>
  <si>
    <t>友通</t>
  </si>
  <si>
    <t>映泰股份有限公司</t>
  </si>
  <si>
    <t>映泰</t>
  </si>
  <si>
    <t>凌陽科技股份有限公司</t>
  </si>
  <si>
    <t>凌陽</t>
  </si>
  <si>
    <t>毅嘉科技股份有限公司</t>
  </si>
  <si>
    <t>毅嘉</t>
  </si>
  <si>
    <t>漢唐集成股份有限公司</t>
  </si>
  <si>
    <t>漢唐</t>
  </si>
  <si>
    <t>浩鑫股份有限公司</t>
  </si>
  <si>
    <t>浩鑫</t>
  </si>
  <si>
    <t>國碩科技工業股份有限公司</t>
  </si>
  <si>
    <t>國碩</t>
  </si>
  <si>
    <t>南亞科技股份有限公司</t>
  </si>
  <si>
    <t>南亞科</t>
  </si>
  <si>
    <t>友達光電股份有限公司</t>
  </si>
  <si>
    <t>友達</t>
  </si>
  <si>
    <t>中華電信股份有限公司</t>
  </si>
  <si>
    <t>中華電</t>
  </si>
  <si>
    <t>環隆科技股份有限公司</t>
  </si>
  <si>
    <t>環科</t>
  </si>
  <si>
    <t>精技電腦股份有限公司</t>
  </si>
  <si>
    <t>精技</t>
  </si>
  <si>
    <t>錩新科技股份有限公司</t>
  </si>
  <si>
    <t>錩新</t>
  </si>
  <si>
    <t>圓剛科技股份有限公司</t>
  </si>
  <si>
    <t>圓剛</t>
  </si>
  <si>
    <t>仲琦科技股份有限公司</t>
  </si>
  <si>
    <t>仲琦</t>
  </si>
  <si>
    <t>新巨企業股份有限公司</t>
  </si>
  <si>
    <t>新巨</t>
  </si>
  <si>
    <t>建準電機工業股份有限公司</t>
  </si>
  <si>
    <t>建準</t>
  </si>
  <si>
    <t>固緯電子實業股份有限公司</t>
  </si>
  <si>
    <t>固緯</t>
  </si>
  <si>
    <t>隴華電子股份有限公司</t>
  </si>
  <si>
    <t>隴華</t>
  </si>
  <si>
    <t>承啟科技股份有限公司</t>
  </si>
  <si>
    <t>承啟</t>
  </si>
  <si>
    <t>鼎元光電科技股份有限公司</t>
  </si>
  <si>
    <t>鼎元</t>
  </si>
  <si>
    <t>三商電腦股份有限公司</t>
  </si>
  <si>
    <t>三商電</t>
  </si>
  <si>
    <t>興勤電子工業股份有限公司</t>
  </si>
  <si>
    <t>興勤</t>
  </si>
  <si>
    <t>銘旺科技股份有限公司</t>
  </si>
  <si>
    <t>銘旺科</t>
  </si>
  <si>
    <t>燦坤實業股份有限公司</t>
  </si>
  <si>
    <t>燦坤</t>
  </si>
  <si>
    <t>聯昌電子企業股份有限公司</t>
  </si>
  <si>
    <t>聯昌</t>
  </si>
  <si>
    <t>互盛股份有限公司</t>
  </si>
  <si>
    <t>互盛電</t>
  </si>
  <si>
    <t>統懋半導體股份有限公司</t>
  </si>
  <si>
    <t>統懋</t>
  </si>
  <si>
    <t>偉詮電子股份有限公司</t>
  </si>
  <si>
    <t>偉詮電</t>
  </si>
  <si>
    <t>翔耀實業股份有限公司</t>
  </si>
  <si>
    <t>翔耀</t>
  </si>
  <si>
    <t>美律實業股份有限公司</t>
  </si>
  <si>
    <t>美律</t>
  </si>
  <si>
    <t>太空梭高傳真資訊科技(股)公司</t>
  </si>
  <si>
    <t>太空梭</t>
  </si>
  <si>
    <t>超豐電子股份有限公司</t>
  </si>
  <si>
    <t>超豐</t>
  </si>
  <si>
    <t>新美齊股份有限公司</t>
  </si>
  <si>
    <t>新美齊</t>
  </si>
  <si>
    <t>億麗科技股份有限公司</t>
  </si>
  <si>
    <t>億麗</t>
  </si>
  <si>
    <t>兆勁科技股份有限公司</t>
  </si>
  <si>
    <t>兆勁</t>
  </si>
  <si>
    <t>晶元光電股份有限公司</t>
  </si>
  <si>
    <t>晶電</t>
  </si>
  <si>
    <t>京元電子股份有限公司</t>
  </si>
  <si>
    <t>京元電子</t>
  </si>
  <si>
    <t>神腦國際企業股份有限公司</t>
  </si>
  <si>
    <t>神腦</t>
  </si>
  <si>
    <t>創見資訊股份有限公司</t>
  </si>
  <si>
    <t>創見</t>
  </si>
  <si>
    <t>凌群電腦股份有限公司</t>
  </si>
  <si>
    <t>凌群</t>
  </si>
  <si>
    <t>聯發科技股份有限公司</t>
  </si>
  <si>
    <t>聯發科</t>
  </si>
  <si>
    <t>全新光電科技股份有限公司</t>
  </si>
  <si>
    <t>全新</t>
  </si>
  <si>
    <t>奇力新電子股份有限公司</t>
  </si>
  <si>
    <t>奇力新</t>
  </si>
  <si>
    <t>飛宏科技股份有限公司</t>
  </si>
  <si>
    <t>飛宏</t>
  </si>
  <si>
    <t>義隆電子股份有限公司</t>
  </si>
  <si>
    <t>義隆</t>
  </si>
  <si>
    <t>敦吉科技股份有限公司</t>
  </si>
  <si>
    <t>敦吉</t>
  </si>
  <si>
    <t>建通精密工業股份有限公司</t>
  </si>
  <si>
    <t>建通</t>
  </si>
  <si>
    <t>光群雷射科技股份有限公司</t>
  </si>
  <si>
    <t>光群雷</t>
  </si>
  <si>
    <t>台灣良得電子股份有限公司</t>
  </si>
  <si>
    <t>良得電</t>
  </si>
  <si>
    <t>盟立自動化股份有限公司</t>
  </si>
  <si>
    <t>盟立</t>
  </si>
  <si>
    <t>麗臺科技股份有限公司</t>
  </si>
  <si>
    <t>麗臺</t>
  </si>
  <si>
    <t>冠西電子企業股份有限公司</t>
  </si>
  <si>
    <t>冠西電</t>
  </si>
  <si>
    <t>志聖工業股份有限公司</t>
  </si>
  <si>
    <t>志聖</t>
  </si>
  <si>
    <t>華經資訊企業股份有限公司</t>
  </si>
  <si>
    <t>華經</t>
  </si>
  <si>
    <t>資通電腦股份有限公司</t>
  </si>
  <si>
    <t>資通</t>
  </si>
  <si>
    <t>立隆電子工業股份有限公司</t>
  </si>
  <si>
    <t>立隆電</t>
  </si>
  <si>
    <t>可成科技股份有限公司</t>
  </si>
  <si>
    <t>可成</t>
  </si>
  <si>
    <t>鉅祥企業股份有限公司</t>
  </si>
  <si>
    <t>鉅祥</t>
  </si>
  <si>
    <t>美隆工業股份有限公司</t>
  </si>
  <si>
    <t>美隆電</t>
  </si>
  <si>
    <t>大毅科技股份有限公司</t>
  </si>
  <si>
    <t>大毅</t>
  </si>
  <si>
    <t>敦陽科技股份有限公司</t>
  </si>
  <si>
    <t>敦陽科</t>
  </si>
  <si>
    <t>強茂股份有限公司</t>
  </si>
  <si>
    <t>強茂</t>
  </si>
  <si>
    <t>連宇股份有限公司</t>
  </si>
  <si>
    <t>連宇</t>
  </si>
  <si>
    <t>百容電子股份有限公司</t>
  </si>
  <si>
    <t>百容</t>
  </si>
  <si>
    <t>希華晶體科技股份有限公司</t>
  </si>
  <si>
    <t>希華</t>
  </si>
  <si>
    <t>兆赫電子股份有限公司</t>
  </si>
  <si>
    <t>兆赫</t>
  </si>
  <si>
    <t>一詮精密工業股份有限公司</t>
  </si>
  <si>
    <t>一詮</t>
  </si>
  <si>
    <t>漢平電子工業股份有限公司</t>
  </si>
  <si>
    <t>漢平</t>
  </si>
  <si>
    <t>瑞軒科技股份有限公司</t>
  </si>
  <si>
    <t>瑞軒</t>
  </si>
  <si>
    <t>吉祥全球實業股份有限公司</t>
  </si>
  <si>
    <t>吉祥全</t>
  </si>
  <si>
    <t>華新科技股份有限公司</t>
  </si>
  <si>
    <t>華新科</t>
  </si>
  <si>
    <t>揚博科技股份有限公司</t>
  </si>
  <si>
    <t>揚博</t>
  </si>
  <si>
    <t>普安科技股份有限公司</t>
  </si>
  <si>
    <t>普安</t>
  </si>
  <si>
    <t>卓越成功股份有限公司</t>
  </si>
  <si>
    <t>卓越</t>
  </si>
  <si>
    <t>怡利電子工業股份有限公司</t>
  </si>
  <si>
    <t>怡利電</t>
  </si>
  <si>
    <t>宏達國際電子股份有限公司</t>
  </si>
  <si>
    <t>宏達電</t>
  </si>
  <si>
    <t>東貝光電科技股份有限公司</t>
  </si>
  <si>
    <t>東貝</t>
  </si>
  <si>
    <t>國泰建設股份有限公司</t>
  </si>
  <si>
    <t>國建</t>
  </si>
  <si>
    <t>國產建材實業股份有限公司</t>
  </si>
  <si>
    <t>國產</t>
  </si>
  <si>
    <t>國揚實業股份有限公司</t>
  </si>
  <si>
    <t>國揚</t>
  </si>
  <si>
    <t>太平洋建設股份有限公司</t>
  </si>
  <si>
    <t>太設</t>
  </si>
  <si>
    <t>全坤建設開發股份有限公司</t>
  </si>
  <si>
    <t>全坤建</t>
  </si>
  <si>
    <t>太子建設開發股份有限公司</t>
  </si>
  <si>
    <t>太子</t>
  </si>
  <si>
    <t>龍邦國際興業股份有限公司</t>
  </si>
  <si>
    <t>龍邦</t>
  </si>
  <si>
    <t>中華工程股份有限公司</t>
  </si>
  <si>
    <t>中工</t>
  </si>
  <si>
    <t>新亞建設開發股份有限公司</t>
  </si>
  <si>
    <t>新建</t>
  </si>
  <si>
    <t>冠德建設股份有限公司</t>
  </si>
  <si>
    <t>冠德</t>
  </si>
  <si>
    <t>京城建設股份有限公司</t>
  </si>
  <si>
    <t>京城</t>
  </si>
  <si>
    <t>宏璟建設股份有限公司</t>
  </si>
  <si>
    <t>宏璟</t>
  </si>
  <si>
    <t>皇普建設股份有限公司</t>
  </si>
  <si>
    <t>皇普</t>
  </si>
  <si>
    <t>大華建設股份有限公司</t>
  </si>
  <si>
    <t>華建</t>
  </si>
  <si>
    <t>宏盛建設股份有限公司</t>
  </si>
  <si>
    <t>宏盛</t>
  </si>
  <si>
    <t>達欣工程股份有限公司</t>
  </si>
  <si>
    <t>達欣工</t>
  </si>
  <si>
    <t>宏普建設股份有限公司</t>
  </si>
  <si>
    <t>宏普</t>
  </si>
  <si>
    <t>聯上開發股份有限公司</t>
  </si>
  <si>
    <t>聯上發</t>
  </si>
  <si>
    <t>基泰建設股份有限公司</t>
  </si>
  <si>
    <t>基泰</t>
  </si>
  <si>
    <t>櫻花建設股份有限公司</t>
  </si>
  <si>
    <t>櫻花建</t>
  </si>
  <si>
    <t>愛山林建設開發股份有限公司</t>
  </si>
  <si>
    <t>愛山林</t>
  </si>
  <si>
    <t>興富發建設股份有限公司</t>
  </si>
  <si>
    <t>興富發</t>
  </si>
  <si>
    <t>皇昌營造股份有限公司</t>
  </si>
  <si>
    <t>皇昌</t>
  </si>
  <si>
    <t>皇翔建設股份有限公司</t>
  </si>
  <si>
    <t>皇翔</t>
  </si>
  <si>
    <t>根基營造股份有限公司</t>
  </si>
  <si>
    <t>根基</t>
  </si>
  <si>
    <t>日勝生活科技股份有限公司</t>
  </si>
  <si>
    <t>日勝生</t>
  </si>
  <si>
    <t>華固建設股份有限公司</t>
  </si>
  <si>
    <t>華固</t>
  </si>
  <si>
    <t>潤弘精密工程事業股份有限公司</t>
  </si>
  <si>
    <t>潤弘</t>
  </si>
  <si>
    <t>益航股份有限公司</t>
  </si>
  <si>
    <t>益航</t>
  </si>
  <si>
    <t>長榮海運股份有限公司</t>
  </si>
  <si>
    <t>長榮</t>
  </si>
  <si>
    <t>新興航運股份有限公司</t>
  </si>
  <si>
    <t>新興</t>
  </si>
  <si>
    <t>裕民航運股份有限公司</t>
  </si>
  <si>
    <t>裕民</t>
  </si>
  <si>
    <t>長榮國際儲運股份有限公司</t>
  </si>
  <si>
    <t>榮運</t>
  </si>
  <si>
    <t>嘉里大榮物流股份有限公司</t>
  </si>
  <si>
    <t>嘉里大榮</t>
  </si>
  <si>
    <t>陽明海運股份有限公司</t>
  </si>
  <si>
    <t>陽明</t>
  </si>
  <si>
    <t>中華航空股份有限公司</t>
  </si>
  <si>
    <t>華航</t>
  </si>
  <si>
    <t>志信國際股份有限公司</t>
  </si>
  <si>
    <t>志信</t>
  </si>
  <si>
    <t>中國航運股份有限公司</t>
  </si>
  <si>
    <t>中航</t>
  </si>
  <si>
    <t>中國貨櫃運輸股份有限公司</t>
  </si>
  <si>
    <t>中櫃</t>
  </si>
  <si>
    <t>東森國際股份有限公司</t>
  </si>
  <si>
    <t>東森</t>
  </si>
  <si>
    <t>萬海航運股份有限公司</t>
  </si>
  <si>
    <t>萬海</t>
  </si>
  <si>
    <t>山隆通運股份有限公司</t>
  </si>
  <si>
    <t>山隆</t>
  </si>
  <si>
    <t>台灣航業股份有限公司</t>
  </si>
  <si>
    <t>台航</t>
  </si>
  <si>
    <t>長榮航空股份有限公司</t>
  </si>
  <si>
    <t>長榮航</t>
  </si>
  <si>
    <t>亞洲航空股份有限公司</t>
  </si>
  <si>
    <t>亞航</t>
  </si>
  <si>
    <t>台灣高速鐵路股份有限公司</t>
  </si>
  <si>
    <t>台灣高鐵</t>
  </si>
  <si>
    <t>漢翔航空工業股份有限公司</t>
  </si>
  <si>
    <t>漢翔</t>
  </si>
  <si>
    <t>台驊國際投資控股股份有限公司</t>
  </si>
  <si>
    <t>台驊投控</t>
  </si>
  <si>
    <t>慧洋海運股份有限公司</t>
  </si>
  <si>
    <t>慧洋-KY</t>
  </si>
  <si>
    <t>台灣宅配通股份有限公司</t>
  </si>
  <si>
    <t>宅配通</t>
  </si>
  <si>
    <t>萬華企業股份有限公司</t>
  </si>
  <si>
    <t>萬企</t>
  </si>
  <si>
    <t>華園飯店股份有限公司</t>
  </si>
  <si>
    <t>華園</t>
  </si>
  <si>
    <t>國賓大飯店股份有限公司</t>
  </si>
  <si>
    <t>國賓</t>
  </si>
  <si>
    <t>六福開發股份有限公司</t>
  </si>
  <si>
    <t>六福</t>
  </si>
  <si>
    <t>第一華僑大飯店股份有限公司</t>
  </si>
  <si>
    <t>第一店</t>
  </si>
  <si>
    <t>晶華國際酒店股份有限公司</t>
  </si>
  <si>
    <t>晶華</t>
  </si>
  <si>
    <t>遠雄悅來大飯店股份有限公司</t>
  </si>
  <si>
    <t>遠雄來</t>
  </si>
  <si>
    <t>夏都國際開發股份有限公司</t>
  </si>
  <si>
    <t>夏都</t>
  </si>
  <si>
    <t>開曼美食達人股份有限公司</t>
  </si>
  <si>
    <t>美食-KY</t>
  </si>
  <si>
    <t>王品餐飲股份有限公司</t>
  </si>
  <si>
    <t>王品</t>
  </si>
  <si>
    <t>雄獅旅行社股份有限公司</t>
  </si>
  <si>
    <t>雄獅</t>
  </si>
  <si>
    <t>寒舍餐旅管理顧問股份有限公司</t>
  </si>
  <si>
    <t>寒舍</t>
  </si>
  <si>
    <t>雲品國際酒店股份有限公司</t>
  </si>
  <si>
    <t>雲品</t>
  </si>
  <si>
    <t>彰化商業銀行股份有限公司</t>
  </si>
  <si>
    <t>彰銀</t>
  </si>
  <si>
    <t>京城商業銀行股份有限公司</t>
  </si>
  <si>
    <t>京城銀</t>
  </si>
  <si>
    <t>台中商業銀行股份有限公司</t>
  </si>
  <si>
    <t>台中銀</t>
  </si>
  <si>
    <t>旺旺友聯產物保險股份有限公司</t>
  </si>
  <si>
    <t>旺旺保</t>
  </si>
  <si>
    <t>中華票券金融股份有限公司</t>
  </si>
  <si>
    <t>華票</t>
  </si>
  <si>
    <t>中國人壽保險股份有限公司</t>
  </si>
  <si>
    <t>中壽</t>
  </si>
  <si>
    <t>台灣產物保險股份有限公司</t>
  </si>
  <si>
    <t>台產</t>
  </si>
  <si>
    <t>臺灣中小企業銀行股份有限公司</t>
  </si>
  <si>
    <t>臺企銀</t>
  </si>
  <si>
    <t>高雄銀行股份有限公司</t>
  </si>
  <si>
    <t>高雄銀</t>
  </si>
  <si>
    <t>聯邦商業銀行股份有限公司</t>
  </si>
  <si>
    <t>聯邦銀</t>
  </si>
  <si>
    <t>台灣土地開發股份有限公司</t>
  </si>
  <si>
    <t>台開</t>
  </si>
  <si>
    <t>遠東國際商業銀行股份有限公司</t>
  </si>
  <si>
    <t>遠東銀</t>
  </si>
  <si>
    <t>安泰商業銀行股份有限公司</t>
  </si>
  <si>
    <t>安泰銀</t>
  </si>
  <si>
    <t>新光產物保險股份有限公司</t>
  </si>
  <si>
    <t>新產</t>
  </si>
  <si>
    <t>中央再保險股份有限公司</t>
  </si>
  <si>
    <t>中再保</t>
  </si>
  <si>
    <t>第一產物保險股份有限公司</t>
  </si>
  <si>
    <t>第一保</t>
  </si>
  <si>
    <t>統一綜合證券股份有限公司</t>
  </si>
  <si>
    <t>統一證</t>
  </si>
  <si>
    <t>三商美邦人壽保險股份有限公司</t>
  </si>
  <si>
    <t>三商壽</t>
  </si>
  <si>
    <t>華南金融控股股份有限公司</t>
  </si>
  <si>
    <t>華南金</t>
  </si>
  <si>
    <t>富邦金融控股股份有限公司</t>
  </si>
  <si>
    <t>富邦金</t>
  </si>
  <si>
    <t>國泰金融控股股份有限公司</t>
  </si>
  <si>
    <t>國泰金</t>
  </si>
  <si>
    <t>中華開發金融控股股份有限公司</t>
  </si>
  <si>
    <t>開發金</t>
  </si>
  <si>
    <t>玉山金融控股股份有限公司</t>
  </si>
  <si>
    <t>玉山金</t>
  </si>
  <si>
    <t>元大金融控股股份有限公司</t>
  </si>
  <si>
    <t>元大金</t>
  </si>
  <si>
    <t>兆豐金融控股股份有限公司</t>
  </si>
  <si>
    <t>兆豐金</t>
  </si>
  <si>
    <t>台新金融控股股份有限公司</t>
  </si>
  <si>
    <t>台新金</t>
  </si>
  <si>
    <t>新光金融控股股份有限公司</t>
  </si>
  <si>
    <t>新光金</t>
  </si>
  <si>
    <t>國票金融控股股份有限公司</t>
  </si>
  <si>
    <t>國票金</t>
  </si>
  <si>
    <t>永豐金融控股股份有限公司</t>
  </si>
  <si>
    <t>永豐金</t>
  </si>
  <si>
    <t>中國信託金融控股股份有限公司</t>
  </si>
  <si>
    <t>中信金</t>
  </si>
  <si>
    <t>第一金融控股股份有限公司</t>
  </si>
  <si>
    <t>第一金</t>
  </si>
  <si>
    <t>王道商業銀行股份有限公司</t>
  </si>
  <si>
    <t>王道銀行</t>
  </si>
  <si>
    <t>欣欣大眾市場股份有限公司</t>
  </si>
  <si>
    <t>欣欣</t>
  </si>
  <si>
    <t>遠東百貨股份有限公司</t>
  </si>
  <si>
    <t>遠百</t>
  </si>
  <si>
    <t>匯僑股份有限公司</t>
  </si>
  <si>
    <t>匯僑</t>
  </si>
  <si>
    <t>三商投資控股股份有限公司</t>
  </si>
  <si>
    <t>三商</t>
  </si>
  <si>
    <t>高林實業股份有限公司</t>
  </si>
  <si>
    <t>高林</t>
  </si>
  <si>
    <t>特力股份有限公司</t>
  </si>
  <si>
    <t>特力</t>
  </si>
  <si>
    <t>統領百貨股份有限公司</t>
  </si>
  <si>
    <t>統領</t>
  </si>
  <si>
    <t>麗嬰房股份有限公司</t>
  </si>
  <si>
    <t>麗嬰房</t>
  </si>
  <si>
    <t>統一超商股份有限公司</t>
  </si>
  <si>
    <t>統一超</t>
  </si>
  <si>
    <t>台灣農林股份有限公司</t>
  </si>
  <si>
    <t>農林</t>
  </si>
  <si>
    <t>潤泰全球股份有限公司</t>
  </si>
  <si>
    <t>潤泰全</t>
  </si>
  <si>
    <t>鼎固控股有限公司</t>
  </si>
  <si>
    <t>鼎固-KY</t>
  </si>
  <si>
    <t>淘帝國際控股有限公司</t>
  </si>
  <si>
    <t>淘帝-KY</t>
  </si>
  <si>
    <t>客思達股份有限公司</t>
  </si>
  <si>
    <t>客思達-KY</t>
  </si>
  <si>
    <t>凱羿國際集團股份有限公司</t>
  </si>
  <si>
    <t>凱羿-KY</t>
  </si>
  <si>
    <t>歐格電子工業股份有限公司</t>
  </si>
  <si>
    <t>歐格</t>
  </si>
  <si>
    <t>健和興端子股份有限公司</t>
  </si>
  <si>
    <t>健和興</t>
  </si>
  <si>
    <t>豐達科技股份有限公司(原宏達)</t>
  </si>
  <si>
    <t>豐達科</t>
  </si>
  <si>
    <t>神基科技股份有限公司</t>
  </si>
  <si>
    <t>神基</t>
  </si>
  <si>
    <t>晶豪科技股份有限公司</t>
  </si>
  <si>
    <t>晶豪科</t>
  </si>
  <si>
    <t>大立光電股份有限公司</t>
  </si>
  <si>
    <t>大立光</t>
  </si>
  <si>
    <t>華立企業股份有限公司</t>
  </si>
  <si>
    <t>華立</t>
  </si>
  <si>
    <t>今皓實業股份有限公司</t>
  </si>
  <si>
    <t>今皓</t>
  </si>
  <si>
    <t>晟銘電子科技股份有限公司</t>
  </si>
  <si>
    <t>晟銘電</t>
  </si>
  <si>
    <t>聯陽半導體股份有限公司</t>
  </si>
  <si>
    <t>聯陽</t>
  </si>
  <si>
    <t>全漢企業股份有限公司</t>
  </si>
  <si>
    <t>全漢</t>
  </si>
  <si>
    <t>嘉晶電子股份有限公司</t>
  </si>
  <si>
    <t>嘉晶</t>
  </si>
  <si>
    <t>奇鋐科技股份有限公司</t>
  </si>
  <si>
    <t>奇鋐</t>
  </si>
  <si>
    <t>同開科技工程股份有限公司</t>
  </si>
  <si>
    <t>同開</t>
  </si>
  <si>
    <t>亞洲光學股份有限公司</t>
  </si>
  <si>
    <t>亞光</t>
  </si>
  <si>
    <t>鴻名企業股份有限公司</t>
  </si>
  <si>
    <t>鴻名</t>
  </si>
  <si>
    <t>威強電工業電腦股份有限公司</t>
  </si>
  <si>
    <t>威強電</t>
  </si>
  <si>
    <t>信邦電子股份有限公司</t>
  </si>
  <si>
    <t>信邦</t>
  </si>
  <si>
    <t>憶聲電子股份有限公司</t>
  </si>
  <si>
    <t>憶聲</t>
  </si>
  <si>
    <t>星通資訊股份有限公司</t>
  </si>
  <si>
    <t>星通</t>
  </si>
  <si>
    <t>禾伸堂企業股份有限公司</t>
  </si>
  <si>
    <t>禾伸堂</t>
  </si>
  <si>
    <t>盛達電業股份有限公司</t>
  </si>
  <si>
    <t>盛達</t>
  </si>
  <si>
    <t>增你強股份有限公司</t>
  </si>
  <si>
    <t>增你強</t>
  </si>
  <si>
    <t>零壹科技股份有限公司</t>
  </si>
  <si>
    <t>零壹</t>
  </si>
  <si>
    <t>德律科技股份有限公司</t>
  </si>
  <si>
    <t>德律</t>
  </si>
  <si>
    <t>佰鴻工業股份有限公司</t>
  </si>
  <si>
    <t>佰鴻</t>
  </si>
  <si>
    <t>偉訓科技股份有限公司</t>
  </si>
  <si>
    <t>偉訓</t>
  </si>
  <si>
    <t>威健實業股份有限公司</t>
  </si>
  <si>
    <t>威健</t>
  </si>
  <si>
    <t>聯詠科技股份有限公司</t>
  </si>
  <si>
    <t>聯詠</t>
  </si>
  <si>
    <t>智原科技股份有限公司</t>
  </si>
  <si>
    <t>智原</t>
  </si>
  <si>
    <t>文曄科技股份有限公司</t>
  </si>
  <si>
    <t>文曄</t>
  </si>
  <si>
    <t>欣興電子股份有限公司</t>
  </si>
  <si>
    <t>欣興</t>
  </si>
  <si>
    <t>全台晶像股份有限公司</t>
  </si>
  <si>
    <t>全台</t>
  </si>
  <si>
    <t>遠見科技股份有限公司</t>
  </si>
  <si>
    <t>遠見</t>
  </si>
  <si>
    <t>揚智科技股份有限公司</t>
  </si>
  <si>
    <t>揚智</t>
  </si>
  <si>
    <t>台灣晶技股份有限公司</t>
  </si>
  <si>
    <t>晶技</t>
  </si>
  <si>
    <t>科風股份有限公司</t>
  </si>
  <si>
    <t>科風</t>
  </si>
  <si>
    <t>健鼎科技股份有限公司</t>
  </si>
  <si>
    <t>健鼎</t>
  </si>
  <si>
    <t>台灣大哥大股份有限公司</t>
  </si>
  <si>
    <t>台灣大</t>
  </si>
  <si>
    <t>建碁股份有限公司</t>
  </si>
  <si>
    <t>建碁</t>
  </si>
  <si>
    <t>訊舟科技股份有限公司</t>
  </si>
  <si>
    <t>訊舟</t>
  </si>
  <si>
    <t>益登科技股份有限公司</t>
  </si>
  <si>
    <t>益登</t>
  </si>
  <si>
    <t>和鑫光電股份有限公司</t>
  </si>
  <si>
    <t>和鑫</t>
  </si>
  <si>
    <t>鈺德科技股份有限公司</t>
  </si>
  <si>
    <t>鈺德</t>
  </si>
  <si>
    <t>力特光電科技股份有限公司</t>
  </si>
  <si>
    <t>力特</t>
  </si>
  <si>
    <t>夆典科技開發股份有限公司</t>
  </si>
  <si>
    <t>夆典</t>
  </si>
  <si>
    <t>立萬利創新股份有限公司</t>
  </si>
  <si>
    <t>立萬利</t>
  </si>
  <si>
    <t>蔚華科技股份有限公司</t>
  </si>
  <si>
    <t>蔚華科</t>
  </si>
  <si>
    <t>總太地產開發股份有限公司</t>
  </si>
  <si>
    <t>總太</t>
  </si>
  <si>
    <t>喬鼎資訊股份有限公司</t>
  </si>
  <si>
    <t>喬鼎</t>
  </si>
  <si>
    <t>立德電子股份有限公司</t>
  </si>
  <si>
    <t>立德</t>
  </si>
  <si>
    <t>華晶科技股份有限公司</t>
  </si>
  <si>
    <t>華晶科</t>
  </si>
  <si>
    <t>銘異科技股份有限公司</t>
  </si>
  <si>
    <t>銘異</t>
  </si>
  <si>
    <t>建漢科技股份有限公司</t>
  </si>
  <si>
    <t>建漢</t>
  </si>
  <si>
    <t>日電貿股份有限公司</t>
  </si>
  <si>
    <t>日電貿</t>
  </si>
  <si>
    <t>聯傑國際股份有限公司</t>
  </si>
  <si>
    <t>聯傑</t>
  </si>
  <si>
    <t>一零四資訊科技股份有限公司</t>
  </si>
  <si>
    <t>一零四</t>
  </si>
  <si>
    <t>正達國際光電股份有限公司</t>
  </si>
  <si>
    <t>正達</t>
  </si>
  <si>
    <t>景岳生物科技股份有限公司</t>
  </si>
  <si>
    <t>景岳</t>
  </si>
  <si>
    <t>大量科技股份有限公司</t>
  </si>
  <si>
    <t>大量</t>
  </si>
  <si>
    <t>景碩科技股份有限公司</t>
  </si>
  <si>
    <t>全科科技股份有限公司</t>
  </si>
  <si>
    <t>全科</t>
  </si>
  <si>
    <t>晟鈦股份有限公司</t>
  </si>
  <si>
    <t>晟鈦</t>
  </si>
  <si>
    <t>緯創資通股份有限公司</t>
  </si>
  <si>
    <t>虹冠電子工業股份有限公司</t>
  </si>
  <si>
    <t>虹冠電</t>
  </si>
  <si>
    <t>昇陽建設企業股份有限公司</t>
  </si>
  <si>
    <t>昇陽</t>
  </si>
  <si>
    <t>勝德國際研發股份有限公司</t>
  </si>
  <si>
    <t>勝德</t>
  </si>
  <si>
    <t>昇貿科技股份有限公司</t>
  </si>
  <si>
    <t>昇貿</t>
  </si>
  <si>
    <t>聯德電子股份有限公司</t>
  </si>
  <si>
    <t>聯德</t>
  </si>
  <si>
    <t>閎暉</t>
  </si>
  <si>
    <t>弘憶國際股份有限公司</t>
  </si>
  <si>
    <t>弘憶股</t>
  </si>
  <si>
    <t>同泰電子科技股份有限公司</t>
  </si>
  <si>
    <t>同泰</t>
  </si>
  <si>
    <t>泰碩電子股份有限公司</t>
  </si>
  <si>
    <t>泰碩</t>
  </si>
  <si>
    <t>麗清科技股份有限公司</t>
  </si>
  <si>
    <t>麗清</t>
  </si>
  <si>
    <t>奇偶科技股份有限公司</t>
  </si>
  <si>
    <t>奇偶</t>
  </si>
  <si>
    <t>新日興股份有限公司</t>
  </si>
  <si>
    <t>新日興</t>
  </si>
  <si>
    <t>明泰科技股份有限公司</t>
  </si>
  <si>
    <t>明泰</t>
  </si>
  <si>
    <t>新世紀光電股份有限公司</t>
  </si>
  <si>
    <t>新世紀</t>
  </si>
  <si>
    <t>玉晶光電股份有限公司</t>
  </si>
  <si>
    <t>玉晶光</t>
  </si>
  <si>
    <t>京鼎精密科技股份有限公司</t>
  </si>
  <si>
    <t>京鼎</t>
  </si>
  <si>
    <t>融程電訊股份有限公司</t>
  </si>
  <si>
    <t>融程電</t>
  </si>
  <si>
    <t>譁裕實業股份有限公司</t>
  </si>
  <si>
    <t>譁裕</t>
  </si>
  <si>
    <t>台端興業股份有限公司</t>
  </si>
  <si>
    <t>台端</t>
  </si>
  <si>
    <t>榮創能源科技股份有限公司</t>
  </si>
  <si>
    <t>榮創</t>
  </si>
  <si>
    <t>創意電子股份有限公司</t>
  </si>
  <si>
    <t>創意</t>
  </si>
  <si>
    <t>聯鈞光電股份有限公司</t>
  </si>
  <si>
    <t>聯鈞</t>
  </si>
  <si>
    <t>晶睿通訊股份有限公司</t>
  </si>
  <si>
    <t>晶睿</t>
  </si>
  <si>
    <t>群創光電股份有限公司</t>
  </si>
  <si>
    <t>群創</t>
  </si>
  <si>
    <t>誠研科技股份有限公司</t>
  </si>
  <si>
    <t>誠研</t>
  </si>
  <si>
    <t>維熹科技股份有限公司</t>
  </si>
  <si>
    <t>維熹</t>
  </si>
  <si>
    <t>揚明光學股份有限公司</t>
  </si>
  <si>
    <t>揚明光</t>
  </si>
  <si>
    <t>華擎科技股份有限公司</t>
  </si>
  <si>
    <t>柏騰科技股份有限公司</t>
  </si>
  <si>
    <t>柏騰</t>
  </si>
  <si>
    <t>安馳科技股份有限公司</t>
  </si>
  <si>
    <t>安馳</t>
  </si>
  <si>
    <t>晶相光電股份有限公司</t>
  </si>
  <si>
    <t>晶相光</t>
  </si>
  <si>
    <t>台塑勝高科技股份有限公司</t>
  </si>
  <si>
    <t>台勝科</t>
  </si>
  <si>
    <t>嘉澤端子工業股份有限公司</t>
  </si>
  <si>
    <t>嘉澤</t>
  </si>
  <si>
    <t>晶彩科技股份有限公司</t>
  </si>
  <si>
    <t>晶彩科</t>
  </si>
  <si>
    <t>誠創科技股份有限公司</t>
  </si>
  <si>
    <t>誠創</t>
  </si>
  <si>
    <t>敦泰電子股份有限公司</t>
  </si>
  <si>
    <t>敦泰</t>
  </si>
  <si>
    <t>聯穎科技股份有限公司</t>
  </si>
  <si>
    <t>聯穎</t>
  </si>
  <si>
    <t>嘉威生活股份有限公司</t>
  </si>
  <si>
    <t>嘉威</t>
  </si>
  <si>
    <t>牧德科技股份有限公司</t>
  </si>
  <si>
    <t>牧德</t>
  </si>
  <si>
    <t>聯合再生能源股份有限公司</t>
  </si>
  <si>
    <t>聯合再生</t>
  </si>
  <si>
    <t>辛耘企業股份有限公司</t>
  </si>
  <si>
    <t>辛耘</t>
  </si>
  <si>
    <t>通嘉科技股份有限公司</t>
  </si>
  <si>
    <t>通嘉</t>
  </si>
  <si>
    <t>艾笛森光電股份有限公司</t>
  </si>
  <si>
    <t>艾笛森</t>
  </si>
  <si>
    <t>力銘科技股份有限公司</t>
  </si>
  <si>
    <t>力銘</t>
  </si>
  <si>
    <t>智易科技股份有限公司</t>
  </si>
  <si>
    <t>智易</t>
  </si>
  <si>
    <t>宏致電子股份有限公司</t>
  </si>
  <si>
    <t>宏致</t>
  </si>
  <si>
    <t>谷崧精密工業股份有限公司</t>
  </si>
  <si>
    <t>谷崧</t>
  </si>
  <si>
    <t>碩天科技股份有限公司</t>
  </si>
  <si>
    <t>碩天</t>
  </si>
  <si>
    <t>洋華光電股份有限公司</t>
  </si>
  <si>
    <t>洋華</t>
  </si>
  <si>
    <t>達邁科技股份有限公司</t>
  </si>
  <si>
    <t>達邁</t>
  </si>
  <si>
    <t>健策精密工業股份有限公司</t>
  </si>
  <si>
    <t>健策</t>
  </si>
  <si>
    <t>世芯電子股份有限公司</t>
  </si>
  <si>
    <t>世芯-KY</t>
  </si>
  <si>
    <t>貿聯控股(BizLink Holding Inc.)</t>
  </si>
  <si>
    <t>貿聯-KY</t>
  </si>
  <si>
    <t>圓展科技股份有限公司</t>
  </si>
  <si>
    <t>圓展</t>
  </si>
  <si>
    <t>TPK Holding Co., Ltd.</t>
  </si>
  <si>
    <t>TPK-KY</t>
  </si>
  <si>
    <t>新至陞科技股份有限公司</t>
  </si>
  <si>
    <t>新至陞</t>
  </si>
  <si>
    <t>亞太電</t>
  </si>
  <si>
    <t>達能科技股份有限公司</t>
  </si>
  <si>
    <t>達能</t>
  </si>
  <si>
    <t>海華科技股份有限公司</t>
  </si>
  <si>
    <t>隆達電子股份有限公司</t>
  </si>
  <si>
    <t>隆達</t>
  </si>
  <si>
    <t>大眾全球投資控股股份有限公司</t>
  </si>
  <si>
    <t>大眾控</t>
  </si>
  <si>
    <t>大聯大投資控股股份有限公司</t>
  </si>
  <si>
    <t>大聯大</t>
  </si>
  <si>
    <t>欣陸投資控股股份有限公司</t>
  </si>
  <si>
    <t>欣陸</t>
  </si>
  <si>
    <t>合勤投資控股股份有限公司</t>
  </si>
  <si>
    <t>合勤控</t>
  </si>
  <si>
    <t>永信國際投資控股股份有限公司</t>
  </si>
  <si>
    <t>永信</t>
  </si>
  <si>
    <t>神達投資控股股份有限公司</t>
  </si>
  <si>
    <t>神達</t>
  </si>
  <si>
    <t>上緯國際投資控股股份有限公司</t>
  </si>
  <si>
    <t>上緯投控</t>
  </si>
  <si>
    <t>日月光投資控股股份有限公司</t>
  </si>
  <si>
    <t>日月光投控</t>
  </si>
  <si>
    <t>永崴投資控股股份有限公司</t>
  </si>
  <si>
    <t>永崴投控</t>
  </si>
  <si>
    <t>佳醫健康事業股份有限公司</t>
  </si>
  <si>
    <t>佳醫</t>
  </si>
  <si>
    <t>雃博股份有限公司</t>
  </si>
  <si>
    <t>雃博</t>
  </si>
  <si>
    <t>懷特生技新藥股份有限公司</t>
  </si>
  <si>
    <t>懷特</t>
  </si>
  <si>
    <t>旭富製藥科技股份有限公司</t>
  </si>
  <si>
    <t>旭富</t>
  </si>
  <si>
    <t>亞諾法生技股份有限公司</t>
  </si>
  <si>
    <t>亞諾法</t>
  </si>
  <si>
    <t>麗豐股份有限公司</t>
  </si>
  <si>
    <t>麗豐-KY</t>
  </si>
  <si>
    <t>龍燈環球農業科技有限公司</t>
  </si>
  <si>
    <t>龍燈-KY</t>
  </si>
  <si>
    <t>國光生物科技股份有限公司</t>
  </si>
  <si>
    <t>國光生</t>
  </si>
  <si>
    <t>康聯控股有限公司</t>
  </si>
  <si>
    <t>康聯-KY</t>
  </si>
  <si>
    <t>全宇生技控股有限公司</t>
  </si>
  <si>
    <t>全宇生技-KY</t>
  </si>
  <si>
    <t>訊映光電股份有限公司</t>
  </si>
  <si>
    <t>訊映</t>
  </si>
  <si>
    <t>承業生醫投資控股股份有限公司</t>
  </si>
  <si>
    <t>承業醫</t>
  </si>
  <si>
    <t>佐登妮絲集團股份有限公司</t>
  </si>
  <si>
    <t>佐登-KY</t>
  </si>
  <si>
    <t>炎洲股份有限公司</t>
  </si>
  <si>
    <t>炎洲</t>
  </si>
  <si>
    <t>如興股份有限公司</t>
  </si>
  <si>
    <t>如興</t>
  </si>
  <si>
    <t>利勤實業股份有限公司</t>
  </si>
  <si>
    <t>利勤</t>
  </si>
  <si>
    <t>廣越企業股份有限公司</t>
  </si>
  <si>
    <t>廣越</t>
  </si>
  <si>
    <t>冠星集團控股有限公司</t>
  </si>
  <si>
    <t>冠星-KY</t>
  </si>
  <si>
    <t>東台精機股份有限公司</t>
  </si>
  <si>
    <t>東台</t>
  </si>
  <si>
    <t>瑞智精密股份有限公司</t>
  </si>
  <si>
    <t>瑞智</t>
  </si>
  <si>
    <t>拓凱實業股份有限公司</t>
  </si>
  <si>
    <t>拓凱</t>
  </si>
  <si>
    <t>全球傳動科技股份有限公司</t>
  </si>
  <si>
    <t>全球傳動</t>
  </si>
  <si>
    <t>銘鈺精密工業股份有限公司</t>
  </si>
  <si>
    <t>銘鈺</t>
  </si>
  <si>
    <t>智伸科技股份有限公司</t>
  </si>
  <si>
    <t>智伸科</t>
  </si>
  <si>
    <t>力達控股有限公司</t>
  </si>
  <si>
    <t>力達-KY</t>
  </si>
  <si>
    <t>台灣氣立股份有限公司</t>
  </si>
  <si>
    <t>氣立</t>
  </si>
  <si>
    <t>永新控股股份有限公司</t>
  </si>
  <si>
    <t>永新-KY</t>
  </si>
  <si>
    <t>強信機械科技股份有限公司</t>
  </si>
  <si>
    <t>強信-KY</t>
  </si>
  <si>
    <t>穎漢科技股份有限公司</t>
  </si>
  <si>
    <t>穎漢</t>
  </si>
  <si>
    <t>元翎精密工業股份有限公司</t>
  </si>
  <si>
    <t>元翎</t>
  </si>
  <si>
    <t>時碩工業股份有限公司</t>
  </si>
  <si>
    <t>時碩工業</t>
  </si>
  <si>
    <t>鈞興機電國際股份有限公司</t>
  </si>
  <si>
    <t>鈞興-KY</t>
  </si>
  <si>
    <t>駐龍精密機械股份有限公司</t>
  </si>
  <si>
    <t>駐龍</t>
  </si>
  <si>
    <t>大銀微系統股份有限公司</t>
  </si>
  <si>
    <t>大銀微系統</t>
  </si>
  <si>
    <t>World Known MFG(Cayman)Limited</t>
  </si>
  <si>
    <t>光隆精密-KY</t>
  </si>
  <si>
    <t>德淵企業股份有限公司</t>
  </si>
  <si>
    <t>德淵</t>
  </si>
  <si>
    <t>國精化學股份有限公司</t>
  </si>
  <si>
    <t>國精化</t>
  </si>
  <si>
    <t>信昌化學工業股份有限公司</t>
  </si>
  <si>
    <t>信昌化</t>
  </si>
  <si>
    <t>華廣生技股份有限公司</t>
  </si>
  <si>
    <t>華廣</t>
  </si>
  <si>
    <t>康普材料科技股份有限公司</t>
  </si>
  <si>
    <t>康普</t>
  </si>
  <si>
    <t>台耀化學股份有限公司</t>
  </si>
  <si>
    <t>台耀</t>
  </si>
  <si>
    <t>三福化工股份有限公司</t>
  </si>
  <si>
    <t>三福化</t>
  </si>
  <si>
    <t>濟南大自然新材料股份有限公司</t>
  </si>
  <si>
    <t>材料-KY</t>
  </si>
  <si>
    <t>雙鍵化工股份有限公司</t>
  </si>
  <si>
    <t>雙鍵</t>
  </si>
  <si>
    <t>南寶樹脂化學工廠股份有限公司</t>
  </si>
  <si>
    <t>南寶</t>
  </si>
  <si>
    <t>日成控股股份有限公司</t>
  </si>
  <si>
    <t>日成-KY</t>
  </si>
  <si>
    <t>遠傳電信股份有限公司</t>
  </si>
  <si>
    <t>遠傳</t>
  </si>
  <si>
    <t>正文科技股份有限公司</t>
  </si>
  <si>
    <t>正文</t>
  </si>
  <si>
    <t>聯德控股股份有限公司</t>
  </si>
  <si>
    <t>聯德控股-KY</t>
  </si>
  <si>
    <t>致伸科技股份有限公司</t>
  </si>
  <si>
    <t>致伸</t>
  </si>
  <si>
    <t>事欣科技股份有限公司</t>
  </si>
  <si>
    <t>事欣科</t>
  </si>
  <si>
    <t>新唐科技股份有限公司</t>
  </si>
  <si>
    <t>新唐</t>
  </si>
  <si>
    <t>泰鼎國際股份有限公司</t>
  </si>
  <si>
    <t>泰鼎-KY</t>
  </si>
  <si>
    <t>燦星網通股份有限公司</t>
  </si>
  <si>
    <t>燦星網</t>
  </si>
  <si>
    <t>太極能源科技股份有限公司</t>
  </si>
  <si>
    <t>太極</t>
  </si>
  <si>
    <t>茂林光電科技(開曼)股份有限公司</t>
  </si>
  <si>
    <t>茂林-KY</t>
  </si>
  <si>
    <t>和碩聯合科技股份有限公司</t>
  </si>
  <si>
    <t>嘉彰股份有限公司</t>
  </si>
  <si>
    <t>嘉彰</t>
  </si>
  <si>
    <t>開曼康而富控股股份有限公司</t>
  </si>
  <si>
    <t>康控-KY</t>
  </si>
  <si>
    <t>凌通科技股份有限公司</t>
  </si>
  <si>
    <t>凌通</t>
  </si>
  <si>
    <t>光鋐科技股份有限公司</t>
  </si>
  <si>
    <t>光鋐</t>
  </si>
  <si>
    <t>臻鼎科技控股股份有限公司</t>
  </si>
  <si>
    <t>臻鼎-KY</t>
  </si>
  <si>
    <t>誠美材料科技股份有限公司</t>
  </si>
  <si>
    <t>誠美材</t>
  </si>
  <si>
    <t>天鈺科技股份有限公司</t>
  </si>
  <si>
    <t>天鈺</t>
  </si>
  <si>
    <t>十銓科技股份有限公司</t>
  </si>
  <si>
    <t>十銓</t>
  </si>
  <si>
    <t>立積電子股份有限公司</t>
  </si>
  <si>
    <t>立積</t>
  </si>
  <si>
    <t>佳凌科技股份有限公司</t>
  </si>
  <si>
    <t>佳凌</t>
  </si>
  <si>
    <t>眾達科技股份有限公司</t>
  </si>
  <si>
    <t>眾達-KY</t>
  </si>
  <si>
    <t>李長榮科技股份有限公司</t>
  </si>
  <si>
    <t>榮科</t>
  </si>
  <si>
    <t>傳奇網路遊戲股份有限公司</t>
  </si>
  <si>
    <t>傳奇</t>
  </si>
  <si>
    <t>鑫禾科技股份有限公司</t>
  </si>
  <si>
    <t>鑫禾</t>
  </si>
  <si>
    <t>三星科技股份有限公司</t>
  </si>
  <si>
    <t>三星</t>
  </si>
  <si>
    <t>訊連科技股份有限公司</t>
  </si>
  <si>
    <t>訊連</t>
  </si>
  <si>
    <t>科嘉(開曼)股份有限公司</t>
  </si>
  <si>
    <t>科嘉-KY</t>
  </si>
  <si>
    <t>東科控股股份有限公司</t>
  </si>
  <si>
    <t>東科-KY</t>
  </si>
  <si>
    <t>達興材料股份有限公司</t>
  </si>
  <si>
    <t>達興材料</t>
  </si>
  <si>
    <t>乙盛精密工業股份有限公司</t>
  </si>
  <si>
    <t>乙盛-KY</t>
  </si>
  <si>
    <t>虹堡科技股份有限公司</t>
  </si>
  <si>
    <t>虹堡</t>
  </si>
  <si>
    <t>鎧勝控股有限公司</t>
  </si>
  <si>
    <t>鎧勝-KY</t>
  </si>
  <si>
    <t>祥碩科技股份有限公司</t>
  </si>
  <si>
    <t>祥碩</t>
  </si>
  <si>
    <t>禾聯碩股份有限公司</t>
  </si>
  <si>
    <t>禾聯碩</t>
  </si>
  <si>
    <t>經寶精密控股股份有限公司</t>
  </si>
  <si>
    <t>jpp-KY</t>
  </si>
  <si>
    <t>界霖科技股份有限公司</t>
  </si>
  <si>
    <t>界霖</t>
  </si>
  <si>
    <t>開曼商豐祥控股股份有限公司</t>
  </si>
  <si>
    <t>豐祥-KY</t>
  </si>
  <si>
    <t>敦南科技股份有限公司</t>
  </si>
  <si>
    <t>敦南</t>
  </si>
  <si>
    <t>中磊電子股份有限公司</t>
  </si>
  <si>
    <t>中磊</t>
  </si>
  <si>
    <t>崇越科技股份有限公司</t>
  </si>
  <si>
    <t>崇越</t>
  </si>
  <si>
    <t>瀚宇博德股份有限公司</t>
  </si>
  <si>
    <t>瀚宇博</t>
  </si>
  <si>
    <t>松翰科技股份有限公司</t>
  </si>
  <si>
    <t>松翰</t>
  </si>
  <si>
    <t>慧友電子股份有限公司</t>
  </si>
  <si>
    <t>慧友</t>
  </si>
  <si>
    <t>建國工程股份有限公司</t>
  </si>
  <si>
    <t>建國</t>
  </si>
  <si>
    <t>隆大營建事業股份有限公司</t>
  </si>
  <si>
    <t>隆大</t>
  </si>
  <si>
    <t>工信工程股份有限公司</t>
  </si>
  <si>
    <t>工信</t>
  </si>
  <si>
    <t>遠雄建設事業股份有限公司</t>
  </si>
  <si>
    <t>遠雄</t>
  </si>
  <si>
    <t>順天建設股份有限公司</t>
  </si>
  <si>
    <t>順天</t>
  </si>
  <si>
    <t>鄉林建設事業股份有限公司</t>
  </si>
  <si>
    <t>鄉林</t>
  </si>
  <si>
    <t>皇鼎建設開發股份有限公司</t>
  </si>
  <si>
    <t>皇鼎</t>
  </si>
  <si>
    <t>長虹建設股份有限公司</t>
  </si>
  <si>
    <t>長虹</t>
  </si>
  <si>
    <t>開曼東明控股股份有限公司</t>
  </si>
  <si>
    <t>東明-KY</t>
  </si>
  <si>
    <t>遠雄自貿港投資控股股份有限公司</t>
  </si>
  <si>
    <t>遠雄港</t>
  </si>
  <si>
    <t>四維航業股份有限公司</t>
  </si>
  <si>
    <t>四維航</t>
  </si>
  <si>
    <t>鳳凰國際旅行社股份有限公司</t>
  </si>
  <si>
    <t>鳳凰</t>
  </si>
  <si>
    <t>中租控股股份有限公司</t>
  </si>
  <si>
    <t>中租-KY</t>
  </si>
  <si>
    <t>上海商業儲蓄銀行股份有限公司</t>
  </si>
  <si>
    <t>上海商銀</t>
  </si>
  <si>
    <t>合作金庫金融控股股份有限公司</t>
  </si>
  <si>
    <t>合庫金</t>
  </si>
  <si>
    <t>台南企業(開曼)股份有限公司</t>
  </si>
  <si>
    <t>台南-KY</t>
  </si>
  <si>
    <t>大洋百貨集團控股股份有限公司</t>
  </si>
  <si>
    <t>大洋-KY</t>
  </si>
  <si>
    <t>群益金鼎證券股份有限公司</t>
  </si>
  <si>
    <t>群益證</t>
  </si>
  <si>
    <t>群益期貨股份有限公司</t>
  </si>
  <si>
    <t>群益期</t>
  </si>
  <si>
    <t>競國實業股份有限公司</t>
  </si>
  <si>
    <t>競國</t>
  </si>
  <si>
    <t>聚碩科技股份有限公司</t>
  </si>
  <si>
    <t>聚碩</t>
  </si>
  <si>
    <t>鎰勝工業股份有限公司</t>
  </si>
  <si>
    <t>鎰勝</t>
  </si>
  <si>
    <t>瀚宇彩晶股份有限公司</t>
  </si>
  <si>
    <t>彩晶</t>
  </si>
  <si>
    <t>迎廣科技股份有限公司</t>
  </si>
  <si>
    <t>迎廣</t>
  </si>
  <si>
    <t>達運精密工業股份有限公司</t>
  </si>
  <si>
    <t>達運</t>
  </si>
  <si>
    <t>上福全球科技股份有限公司</t>
  </si>
  <si>
    <t>上福</t>
  </si>
  <si>
    <t>鈞泰國際股份有限公司</t>
  </si>
  <si>
    <t>鈞泰</t>
  </si>
  <si>
    <t>金橋科技股份有限公司</t>
  </si>
  <si>
    <t>金橋</t>
  </si>
  <si>
    <t>富爾特科技股份有限公司</t>
  </si>
  <si>
    <t>富爾特</t>
  </si>
  <si>
    <t>亞翔工程股份有限公司</t>
  </si>
  <si>
    <t>亞翔</t>
  </si>
  <si>
    <t>柏承科技股份有限公司</t>
  </si>
  <si>
    <t>柏承</t>
  </si>
  <si>
    <t>友勁科技股份有限公司</t>
  </si>
  <si>
    <t>友勁</t>
  </si>
  <si>
    <t>百一電子股份有限公司</t>
  </si>
  <si>
    <t>百一</t>
  </si>
  <si>
    <t>嘉聯益科技股份有限公司</t>
  </si>
  <si>
    <t>嘉聯益</t>
  </si>
  <si>
    <t>鈞寶電子工業股份有限公司</t>
  </si>
  <si>
    <t>鈞寶</t>
  </si>
  <si>
    <t>華興電子工業股份有限公司</t>
  </si>
  <si>
    <t>華興</t>
  </si>
  <si>
    <t>捷泰精密工業股份有限公司</t>
  </si>
  <si>
    <t>捷泰</t>
  </si>
  <si>
    <t>凌華科技股份有限公司</t>
  </si>
  <si>
    <t>凌華</t>
  </si>
  <si>
    <t>宏齊科技股份有限公司</t>
  </si>
  <si>
    <t>宏齊</t>
  </si>
  <si>
    <t>互億科技股份有限公司</t>
  </si>
  <si>
    <t>互億</t>
  </si>
  <si>
    <t>瑞儀光電股份有限公司</t>
  </si>
  <si>
    <t>瑞儀</t>
  </si>
  <si>
    <t>達麗建設事業股份有限公司</t>
  </si>
  <si>
    <t>達麗</t>
  </si>
  <si>
    <t>關貿網路股份有限公司</t>
  </si>
  <si>
    <t>關貿</t>
  </si>
  <si>
    <t>大豐有線電視股份有限公司</t>
  </si>
  <si>
    <t>大豐電</t>
  </si>
  <si>
    <t>豐藝電子股份有限公司</t>
  </si>
  <si>
    <t>豐藝</t>
  </si>
  <si>
    <t>精成科技股份有限公司</t>
  </si>
  <si>
    <t>精成科</t>
  </si>
  <si>
    <t>巨路國際股份有限公司</t>
  </si>
  <si>
    <t>巨路</t>
  </si>
  <si>
    <t>帆宣系統科技股份有限公司</t>
  </si>
  <si>
    <t>帆宣</t>
  </si>
  <si>
    <t>佳必琪國際股份有限公司</t>
  </si>
  <si>
    <t>佳必琪</t>
  </si>
  <si>
    <t>亞弘電科技股份有限公司</t>
  </si>
  <si>
    <t>亞弘電</t>
  </si>
  <si>
    <t>盛群半導體股份有限公司</t>
  </si>
  <si>
    <t>盛群</t>
  </si>
  <si>
    <t>詮欣股份有限公司</t>
  </si>
  <si>
    <t>詮欣</t>
  </si>
  <si>
    <t>飛捷科技股份有限公司</t>
  </si>
  <si>
    <t>飛捷</t>
  </si>
  <si>
    <t>今國光學工業股份有限公司</t>
  </si>
  <si>
    <t>今國光</t>
  </si>
  <si>
    <t>聯茂電子股份有限公司</t>
  </si>
  <si>
    <t>聯茂</t>
  </si>
  <si>
    <t>精誠資訊股份有限公司</t>
  </si>
  <si>
    <t>精誠</t>
  </si>
  <si>
    <t>和椿科技股份有限公司</t>
  </si>
  <si>
    <t>和椿</t>
  </si>
  <si>
    <t>居易科技股份有限公司</t>
  </si>
  <si>
    <t>居易</t>
  </si>
  <si>
    <t>聚鼎科技股份有限公司</t>
  </si>
  <si>
    <t>聚鼎</t>
  </si>
  <si>
    <t>天瀚科技股份有限公司</t>
  </si>
  <si>
    <t>天瀚</t>
  </si>
  <si>
    <t>光鼎電子股份有限公司</t>
  </si>
  <si>
    <t>光鼎</t>
  </si>
  <si>
    <t>超眾科技股份有限公司</t>
  </si>
  <si>
    <t>超眾</t>
  </si>
  <si>
    <t>華孚科技股份有限公司</t>
  </si>
  <si>
    <t>華孚</t>
  </si>
  <si>
    <t>力成科技股份有限公司</t>
  </si>
  <si>
    <t>力成</t>
  </si>
  <si>
    <t>迅杰科技股份有限公司</t>
  </si>
  <si>
    <t>迅杰</t>
  </si>
  <si>
    <t>定穎電子股份有限公司</t>
  </si>
  <si>
    <t>定穎</t>
  </si>
  <si>
    <t>矽格股份有限公司</t>
  </si>
  <si>
    <t>矽格</t>
  </si>
  <si>
    <t>台郡科技股份有限公司</t>
  </si>
  <si>
    <t>台郡</t>
  </si>
  <si>
    <t>同欣電子工業股份有限公司</t>
  </si>
  <si>
    <t>同欣電</t>
  </si>
  <si>
    <t>宏正自動科技股份有限公司</t>
  </si>
  <si>
    <t>宏正</t>
  </si>
  <si>
    <t>台灣表面黏著科技股份有限公司</t>
  </si>
  <si>
    <t>台表科</t>
  </si>
  <si>
    <t>全國電子股份有限公司</t>
  </si>
  <si>
    <t>全國電</t>
  </si>
  <si>
    <t>康舒科技股份有限公司</t>
  </si>
  <si>
    <t>康舒</t>
  </si>
  <si>
    <t>淳安電子股份有限公司</t>
  </si>
  <si>
    <t>淳安</t>
  </si>
  <si>
    <t>啟碁科技股份有限公司</t>
  </si>
  <si>
    <t>啟碁</t>
  </si>
  <si>
    <t>聯嘉光電股份有限公司</t>
  </si>
  <si>
    <t>聯嘉</t>
  </si>
  <si>
    <t>華上光電股份有限公司</t>
  </si>
  <si>
    <t>華上</t>
  </si>
  <si>
    <t>悅城科技股份有限公司</t>
  </si>
  <si>
    <t>悅城</t>
  </si>
  <si>
    <t>旭隼科技股份有限公司</t>
  </si>
  <si>
    <t>旭隼</t>
  </si>
  <si>
    <t>群光電能科技股份有限公司</t>
  </si>
  <si>
    <t>群電</t>
  </si>
  <si>
    <t>樺漢科技股份有限公司</t>
  </si>
  <si>
    <t>樺漢</t>
  </si>
  <si>
    <t>矽力杰股份有限公司</t>
  </si>
  <si>
    <t>矽力-KY</t>
  </si>
  <si>
    <t>瑞祺電通股份有限公司</t>
  </si>
  <si>
    <t>瑞祺電通</t>
  </si>
  <si>
    <t>光麗光電科技股份有限公司</t>
  </si>
  <si>
    <t>光麗-KY</t>
  </si>
  <si>
    <t>光紅建聖股份有限公司</t>
  </si>
  <si>
    <t>光聖</t>
  </si>
  <si>
    <t>元晶太陽能科技股份有限公司</t>
  </si>
  <si>
    <t>元晶</t>
  </si>
  <si>
    <t>鈺邦科技股份有限公司</t>
  </si>
  <si>
    <t>鈺邦</t>
  </si>
  <si>
    <t>訊芯科技控股股份有限公司</t>
  </si>
  <si>
    <t>訊芯-KY</t>
  </si>
  <si>
    <t>康友製藥控股有限公司</t>
  </si>
  <si>
    <t>康友-KY</t>
  </si>
  <si>
    <t>GIS Holding Limited</t>
  </si>
  <si>
    <t>GIS-KY</t>
  </si>
  <si>
    <t>台灣數位光訊科技股份有限公司</t>
  </si>
  <si>
    <t>台數科</t>
  </si>
  <si>
    <t>安集科技股份有限公司</t>
  </si>
  <si>
    <t>安集</t>
  </si>
  <si>
    <t>晶碩光學股份有限公司</t>
  </si>
  <si>
    <t>晶碩</t>
  </si>
  <si>
    <t>南六企業股份有限公司</t>
  </si>
  <si>
    <t>南六</t>
  </si>
  <si>
    <t>台塑石化股份有限公司</t>
  </si>
  <si>
    <t>台塑化</t>
  </si>
  <si>
    <t>捷敏股份有限公司</t>
  </si>
  <si>
    <t>捷敏-KY</t>
  </si>
  <si>
    <t>愛普科技股份有限公司</t>
  </si>
  <si>
    <t>愛普</t>
  </si>
  <si>
    <t>晶心科技股份有限公司</t>
  </si>
  <si>
    <t>晶心科</t>
  </si>
  <si>
    <t>泰福生技股份有限公司</t>
  </si>
  <si>
    <t>泰福-KY</t>
  </si>
  <si>
    <t>易華電子股份有限公司</t>
  </si>
  <si>
    <t>易華電</t>
  </si>
  <si>
    <t>興能高科技股份有限公司</t>
  </si>
  <si>
    <t>興能高</t>
  </si>
  <si>
    <t>虹揚發展科技股份有限公司</t>
  </si>
  <si>
    <t>虹揚-KY</t>
  </si>
  <si>
    <t>研揚科技股份有限公司</t>
  </si>
  <si>
    <t>研揚</t>
  </si>
  <si>
    <t>台灣鋼聯股份有限公司</t>
  </si>
  <si>
    <t>鋼聯</t>
  </si>
  <si>
    <t>申豐特用應材股份有限公司</t>
  </si>
  <si>
    <t>申豐</t>
  </si>
  <si>
    <t>動力科技股份有限公司</t>
  </si>
  <si>
    <t>動力-KY</t>
  </si>
  <si>
    <t>和潤企業股份有限公司</t>
  </si>
  <si>
    <t>和潤企業</t>
  </si>
  <si>
    <t>帝寶工業股份有限公司</t>
  </si>
  <si>
    <t>帝寶</t>
  </si>
  <si>
    <t>必應創造股份有限公司</t>
  </si>
  <si>
    <t>必應</t>
  </si>
  <si>
    <t>基士德科技股份有限公司</t>
  </si>
  <si>
    <t>基士德-KY</t>
  </si>
  <si>
    <t>科定企業股份有限公司</t>
  </si>
  <si>
    <t>科定</t>
  </si>
  <si>
    <t>羅麗芬控股股份有限公司</t>
  </si>
  <si>
    <t>羅麗芬-KY</t>
  </si>
  <si>
    <t>中揚光電股份有限公司</t>
  </si>
  <si>
    <t>中揚光</t>
  </si>
  <si>
    <t>緯穎科技服務股份有限公司</t>
  </si>
  <si>
    <t>復盛應用科技股份有限公司</t>
  </si>
  <si>
    <t>復盛應用</t>
  </si>
  <si>
    <t>三能集團控股股份有限公司</t>
  </si>
  <si>
    <t>三能-KY</t>
  </si>
  <si>
    <t>騰輝電子國際集團股份有限公司</t>
  </si>
  <si>
    <t>騰輝電子-KY</t>
  </si>
  <si>
    <t>鋐寶科技股份有限公司</t>
  </si>
  <si>
    <t>旭暉應用材料股份有限公司</t>
  </si>
  <si>
    <t>旭暉應材</t>
  </si>
  <si>
    <t>惠特科技股份有限公司</t>
  </si>
  <si>
    <t>惠特</t>
  </si>
  <si>
    <t>嘉基科技股份有限公司</t>
  </si>
  <si>
    <t>嘉基</t>
  </si>
  <si>
    <t>台通光電股份有限公司</t>
  </si>
  <si>
    <t>台通</t>
  </si>
  <si>
    <t>矽創電子股份有限公司</t>
  </si>
  <si>
    <t>矽創</t>
  </si>
  <si>
    <t>尖點科技股份有限公司</t>
  </si>
  <si>
    <t>尖點</t>
  </si>
  <si>
    <t>昇陽國際半導體股份有限公司</t>
  </si>
  <si>
    <t>昇陽半導體</t>
  </si>
  <si>
    <t>雷虎科技股份有限公司</t>
  </si>
  <si>
    <t>雷虎</t>
  </si>
  <si>
    <t>台虹科技股份有限公司</t>
  </si>
  <si>
    <t>台虹</t>
  </si>
  <si>
    <t>南亞電路板股份有限公司</t>
  </si>
  <si>
    <t>南電</t>
  </si>
  <si>
    <t>長華電材股份有限公司</t>
  </si>
  <si>
    <t>長華</t>
  </si>
  <si>
    <t>陞泰科技股份有限公司</t>
  </si>
  <si>
    <t>陞泰</t>
  </si>
  <si>
    <t>致新科技股份有限公司</t>
  </si>
  <si>
    <t>致新</t>
  </si>
  <si>
    <t>華冠通訊股份有限公司</t>
  </si>
  <si>
    <t>華冠</t>
  </si>
  <si>
    <t>瀚荃股份有限公司</t>
  </si>
  <si>
    <t>瀚荃</t>
  </si>
  <si>
    <t>錸寶科技股份有限公司</t>
  </si>
  <si>
    <t>錸寶</t>
  </si>
  <si>
    <t>凌巨科技股份有限公司</t>
  </si>
  <si>
    <t>凌巨</t>
  </si>
  <si>
    <t>華東科技股份有限公司</t>
  </si>
  <si>
    <t>華東</t>
  </si>
  <si>
    <t>至上電子股份有限公司</t>
  </si>
  <si>
    <t>至上</t>
  </si>
  <si>
    <t>振樺電子股份有限公司</t>
  </si>
  <si>
    <t>振樺電</t>
  </si>
  <si>
    <t>福懋科技股份有限公司</t>
  </si>
  <si>
    <t>福懋科</t>
  </si>
  <si>
    <t>南茂科技股份有限公司</t>
  </si>
  <si>
    <t>南茂</t>
  </si>
  <si>
    <t>達方電子股份有限公司</t>
  </si>
  <si>
    <t>達方</t>
  </si>
  <si>
    <t>無敵科技股份有限公司</t>
  </si>
  <si>
    <t>無敵</t>
  </si>
  <si>
    <t>勤誠興業股份有限公司</t>
  </si>
  <si>
    <t>勤誠</t>
  </si>
  <si>
    <t>志超科技股份有限公司</t>
  </si>
  <si>
    <t>志超</t>
  </si>
  <si>
    <t>明基材料股份有限公司</t>
  </si>
  <si>
    <t>明基材</t>
  </si>
  <si>
    <t>寶一科技股份有限公司</t>
  </si>
  <si>
    <t>寶一</t>
  </si>
  <si>
    <t>菱光科技股份有限公司</t>
  </si>
  <si>
    <t>菱光</t>
  </si>
  <si>
    <t>富鼎先進電子股份有限公司</t>
  </si>
  <si>
    <t>富鼎</t>
  </si>
  <si>
    <t>宇瞻科技股份有限公司</t>
  </si>
  <si>
    <t>宇瞻</t>
  </si>
  <si>
    <t>日友環保科技股份有限公司</t>
  </si>
  <si>
    <t>日友</t>
  </si>
  <si>
    <t>建新國際股份有限公司</t>
  </si>
  <si>
    <t>建新國際</t>
  </si>
  <si>
    <t>羅昇企業股份有限公司</t>
  </si>
  <si>
    <t>羅昇</t>
  </si>
  <si>
    <t>百和興業股份有限公司(開曼)</t>
  </si>
  <si>
    <t>百和興業-KY</t>
  </si>
  <si>
    <t>福貞控股股份有限公司</t>
  </si>
  <si>
    <t>福貞-KY</t>
  </si>
  <si>
    <t>可寧衛股份有限公司</t>
  </si>
  <si>
    <t>可寧衛</t>
  </si>
  <si>
    <t>基勝（開曼）控股股份有限公司</t>
  </si>
  <si>
    <t>基勝-KY</t>
  </si>
  <si>
    <t>金麗集團控股有限公司</t>
  </si>
  <si>
    <t>金麗-KY</t>
  </si>
  <si>
    <t>威宏控股股份有限公司</t>
  </si>
  <si>
    <t>威宏-KY</t>
  </si>
  <si>
    <t>阿瘦實業股份有限公司</t>
  </si>
  <si>
    <t>阿瘦</t>
  </si>
  <si>
    <t>富邦媒體科技股份有限公司</t>
  </si>
  <si>
    <t>富邦媒</t>
  </si>
  <si>
    <t>柏文健康事業股份有限公司</t>
  </si>
  <si>
    <t>柏文</t>
  </si>
  <si>
    <t>潤泰精密材料股份有限公司</t>
  </si>
  <si>
    <t>潤泰材</t>
  </si>
  <si>
    <t>億豐綜合工業股份有限公司</t>
  </si>
  <si>
    <t>億豐</t>
  </si>
  <si>
    <t>美吉吉國際股份有限公司</t>
  </si>
  <si>
    <t>美吉吉-KY</t>
  </si>
  <si>
    <t>波力環球企業股份有限公司</t>
  </si>
  <si>
    <t>波力-KY</t>
  </si>
  <si>
    <t>山林水環境工程股份有限公司</t>
  </si>
  <si>
    <t>山林水</t>
  </si>
  <si>
    <t>東哥企業股份有限公司</t>
  </si>
  <si>
    <t>東哥遊艇</t>
  </si>
  <si>
    <t>泰昇國際(控股)有限公司</t>
  </si>
  <si>
    <t>泰昇-KY</t>
  </si>
  <si>
    <t>政伸企業股份有限公司</t>
  </si>
  <si>
    <t>政伸</t>
  </si>
  <si>
    <t>商億全球控股有限公司</t>
  </si>
  <si>
    <t>商億-KY</t>
  </si>
  <si>
    <t>吉源控股股份有限公司</t>
  </si>
  <si>
    <t>吉源-KY</t>
  </si>
  <si>
    <t>格威傳媒股份有限公司</t>
  </si>
  <si>
    <t>格威傳媒</t>
  </si>
  <si>
    <t>鼎炫投資控股股份有限公司</t>
  </si>
  <si>
    <t>鼎炫-KY</t>
  </si>
  <si>
    <t>台灣汽電共生股份有限公司</t>
  </si>
  <si>
    <t>台汽電</t>
  </si>
  <si>
    <t>新天地國際實業股份有限公司</t>
  </si>
  <si>
    <t>新天地</t>
  </si>
  <si>
    <t>高力熱處理工業股份有限公司</t>
  </si>
  <si>
    <t>高力</t>
  </si>
  <si>
    <t>美德向邦醫療國際股份有限公司</t>
  </si>
  <si>
    <t>美德醫療-DR</t>
  </si>
  <si>
    <t>康師傅控股有限公司</t>
  </si>
  <si>
    <t>康師傅-DR</t>
  </si>
  <si>
    <t>聖馬丁國際控股有限公司</t>
  </si>
  <si>
    <t>聖馬丁-DR</t>
  </si>
  <si>
    <t>泰金寶科技股份有限公司</t>
  </si>
  <si>
    <t>泰金寶-DR</t>
  </si>
  <si>
    <t>神州數碼控股有限公司</t>
  </si>
  <si>
    <t>神州-DR</t>
  </si>
  <si>
    <t>越南製造加工出口控股有限公司</t>
  </si>
  <si>
    <t>越南控-DR</t>
  </si>
  <si>
    <t>明輝環球企業有限公司</t>
  </si>
  <si>
    <t>明輝-DR</t>
  </si>
  <si>
    <t>杜康控股有限公司</t>
  </si>
  <si>
    <t>杜康-DR</t>
  </si>
  <si>
    <t>聚亨企業集團(泰國)大眾有限公司</t>
  </si>
  <si>
    <t>泰聚亨-DR</t>
  </si>
  <si>
    <t>同方友友控股有限公司</t>
  </si>
  <si>
    <t>同方友友-DR</t>
  </si>
  <si>
    <t>晨訊科技集團有限公司</t>
  </si>
  <si>
    <t>晨訊科-DR</t>
  </si>
  <si>
    <t>友佳國際控股有限公司</t>
  </si>
  <si>
    <t>友佳-DR</t>
  </si>
  <si>
    <t>巨騰國際控股有限公司</t>
  </si>
  <si>
    <t>巨騰-DR</t>
  </si>
  <si>
    <t>精熙國際(開曼)有限公司</t>
  </si>
  <si>
    <t>精熙-DR</t>
  </si>
  <si>
    <t>鈺齊國際股份有限公司</t>
  </si>
  <si>
    <t>鈺齊-KY</t>
  </si>
  <si>
    <t>台火開發股份有限公司</t>
  </si>
  <si>
    <t>台火</t>
  </si>
  <si>
    <t>寶成工業股份有限公司</t>
  </si>
  <si>
    <t>寶成</t>
  </si>
  <si>
    <t>大華金屬工業股份有限公司</t>
  </si>
  <si>
    <t>大華</t>
  </si>
  <si>
    <t>欣巴巴事業股份有限公司</t>
  </si>
  <si>
    <t>欣巴巴</t>
  </si>
  <si>
    <t>統一實業股份有限公司</t>
  </si>
  <si>
    <t>統一實</t>
  </si>
  <si>
    <t>大台北區瓦斯股份有限公司</t>
  </si>
  <si>
    <t>大台北</t>
  </si>
  <si>
    <t>豐泰企業股份有限公司</t>
  </si>
  <si>
    <t>豐泰</t>
  </si>
  <si>
    <t>台灣櫻花股份有限公司</t>
  </si>
  <si>
    <t>櫻花</t>
  </si>
  <si>
    <t>偉聯科技股份有限公司</t>
  </si>
  <si>
    <t>偉聯</t>
  </si>
  <si>
    <t>美利達工業股份有限公司</t>
  </si>
  <si>
    <t>美利達</t>
  </si>
  <si>
    <t>中興保全科技股份有限公司</t>
  </si>
  <si>
    <t>中保科</t>
  </si>
  <si>
    <t>欣欣天然氣股份有限公司</t>
  </si>
  <si>
    <t>欣天然</t>
  </si>
  <si>
    <t>康那香企業股份有限公司</t>
  </si>
  <si>
    <t>康那香</t>
  </si>
  <si>
    <t>巨大機械工業股份有限公司</t>
  </si>
  <si>
    <t>巨大</t>
  </si>
  <si>
    <t>台灣福興工業股份有限公司</t>
  </si>
  <si>
    <t>福興</t>
  </si>
  <si>
    <t>台灣新光保全股份有限公司</t>
  </si>
  <si>
    <t>新保</t>
  </si>
  <si>
    <t>新海瓦斯股份有限公司</t>
  </si>
  <si>
    <t>新海</t>
  </si>
  <si>
    <t>泰銘實業股份有限公司</t>
  </si>
  <si>
    <t>泰銘</t>
  </si>
  <si>
    <t>中國電視事業股份有限公司</t>
  </si>
  <si>
    <t>中視</t>
  </si>
  <si>
    <t>秋雨創新股份有限公司</t>
  </si>
  <si>
    <t>秋雨</t>
  </si>
  <si>
    <t>中聯資源股份有限公司</t>
  </si>
  <si>
    <t>中聯資源</t>
  </si>
  <si>
    <t>欣高石油氣股份有限公司</t>
  </si>
  <si>
    <t>欣高</t>
  </si>
  <si>
    <t>中鼎工程股份有限公司</t>
  </si>
  <si>
    <t>中鼎</t>
  </si>
  <si>
    <t>成霖企業股份有限公司</t>
  </si>
  <si>
    <t>成霖</t>
  </si>
  <si>
    <t>慶豐富實業股份有限公司</t>
  </si>
  <si>
    <t>慶豐富</t>
  </si>
  <si>
    <t>全國加油站股份有限公司</t>
  </si>
  <si>
    <t>全國</t>
  </si>
  <si>
    <t>台灣百和工業股份有限公司</t>
  </si>
  <si>
    <t>百和</t>
  </si>
  <si>
    <t>宏全國際股份有限公司</t>
  </si>
  <si>
    <t>宏全</t>
  </si>
  <si>
    <t>信義房屋股份有限公司</t>
  </si>
  <si>
    <t>信義</t>
  </si>
  <si>
    <t>裕融企業股份有限公司</t>
  </si>
  <si>
    <t>裕融</t>
  </si>
  <si>
    <t>茂順密封元件科技股份有限公司</t>
  </si>
  <si>
    <t>茂順</t>
  </si>
  <si>
    <t>好樂迪股份有限公司</t>
  </si>
  <si>
    <t>好樂迪</t>
  </si>
  <si>
    <t>新麗企業股份有限公司</t>
  </si>
  <si>
    <t>新麗</t>
  </si>
  <si>
    <t>潤泰創新國際股份有限公司</t>
  </si>
  <si>
    <t>潤泰新</t>
  </si>
  <si>
    <t>三發地產股份有限公司(原:金革)</t>
  </si>
  <si>
    <t>三發地產</t>
  </si>
  <si>
    <t>佳龍科技工程股份有限公司</t>
  </si>
  <si>
    <t>佳龍</t>
  </si>
  <si>
    <t>世紀鋼鐵結構股份有限公司</t>
  </si>
  <si>
    <t>世紀鋼</t>
  </si>
  <si>
    <t>上櫃</t>
  </si>
  <si>
    <t>茂生農經股份有限公司</t>
  </si>
  <si>
    <t>茂生農經</t>
  </si>
  <si>
    <t>其祥生物科技控股有限公司</t>
  </si>
  <si>
    <t>其祥-KY</t>
  </si>
  <si>
    <t>安心食品服務股份有限公司</t>
  </si>
  <si>
    <t>安心</t>
  </si>
  <si>
    <t>德麥食品股份有限公司</t>
  </si>
  <si>
    <t>德麥</t>
  </si>
  <si>
    <t>漢來美食股份有限公司</t>
  </si>
  <si>
    <t>漢來美食</t>
  </si>
  <si>
    <t>恩得利工業股份有限公司</t>
  </si>
  <si>
    <t>恩得利</t>
  </si>
  <si>
    <t>台翰精密科技股份有限公司</t>
  </si>
  <si>
    <t>台翰</t>
  </si>
  <si>
    <t>精華光學股份有限公司</t>
  </si>
  <si>
    <t>精華</t>
  </si>
  <si>
    <t>濱川企業股份有限公司</t>
  </si>
  <si>
    <t>濱川</t>
  </si>
  <si>
    <t>力肯實業股份有限公司</t>
  </si>
  <si>
    <t>力肯</t>
  </si>
  <si>
    <t>新麥企業股份有限公司</t>
  </si>
  <si>
    <t>新麥</t>
  </si>
  <si>
    <t>精剛精密科技股份有限公司</t>
  </si>
  <si>
    <t>精剛</t>
  </si>
  <si>
    <t>和勤精機股份有限公司</t>
  </si>
  <si>
    <t>和勤</t>
  </si>
  <si>
    <t>英屬開曼群島商駿吉控股(股)公司</t>
  </si>
  <si>
    <t>駿吉-KY</t>
  </si>
  <si>
    <t>祺驊股份有限公司</t>
  </si>
  <si>
    <t>祺驊</t>
  </si>
  <si>
    <t>川寶科技股份有限公司</t>
  </si>
  <si>
    <t>川寶</t>
  </si>
  <si>
    <t>直得科技股份有限公司</t>
  </si>
  <si>
    <t>直得</t>
  </si>
  <si>
    <t>宏佳騰動力科技股份有限公司</t>
  </si>
  <si>
    <t>宏佳騰</t>
  </si>
  <si>
    <t>台灣蠟品股份有限公司</t>
  </si>
  <si>
    <t>台蠟</t>
  </si>
  <si>
    <t>南光化學製藥股份有限公司</t>
  </si>
  <si>
    <t>南光</t>
  </si>
  <si>
    <t>生泰合成工業股份有限公司</t>
  </si>
  <si>
    <t>生泰</t>
  </si>
  <si>
    <t>合世生醫科技股份有限公司</t>
  </si>
  <si>
    <t>合世</t>
  </si>
  <si>
    <t>訊聯生物科技股份有限公司</t>
  </si>
  <si>
    <t>訊聯</t>
  </si>
  <si>
    <t>光洋應用材料科技股份有限公司</t>
  </si>
  <si>
    <t>光洋科</t>
  </si>
  <si>
    <t>杏昌生技股份有限公司</t>
  </si>
  <si>
    <t>杏昌</t>
  </si>
  <si>
    <t>金穎生物科技股份有限公司</t>
  </si>
  <si>
    <t>金穎生技</t>
  </si>
  <si>
    <t>易威生醫科技股份有限公司</t>
  </si>
  <si>
    <t>易威</t>
  </si>
  <si>
    <t>寶利徠光學科技股份有限公司</t>
  </si>
  <si>
    <t>寶利徠</t>
  </si>
  <si>
    <t>富喬工業股份有限公司</t>
  </si>
  <si>
    <t>富喬</t>
  </si>
  <si>
    <t>唐榮鐵工廠股份有限公司</t>
  </si>
  <si>
    <t>唐榮公司</t>
  </si>
  <si>
    <t>風青實業股份有限公司</t>
  </si>
  <si>
    <t>風青</t>
  </si>
  <si>
    <t>世鎧精密股份有限公司</t>
  </si>
  <si>
    <t>世鎧</t>
  </si>
  <si>
    <t>晉椿工業股份有限公司</t>
  </si>
  <si>
    <t>晉椿</t>
  </si>
  <si>
    <t>世豐螺絲股份有限公司</t>
  </si>
  <si>
    <t>世豐</t>
  </si>
  <si>
    <t>世德工業股份有限公司</t>
  </si>
  <si>
    <t>世德</t>
  </si>
  <si>
    <t>嘉鋼精密工業股份有限公司</t>
  </si>
  <si>
    <t>嘉鋼</t>
  </si>
  <si>
    <t>精湛光學科技股份有限公司</t>
  </si>
  <si>
    <t>精湛</t>
  </si>
  <si>
    <t>大甲永和機械工業股份有限公司</t>
  </si>
  <si>
    <t>大甲</t>
  </si>
  <si>
    <t>泰茂實業股份有限公司</t>
  </si>
  <si>
    <t>泰茂</t>
  </si>
  <si>
    <t>謚源實業股份有限公司</t>
  </si>
  <si>
    <t>謚源</t>
  </si>
  <si>
    <t>綠意開發股份有限公司</t>
  </si>
  <si>
    <t>綠意</t>
  </si>
  <si>
    <t>台灣大車隊股份有限公司</t>
  </si>
  <si>
    <t>大車隊</t>
  </si>
  <si>
    <t>正德海運股份有限公司</t>
  </si>
  <si>
    <t>正德</t>
  </si>
  <si>
    <t>捷迅股份有限公司</t>
  </si>
  <si>
    <t>捷迅</t>
  </si>
  <si>
    <t>晶悅國際飯店股份有限公司</t>
  </si>
  <si>
    <t>晶悅</t>
  </si>
  <si>
    <t>燦星國際旅行社股份有限公司</t>
  </si>
  <si>
    <t>燦星旅</t>
  </si>
  <si>
    <t>富驛酒店集團有限公司</t>
  </si>
  <si>
    <t>富驛-KY</t>
  </si>
  <si>
    <t>雅茗天地股份有限公司</t>
  </si>
  <si>
    <t>雅茗-KY</t>
  </si>
  <si>
    <t>瓦城泰統股份有限公司</t>
  </si>
  <si>
    <t>瓦城</t>
  </si>
  <si>
    <t>六角國際事業股份有限公司</t>
  </si>
  <si>
    <t>六角</t>
  </si>
  <si>
    <t>易飛網國際旅行社股份有限公司</t>
  </si>
  <si>
    <t>易飛網</t>
  </si>
  <si>
    <t>高野大飯店股份有限公司</t>
  </si>
  <si>
    <t>高野</t>
  </si>
  <si>
    <t>天蔥國際股份有限公司</t>
  </si>
  <si>
    <t>天蔥</t>
  </si>
  <si>
    <t>山富國際旅行社股份有限公司</t>
  </si>
  <si>
    <t>山富</t>
  </si>
  <si>
    <t>五福旅行社股份有限公司</t>
  </si>
  <si>
    <t>五福</t>
  </si>
  <si>
    <t>豆府股份有限公司</t>
  </si>
  <si>
    <t>豆府</t>
  </si>
  <si>
    <t>滿心企業股份有限公司</t>
  </si>
  <si>
    <t>滿心</t>
  </si>
  <si>
    <t>開曼東凌股份有限公司</t>
  </si>
  <si>
    <t>東凌-KY</t>
  </si>
  <si>
    <t>誠品生活股份有限公司</t>
  </si>
  <si>
    <t>誠品生活</t>
  </si>
  <si>
    <t>紅馬集團股份有限公司</t>
  </si>
  <si>
    <t>紅馬-KY</t>
  </si>
  <si>
    <t>集雅社股份有限公司</t>
  </si>
  <si>
    <t>集雅社</t>
  </si>
  <si>
    <t>泰偉電子股份有限公司</t>
  </si>
  <si>
    <t>泰偉</t>
  </si>
  <si>
    <t>李洲科技股份有限公司</t>
  </si>
  <si>
    <t>李洲</t>
  </si>
  <si>
    <t>全域股份有限公司</t>
  </si>
  <si>
    <t>全域</t>
  </si>
  <si>
    <t>協禧電機股份有限公司</t>
  </si>
  <si>
    <t>協禧</t>
  </si>
  <si>
    <t>凱柏實業股份有限公司</t>
  </si>
  <si>
    <t>凱柏實業</t>
  </si>
  <si>
    <t>僑威科技股份有限公司</t>
  </si>
  <si>
    <t>僑威</t>
  </si>
  <si>
    <t>聯亞光電工業股份有限公司</t>
  </si>
  <si>
    <t>聯亞</t>
  </si>
  <si>
    <t>中華網龍股份有限公司</t>
  </si>
  <si>
    <t>網龍</t>
  </si>
  <si>
    <t>創新新零售股份有限公司</t>
  </si>
  <si>
    <t>新零售</t>
  </si>
  <si>
    <t>華義國際數位娛樂股份有限公司</t>
  </si>
  <si>
    <t>華義</t>
  </si>
  <si>
    <t>艾訊股份有限公司</t>
  </si>
  <si>
    <t>艾訊</t>
  </si>
  <si>
    <t>元炬科研股份有限公司</t>
  </si>
  <si>
    <t>元炬</t>
  </si>
  <si>
    <t>鴻碩精密電工股份有限公司</t>
  </si>
  <si>
    <t>鴻碩</t>
  </si>
  <si>
    <t>台灣港建股份有限公司</t>
  </si>
  <si>
    <t>港建</t>
  </si>
  <si>
    <t>及成企業股份有限公司</t>
  </si>
  <si>
    <t>及成</t>
  </si>
  <si>
    <t>穩懋半導體股份有限公司</t>
  </si>
  <si>
    <t>穩懋</t>
  </si>
  <si>
    <t>好德科技股份有限公司</t>
  </si>
  <si>
    <t>好德</t>
  </si>
  <si>
    <t>寶島極光股份有限公司</t>
  </si>
  <si>
    <t>寶島極</t>
  </si>
  <si>
    <t>進階生物科技股份有限公司</t>
  </si>
  <si>
    <t>進階</t>
  </si>
  <si>
    <t>笙泉科技股份有限公司</t>
  </si>
  <si>
    <t>笙泉</t>
  </si>
  <si>
    <t>昇銳電子股份有限公司</t>
  </si>
  <si>
    <t>昇銳</t>
  </si>
  <si>
    <t>弘塑科技股份有限公司</t>
  </si>
  <si>
    <t>弘塑</t>
  </si>
  <si>
    <t>晶宏半導體股份有限公司</t>
  </si>
  <si>
    <t>晶宏</t>
  </si>
  <si>
    <t>新揚科技股份有限公司</t>
  </si>
  <si>
    <t>新揚科</t>
  </si>
  <si>
    <t>大綜電腦系統股份有限公司</t>
  </si>
  <si>
    <t>大綜</t>
  </si>
  <si>
    <t>璟德電子工業股份有限公司</t>
  </si>
  <si>
    <t>璟德</t>
  </si>
  <si>
    <t>精確實業股份有限公司</t>
  </si>
  <si>
    <t>精確</t>
  </si>
  <si>
    <t>波若威科技股份有限公司</t>
  </si>
  <si>
    <t>波若威</t>
  </si>
  <si>
    <t>亞信電子股份有限公司</t>
  </si>
  <si>
    <t>亞信</t>
  </si>
  <si>
    <t>新洲全球股份有限公司</t>
  </si>
  <si>
    <t>新洲</t>
  </si>
  <si>
    <t>基亞生物科技股份有限公司</t>
  </si>
  <si>
    <t>基亞</t>
  </si>
  <si>
    <t>公準精密工業股份有限公司</t>
  </si>
  <si>
    <t>公準</t>
  </si>
  <si>
    <t>鑫龍騰開發股份有限公司</t>
  </si>
  <si>
    <t>鑫龍騰</t>
  </si>
  <si>
    <t>和進電子股份有限公司</t>
  </si>
  <si>
    <t>和進</t>
  </si>
  <si>
    <t>樺晟電子股份有限公司</t>
  </si>
  <si>
    <t>樺晟</t>
  </si>
  <si>
    <t>佰研生化科技股份有限公司</t>
  </si>
  <si>
    <t>佰研</t>
  </si>
  <si>
    <t>志豐電子股份有限公司</t>
  </si>
  <si>
    <t>志豐</t>
  </si>
  <si>
    <t>耀勝電子股份有限公司</t>
  </si>
  <si>
    <t>耀勝</t>
  </si>
  <si>
    <t>順達科技股份有限公司</t>
  </si>
  <si>
    <t>順達</t>
  </si>
  <si>
    <t>茂訊電腦股份有限公司</t>
  </si>
  <si>
    <t>茂訊</t>
  </si>
  <si>
    <t>優群科技股份有限公司</t>
  </si>
  <si>
    <t>優群</t>
  </si>
  <si>
    <t>大學光學科技股份有限公司</t>
  </si>
  <si>
    <t>大學光</t>
  </si>
  <si>
    <t>倚強股份有限公司</t>
  </si>
  <si>
    <t>倚強</t>
  </si>
  <si>
    <t>台灣嘉碩科技股份有限公司</t>
  </si>
  <si>
    <t>台嘉碩</t>
  </si>
  <si>
    <t>三顧股份有限公司</t>
  </si>
  <si>
    <t>三顧</t>
  </si>
  <si>
    <t>至寶光電股份有限公司</t>
  </si>
  <si>
    <t>至寶電</t>
  </si>
  <si>
    <t>原相科技股份有限公司</t>
  </si>
  <si>
    <t>原相</t>
  </si>
  <si>
    <t>金麗科技股份有限公司</t>
  </si>
  <si>
    <t>金麗科</t>
  </si>
  <si>
    <t>錦明實業股份有限公司</t>
  </si>
  <si>
    <t>錦明</t>
  </si>
  <si>
    <t>昱捷股份有限公司</t>
  </si>
  <si>
    <t>昱捷</t>
  </si>
  <si>
    <t>光環科技股份有限公司</t>
  </si>
  <si>
    <t>光環</t>
  </si>
  <si>
    <t>千如電機工業股份有限公司</t>
  </si>
  <si>
    <t>千如</t>
  </si>
  <si>
    <t>海灣國際開發(股)公司</t>
  </si>
  <si>
    <t>海灣</t>
  </si>
  <si>
    <t>鑫創科技股份有限公司</t>
  </si>
  <si>
    <t>鑫創</t>
  </si>
  <si>
    <t>威剛科技股份有限公司</t>
  </si>
  <si>
    <t>威剛</t>
  </si>
  <si>
    <t>欣銓科技股份有限公司</t>
  </si>
  <si>
    <t>欣銓</t>
  </si>
  <si>
    <t>台星科股份有限公司</t>
  </si>
  <si>
    <t>台星科</t>
  </si>
  <si>
    <t>海德威電子工業股份有限公司</t>
  </si>
  <si>
    <t>海德威</t>
  </si>
  <si>
    <t>東碩資訊股份有限公司</t>
  </si>
  <si>
    <t>東碩</t>
  </si>
  <si>
    <t>宇環科技股份有限公司</t>
  </si>
  <si>
    <t>宇環</t>
  </si>
  <si>
    <t>太普高精密影像股份有限公司</t>
  </si>
  <si>
    <t>太普高</t>
  </si>
  <si>
    <t>微端科技股份有限公司</t>
  </si>
  <si>
    <t>微端</t>
  </si>
  <si>
    <t>廣寰科技股份有限公司</t>
  </si>
  <si>
    <t>廣寰科</t>
  </si>
  <si>
    <t>點晶科技股份有限公司</t>
  </si>
  <si>
    <t>點晶</t>
  </si>
  <si>
    <t>宜特科技股份有限公司</t>
  </si>
  <si>
    <t>宜特</t>
  </si>
  <si>
    <t>東浦精密光電股份有限公司</t>
  </si>
  <si>
    <t>東浦</t>
  </si>
  <si>
    <t>鈊象電子股份有限公司</t>
  </si>
  <si>
    <t>鈊象</t>
  </si>
  <si>
    <t>英濟股份有限公司</t>
  </si>
  <si>
    <t>英濟</t>
  </si>
  <si>
    <t>杭特電子股份有限公司</t>
  </si>
  <si>
    <t>杭特</t>
  </si>
  <si>
    <t>岱稜科技股份有限公司</t>
  </si>
  <si>
    <t>岱稜</t>
  </si>
  <si>
    <t>鼎天國際股份有限公司</t>
  </si>
  <si>
    <t>鼎天</t>
  </si>
  <si>
    <t>佳穎精密企業股份有限公司</t>
  </si>
  <si>
    <t>佳穎</t>
  </si>
  <si>
    <t>斐成企業股份有限公司</t>
  </si>
  <si>
    <t>斐成</t>
  </si>
  <si>
    <t>尼克森微電子股份有限公司</t>
  </si>
  <si>
    <t>尼克森</t>
  </si>
  <si>
    <t>建舜電子製造股份有限公司</t>
  </si>
  <si>
    <t>建舜電</t>
  </si>
  <si>
    <t>加百裕工業股份有限公司</t>
  </si>
  <si>
    <t>加百裕</t>
  </si>
  <si>
    <t>雙鴻科技股份有限公司</t>
  </si>
  <si>
    <t>雙鴻</t>
  </si>
  <si>
    <t>旭品科技股份有限公司</t>
  </si>
  <si>
    <t>旭品</t>
  </si>
  <si>
    <t>幸康電子股份有限公司</t>
  </si>
  <si>
    <t>幸康</t>
  </si>
  <si>
    <t>泰谷光電科技股份有限公司</t>
  </si>
  <si>
    <t>泰谷</t>
  </si>
  <si>
    <t>律勝科技股份有限公司</t>
  </si>
  <si>
    <t>律勝</t>
  </si>
  <si>
    <t>尚立股份有限公司</t>
  </si>
  <si>
    <t>尚立</t>
  </si>
  <si>
    <t>先進光電科技股份有限公司</t>
  </si>
  <si>
    <t>先進光</t>
  </si>
  <si>
    <t>上詮光纖通信股份有限公司</t>
  </si>
  <si>
    <t>上詮</t>
  </si>
  <si>
    <t>台灣典範半導體股份有限公司</t>
  </si>
  <si>
    <t>典範</t>
  </si>
  <si>
    <t>熱映光電股份有限公司</t>
  </si>
  <si>
    <t>熱映</t>
  </si>
  <si>
    <t>精材科技股份有限公司</t>
  </si>
  <si>
    <t>精材</t>
  </si>
  <si>
    <t>彬台科技股份有限公司</t>
  </si>
  <si>
    <t>彬台</t>
  </si>
  <si>
    <t>崇越電通股份有限公司</t>
  </si>
  <si>
    <t>崇越電</t>
  </si>
  <si>
    <t>旭軟電子科技股份有限公司</t>
  </si>
  <si>
    <t>旭軟</t>
  </si>
  <si>
    <t>漢科系統科技股份有限公司</t>
  </si>
  <si>
    <t>漢科</t>
  </si>
  <si>
    <t>台興電子企業股份有限公司</t>
  </si>
  <si>
    <t>台興</t>
  </si>
  <si>
    <t>哲固資訊科技股份有限公司</t>
  </si>
  <si>
    <t>哲固</t>
  </si>
  <si>
    <t>台灣類比科技股份有限公司</t>
  </si>
  <si>
    <t>類比科</t>
  </si>
  <si>
    <t>聯一光學工業股份有限公司</t>
  </si>
  <si>
    <t>聯一光</t>
  </si>
  <si>
    <t>利機企業股份有限公司</t>
  </si>
  <si>
    <t>利機</t>
  </si>
  <si>
    <t>由田新技股份有限公司</t>
  </si>
  <si>
    <t>由田</t>
  </si>
  <si>
    <t>進泰電子科技股份有限公司</t>
  </si>
  <si>
    <t>進泰電子</t>
  </si>
  <si>
    <t>致振企業股份有限公司</t>
  </si>
  <si>
    <t>致振</t>
  </si>
  <si>
    <t>安勤科技股份有限公司</t>
  </si>
  <si>
    <t>安勤</t>
  </si>
  <si>
    <t>力致科技股份有限公司</t>
  </si>
  <si>
    <t>力致</t>
  </si>
  <si>
    <t>崧騰企業股份有限公司</t>
  </si>
  <si>
    <t>崧騰</t>
  </si>
  <si>
    <t>森寶開發股份有限公司</t>
  </si>
  <si>
    <t>森寶</t>
  </si>
  <si>
    <t>單井工業股份有限公司</t>
  </si>
  <si>
    <t>單井</t>
  </si>
  <si>
    <t>昇達科技股份有限公司</t>
  </si>
  <si>
    <t>昇達科</t>
  </si>
  <si>
    <t>長盛科技股份有限公司</t>
  </si>
  <si>
    <t>長盛</t>
  </si>
  <si>
    <t>陽程科技股份有限公司</t>
  </si>
  <si>
    <t>陽程</t>
  </si>
  <si>
    <t>環天世通科技股份有限公司</t>
  </si>
  <si>
    <t>環天科</t>
  </si>
  <si>
    <t>位速科技股份有限公司</t>
  </si>
  <si>
    <t>位速</t>
  </si>
  <si>
    <t>矽瑪科技股份有限公司</t>
  </si>
  <si>
    <t>矽瑪</t>
  </si>
  <si>
    <t>皇龍開發股份有限公司</t>
  </si>
  <si>
    <t>皇龍</t>
  </si>
  <si>
    <t>亞帝歐光電股份有限公司</t>
  </si>
  <si>
    <t>亞帝歐</t>
  </si>
  <si>
    <t>振維電子股份有限公司</t>
  </si>
  <si>
    <t>振維</t>
  </si>
  <si>
    <t>鴻翊國際股份有限公司</t>
  </si>
  <si>
    <t>鴻翊</t>
  </si>
  <si>
    <t>御頂國際股份有限公司</t>
  </si>
  <si>
    <t>御頂</t>
  </si>
  <si>
    <t>迎輝科技股份有限公司</t>
  </si>
  <si>
    <t>迎輝</t>
  </si>
  <si>
    <t>凡甲科技股份有限公司</t>
  </si>
  <si>
    <t>凡甲</t>
  </si>
  <si>
    <t>聚積科技股份有限公司</t>
  </si>
  <si>
    <t>聚積</t>
  </si>
  <si>
    <t>力旺電子股份有限公司</t>
  </si>
  <si>
    <t>力旺</t>
  </si>
  <si>
    <t>先益電子工業股份有限公司</t>
  </si>
  <si>
    <t>先益</t>
  </si>
  <si>
    <t>堡達實業股份有限公司</t>
  </si>
  <si>
    <t>堡達</t>
  </si>
  <si>
    <t>曜越科技股份有限公司</t>
  </si>
  <si>
    <t>曜越</t>
  </si>
  <si>
    <t>西柏科技股份有限公司</t>
  </si>
  <si>
    <t>西柏</t>
  </si>
  <si>
    <t>宇峻奧汀科技股份有限公司</t>
  </si>
  <si>
    <t>宇峻</t>
  </si>
  <si>
    <t>兆利科技工業股份有限公司</t>
  </si>
  <si>
    <t>兆利</t>
  </si>
  <si>
    <t>世禾科技股份有限公司</t>
  </si>
  <si>
    <t>世禾</t>
  </si>
  <si>
    <t>同致電子企業股份有限公司</t>
  </si>
  <si>
    <t>同致</t>
  </si>
  <si>
    <t>重鵬生技股份有限公司</t>
  </si>
  <si>
    <t>重鵬</t>
  </si>
  <si>
    <t>禾瑞亞科技股份有限公司</t>
  </si>
  <si>
    <t>禾瑞亞</t>
  </si>
  <si>
    <t>神準科技股份有限公司</t>
  </si>
  <si>
    <t>神準</t>
  </si>
  <si>
    <t>其陽科技股份有限公司</t>
  </si>
  <si>
    <t>其陽</t>
  </si>
  <si>
    <t>逸昌科技股份有限公司</t>
  </si>
  <si>
    <t>逸昌</t>
  </si>
  <si>
    <t>大塚資訊科技股份有限公司</t>
  </si>
  <si>
    <t>大塚</t>
  </si>
  <si>
    <t>泓格科技股份有限公司</t>
  </si>
  <si>
    <t>泓格</t>
  </si>
  <si>
    <t>友威科技股份有限公司</t>
  </si>
  <si>
    <t>友威科</t>
  </si>
  <si>
    <t>博磊科技股份有限公司</t>
  </si>
  <si>
    <t>博磊</t>
  </si>
  <si>
    <t>閎康科技股份有限公司</t>
  </si>
  <si>
    <t>閎康</t>
  </si>
  <si>
    <t>磐儀科技股份有限公司</t>
  </si>
  <si>
    <t>磐儀</t>
  </si>
  <si>
    <t>映興電子股份有限公司</t>
  </si>
  <si>
    <t>映興</t>
  </si>
  <si>
    <t>東林科技股份有限公司</t>
  </si>
  <si>
    <t>東林</t>
  </si>
  <si>
    <t>鼎翰科技股份有限公司</t>
  </si>
  <si>
    <t>鼎翰</t>
  </si>
  <si>
    <t>安可光電股份有限公司</t>
  </si>
  <si>
    <t>安可</t>
  </si>
  <si>
    <t>富晶通科技股份有限公司</t>
  </si>
  <si>
    <t>富晶通</t>
  </si>
  <si>
    <t>光頡科技股份有限公司</t>
  </si>
  <si>
    <t>光頡</t>
  </si>
  <si>
    <t>西勝國際股份有限公司</t>
  </si>
  <si>
    <t>西勝</t>
  </si>
  <si>
    <t>盈正豫順電子股份有限公司</t>
  </si>
  <si>
    <t>盈正</t>
  </si>
  <si>
    <t>地心引力股份有限公司</t>
  </si>
  <si>
    <t>地心引力</t>
  </si>
  <si>
    <t>新鉅科技股份有限公司</t>
  </si>
  <si>
    <t>新鉅科</t>
  </si>
  <si>
    <t>晟楠科技股份有限公司</t>
  </si>
  <si>
    <t>晟楠</t>
  </si>
  <si>
    <t>研勤科技股份有限公司</t>
  </si>
  <si>
    <t>研勤</t>
  </si>
  <si>
    <t>駿熠電子科技股份有限公司</t>
  </si>
  <si>
    <t>駿熠電</t>
  </si>
  <si>
    <t>艾恩特精密工業股份有限公司</t>
  </si>
  <si>
    <t>艾恩特</t>
  </si>
  <si>
    <t>精聯電子股份有限公司</t>
  </si>
  <si>
    <t>精聯</t>
  </si>
  <si>
    <t>鑫科材料科技股份有限公司</t>
  </si>
  <si>
    <t>鑫科</t>
  </si>
  <si>
    <t>安瑞科技股份有限公司</t>
  </si>
  <si>
    <t>安瑞-KY</t>
  </si>
  <si>
    <t>光耀科技股份有限公司</t>
  </si>
  <si>
    <t>光耀</t>
  </si>
  <si>
    <t>康聯訊科技股份有限公司</t>
  </si>
  <si>
    <t>康聯訊</t>
  </si>
  <si>
    <t>德微科技股份有限公司</t>
  </si>
  <si>
    <t>德微</t>
  </si>
  <si>
    <t>家登精密工業股份有限公司</t>
  </si>
  <si>
    <t>家登</t>
  </si>
  <si>
    <t>榮昌科技股份有限公司</t>
  </si>
  <si>
    <t>榮昌</t>
  </si>
  <si>
    <t>元創精密車業股份有限公司</t>
  </si>
  <si>
    <t>元創精密</t>
  </si>
  <si>
    <t>茂為歐買尬數位科技股份有限公司</t>
  </si>
  <si>
    <t>歐買尬</t>
  </si>
  <si>
    <t>湧德電子股份有限公司</t>
  </si>
  <si>
    <t>湧德</t>
  </si>
  <si>
    <t>碩禾電子材料股份有限公司</t>
  </si>
  <si>
    <t>碩禾</t>
  </si>
  <si>
    <t>營邦企業股份有限公司</t>
  </si>
  <si>
    <t>營邦</t>
  </si>
  <si>
    <t>漢磊先進投資控股股份有限公司</t>
  </si>
  <si>
    <t>漢磊</t>
  </si>
  <si>
    <t>鑫聯大投資控股股份有限公司</t>
  </si>
  <si>
    <t>鑫聯大投控</t>
  </si>
  <si>
    <t>連展投資控股股份有限公司</t>
  </si>
  <si>
    <t>連展投控</t>
  </si>
  <si>
    <t>新晶投資控股股份有限公司</t>
  </si>
  <si>
    <t>新晶投控</t>
  </si>
  <si>
    <t>永日化學工業股份有限公司</t>
  </si>
  <si>
    <t>永日</t>
  </si>
  <si>
    <t>台灣東洋藥品工業股份有限公司</t>
  </si>
  <si>
    <t>東洋</t>
  </si>
  <si>
    <t>邦特生物科技股份有限公司</t>
  </si>
  <si>
    <t>邦特</t>
  </si>
  <si>
    <t>加捷生醫股份有限公司</t>
  </si>
  <si>
    <t>加捷生醫</t>
  </si>
  <si>
    <t>濟生醫藥生技股份有限公司</t>
  </si>
  <si>
    <t>濟生</t>
  </si>
  <si>
    <t>聯上實業股份有限公司</t>
  </si>
  <si>
    <t>聯上</t>
  </si>
  <si>
    <t>健喬信元醫藥生技股份有限公司</t>
  </si>
  <si>
    <t>健喬</t>
  </si>
  <si>
    <t>明基三豐醫療器材股份有限公司</t>
  </si>
  <si>
    <t>明基醫</t>
  </si>
  <si>
    <t>友華生技醫藥股份有限公司</t>
  </si>
  <si>
    <t>友華</t>
  </si>
  <si>
    <t>優盛醫學科技股份有限公司</t>
  </si>
  <si>
    <t>優盛</t>
  </si>
  <si>
    <t>晟德大藥廠股份有限公司</t>
  </si>
  <si>
    <t>晟德</t>
  </si>
  <si>
    <t>太平洋醫材股份有限公司</t>
  </si>
  <si>
    <t>太醫</t>
  </si>
  <si>
    <t>天良生物科技企業股份有限公司</t>
  </si>
  <si>
    <t>天良</t>
  </si>
  <si>
    <t>中天生物科技股份有限公司</t>
  </si>
  <si>
    <t>中天</t>
  </si>
  <si>
    <t>聯合骨科器材股份有限公司</t>
  </si>
  <si>
    <t>聯合</t>
  </si>
  <si>
    <t>健亞生物科技股份有限公司</t>
  </si>
  <si>
    <t>健亞</t>
  </si>
  <si>
    <t>晶宇生物科技實業股份有限公司</t>
  </si>
  <si>
    <t>晶宇</t>
  </si>
  <si>
    <t>曜亞國際股份有限公司</t>
  </si>
  <si>
    <t>曜亞</t>
  </si>
  <si>
    <t>馬光保健控股股份有限公司</t>
  </si>
  <si>
    <t>馬光-KY</t>
  </si>
  <si>
    <t>中裕新藥股份有限公司</t>
  </si>
  <si>
    <t>中裕</t>
  </si>
  <si>
    <t>台灣微脂體股份有限公司</t>
  </si>
  <si>
    <t>台微體</t>
  </si>
  <si>
    <t>鈺緯科技開發股份有限公司</t>
  </si>
  <si>
    <t>鈺緯</t>
  </si>
  <si>
    <t>康樂股份有限公司</t>
  </si>
  <si>
    <t>康樂-KY</t>
  </si>
  <si>
    <t>太景醫藥研發控股股份有限公司</t>
  </si>
  <si>
    <t>太景*-KY</t>
  </si>
  <si>
    <t>創源生物科技股份有限公司</t>
  </si>
  <si>
    <t>創源</t>
  </si>
  <si>
    <t>聿新生物科技股份有限公司</t>
  </si>
  <si>
    <t>聿新科</t>
  </si>
  <si>
    <t>智擎生技製藥股份有限公司</t>
  </si>
  <si>
    <t>智擎</t>
  </si>
  <si>
    <t>鐿鈦科技股份有限公司</t>
  </si>
  <si>
    <t>鐿鈦</t>
  </si>
  <si>
    <t>展旺生命科技股份有限公司</t>
  </si>
  <si>
    <t>展旺</t>
  </si>
  <si>
    <t>台灣醣聯生技醫藥股份有限公司</t>
  </si>
  <si>
    <t>醣聯</t>
  </si>
  <si>
    <t>瑞基海洋生物科技股份有限公司</t>
  </si>
  <si>
    <t>瑞基</t>
  </si>
  <si>
    <t>久裕企業股份有限公司</t>
  </si>
  <si>
    <t>久裕</t>
  </si>
  <si>
    <t>台灣浩鼎生技股份有限公司</t>
  </si>
  <si>
    <t>浩鼎</t>
  </si>
  <si>
    <t>杏一醫療用品股份有限公司</t>
  </si>
  <si>
    <t>杏一</t>
  </si>
  <si>
    <t>福永生物科技股份有限公司</t>
  </si>
  <si>
    <t>福永生技</t>
  </si>
  <si>
    <t>安克生醫股份有限公司</t>
  </si>
  <si>
    <t>安克</t>
  </si>
  <si>
    <t>杏國新藥股份有限公司</t>
  </si>
  <si>
    <t>杏國</t>
  </si>
  <si>
    <t>環瑞醫投資控股股份有限公司</t>
  </si>
  <si>
    <t>環瑞醫</t>
  </si>
  <si>
    <t>中華食品實業股份有限公司</t>
  </si>
  <si>
    <t>中華食</t>
  </si>
  <si>
    <t>環泰企業股份有限公司</t>
  </si>
  <si>
    <t>環泰</t>
  </si>
  <si>
    <t>信立化學工業股份有限公司</t>
  </si>
  <si>
    <t>信立</t>
  </si>
  <si>
    <t>勝昱科技股份有限公司</t>
  </si>
  <si>
    <t>勝昱</t>
  </si>
  <si>
    <t>世坤塑膠股份有限公司</t>
  </si>
  <si>
    <t>世坤</t>
  </si>
  <si>
    <t>東隆興業股份有限公司</t>
  </si>
  <si>
    <t>東隆興</t>
  </si>
  <si>
    <t>福大材料科技股份有限公司</t>
  </si>
  <si>
    <t>福大</t>
  </si>
  <si>
    <t>新昕纖維股份有限公司</t>
  </si>
  <si>
    <t>新昕纖</t>
  </si>
  <si>
    <t>飛寶企業股份有限公司</t>
  </si>
  <si>
    <t>飛寶企業</t>
  </si>
  <si>
    <t>三圓建設股份有限公司</t>
  </si>
  <si>
    <t>三圓</t>
  </si>
  <si>
    <t>金洲海洋科技股份有限公司</t>
  </si>
  <si>
    <t>金洲</t>
  </si>
  <si>
    <t>元勝國際實業股份有限公司</t>
  </si>
  <si>
    <t>元勝</t>
  </si>
  <si>
    <t>光明絲織廠股份有限公司</t>
  </si>
  <si>
    <t>光明</t>
  </si>
  <si>
    <t>聚紡股份有限公司</t>
  </si>
  <si>
    <t>聚紡</t>
  </si>
  <si>
    <t>耀億工業股份有限公司</t>
  </si>
  <si>
    <t>耀億</t>
  </si>
  <si>
    <t>銘旺實業股份有限公司</t>
  </si>
  <si>
    <t>銘旺實</t>
  </si>
  <si>
    <t>興采實業股份有限公司</t>
  </si>
  <si>
    <t>興采</t>
  </si>
  <si>
    <t>健信科技工業股份有限公司</t>
  </si>
  <si>
    <t>健信</t>
  </si>
  <si>
    <t>金雨企業股份有限公司</t>
  </si>
  <si>
    <t>金雨</t>
  </si>
  <si>
    <t>崇友實業(股)公司</t>
  </si>
  <si>
    <t>崇友</t>
  </si>
  <si>
    <t>高鋒工業股份有限公司</t>
  </si>
  <si>
    <t>高鋒</t>
  </si>
  <si>
    <t>福裕事業股份有限公司</t>
  </si>
  <si>
    <t>福裕</t>
  </si>
  <si>
    <t>永彰機電股份有限公司</t>
  </si>
  <si>
    <t>永彰</t>
  </si>
  <si>
    <t>霖冷凍機械股份有限公司</t>
  </si>
  <si>
    <t>方土霖</t>
  </si>
  <si>
    <t>江興鍛壓工業股份有限公司</t>
  </si>
  <si>
    <t>江興鍛</t>
  </si>
  <si>
    <t>淳紳股份有限公司</t>
  </si>
  <si>
    <t>淳紳</t>
  </si>
  <si>
    <t>宏易創新國際股份有限公司</t>
  </si>
  <si>
    <t>宏易</t>
  </si>
  <si>
    <t>協易機械工業股份有限公司</t>
  </si>
  <si>
    <t>協易機</t>
  </si>
  <si>
    <t>慶騰精密科技股份有限公司</t>
  </si>
  <si>
    <t>慶騰</t>
  </si>
  <si>
    <t>至興精機股份有限公司</t>
  </si>
  <si>
    <t>至興</t>
  </si>
  <si>
    <t>大詠城機械股份有限公司</t>
  </si>
  <si>
    <t>大詠城</t>
  </si>
  <si>
    <t>晟田科技工業股份有限公司</t>
  </si>
  <si>
    <t>晟田</t>
  </si>
  <si>
    <t>科嶠工業股份有限公司</t>
  </si>
  <si>
    <t>科嶠</t>
  </si>
  <si>
    <t>萬在工業股份有限公司</t>
  </si>
  <si>
    <t>萬在</t>
  </si>
  <si>
    <t>桓達科技股份有限公司</t>
  </si>
  <si>
    <t>桓達</t>
  </si>
  <si>
    <t>長佳機電工程股份有限公司</t>
  </si>
  <si>
    <t>長佳</t>
  </si>
  <si>
    <t>橙的電子股份有限公司</t>
  </si>
  <si>
    <t>橙的</t>
  </si>
  <si>
    <t>旭然國際股份有限公司</t>
  </si>
  <si>
    <t>旭然</t>
  </si>
  <si>
    <t>健椿工業股份有限公司</t>
  </si>
  <si>
    <t>健椿</t>
  </si>
  <si>
    <t>百德機械股份有限公司</t>
  </si>
  <si>
    <t>百德</t>
  </si>
  <si>
    <t>科際精密股份有限公司</t>
  </si>
  <si>
    <t>科際精密</t>
  </si>
  <si>
    <t>捷流閥業股份有限公司</t>
  </si>
  <si>
    <t>捷流閥業</t>
  </si>
  <si>
    <t>唐鋒實業股份有限公司</t>
  </si>
  <si>
    <t>唐鋒</t>
  </si>
  <si>
    <t>中美聯合實業股份有限公司</t>
  </si>
  <si>
    <t>中美實</t>
  </si>
  <si>
    <t>大恭化學工業股份有限公司</t>
  </si>
  <si>
    <t>大恭</t>
  </si>
  <si>
    <t>磐亞股份有限公司</t>
  </si>
  <si>
    <t>磐亞</t>
  </si>
  <si>
    <t>永純化學工業股份有限公司</t>
  </si>
  <si>
    <t>永純</t>
  </si>
  <si>
    <t>南璋股份有限公司</t>
  </si>
  <si>
    <t>南璋</t>
  </si>
  <si>
    <t>永捷創新科技股份有限公司</t>
  </si>
  <si>
    <t>永捷</t>
  </si>
  <si>
    <t>大立高分子工業股份有限公司</t>
  </si>
  <si>
    <t>大立</t>
  </si>
  <si>
    <t>美琪瑪國際股份有限公司</t>
  </si>
  <si>
    <t>美琪瑪</t>
  </si>
  <si>
    <t>永昕生物醫藥股份有限公司</t>
  </si>
  <si>
    <t>永昕</t>
  </si>
  <si>
    <t>雙美生物科技股份有限公司</t>
  </si>
  <si>
    <t>雙美</t>
  </si>
  <si>
    <t>熒茂光學股份有限公司</t>
  </si>
  <si>
    <t>熒茂</t>
  </si>
  <si>
    <t>豪展醫療科技股份有限公司</t>
  </si>
  <si>
    <t>豪展</t>
  </si>
  <si>
    <t>泰博科技股份有限公司</t>
  </si>
  <si>
    <t>泰博</t>
  </si>
  <si>
    <t>泓瀚科技股份有限公司</t>
  </si>
  <si>
    <t>泓瀚</t>
  </si>
  <si>
    <t>合一生技股份有限公司</t>
  </si>
  <si>
    <t>合一</t>
  </si>
  <si>
    <t>皇將科技股份有限公司</t>
  </si>
  <si>
    <t>皇將</t>
  </si>
  <si>
    <t>合富醫療控股股份有限公司</t>
  </si>
  <si>
    <t>合富-KY</t>
  </si>
  <si>
    <t>強生化學製藥廠股份有限公司</t>
  </si>
  <si>
    <t>強生</t>
  </si>
  <si>
    <t>國碳科技股份有限公司</t>
  </si>
  <si>
    <t>國碳科</t>
  </si>
  <si>
    <t>勤凱科技股份有限公司</t>
  </si>
  <si>
    <t>勤凱</t>
  </si>
  <si>
    <t>誠泰工業科技股份有限公司</t>
  </si>
  <si>
    <t>誠泰科技</t>
  </si>
  <si>
    <t>威馳克媒體集團股份有限公司</t>
  </si>
  <si>
    <t>VHQ-KY</t>
  </si>
  <si>
    <t>大略國際控股有限公司</t>
  </si>
  <si>
    <t>大略-KY</t>
  </si>
  <si>
    <t>昇華娛樂傳播股份有限公司</t>
  </si>
  <si>
    <t>昇華</t>
  </si>
  <si>
    <t>聯合光纖通信股份有限公司</t>
  </si>
  <si>
    <t>聯光通</t>
  </si>
  <si>
    <t>台聯電訊股份有限公司</t>
  </si>
  <si>
    <t>台聯電</t>
  </si>
  <si>
    <t>富宇地產股份有限公司</t>
  </si>
  <si>
    <t>富宇</t>
  </si>
  <si>
    <t>前鼎光電股份有限公司</t>
  </si>
  <si>
    <t>前鼎</t>
  </si>
  <si>
    <t>新復興微波通訊股份有限公司</t>
  </si>
  <si>
    <t>新復興</t>
  </si>
  <si>
    <t>德英生物科技股份有限公司</t>
  </si>
  <si>
    <t>德英</t>
  </si>
  <si>
    <t>欣厚科技股份有限公司</t>
  </si>
  <si>
    <t>欣厚-KY</t>
  </si>
  <si>
    <t>新盛力科技股份有限公司</t>
  </si>
  <si>
    <t>新盛力</t>
  </si>
  <si>
    <t>友輝光電股份有限公司</t>
  </si>
  <si>
    <t>友輝</t>
  </si>
  <si>
    <t>亞洲電材股份有限公司</t>
  </si>
  <si>
    <t>亞電</t>
  </si>
  <si>
    <t>兆遠科技股份有限公司</t>
  </si>
  <si>
    <t>兆遠</t>
  </si>
  <si>
    <t>紅心辣椒娛樂科技股份有限公司</t>
  </si>
  <si>
    <t>辣椒</t>
  </si>
  <si>
    <t>昂寶電子股份有限公司</t>
  </si>
  <si>
    <t>昂寶-KY</t>
  </si>
  <si>
    <t>牧東光電股份有限公司</t>
  </si>
  <si>
    <t>牧東</t>
  </si>
  <si>
    <t>緯創軟體股份有限公司</t>
  </si>
  <si>
    <t>緯軟</t>
  </si>
  <si>
    <t>譜瑞科技股份有限公司</t>
  </si>
  <si>
    <t>譜瑞-KY</t>
  </si>
  <si>
    <t>英特磊科技股份有限公司</t>
  </si>
  <si>
    <t>IET-KY</t>
  </si>
  <si>
    <t>湯石照明科技股份有限公司</t>
  </si>
  <si>
    <t>湯石照明</t>
  </si>
  <si>
    <t>廣穎電通股份有限公司</t>
  </si>
  <si>
    <t>廣穎</t>
  </si>
  <si>
    <t>亞泰影像科技股份有限公司</t>
  </si>
  <si>
    <t>亞泰</t>
  </si>
  <si>
    <t>華星光通科技股份有限公司</t>
  </si>
  <si>
    <t>華星光</t>
  </si>
  <si>
    <t>科誠股份有限公司</t>
  </si>
  <si>
    <t>科誠</t>
  </si>
  <si>
    <t>環宇通訊半導體控股股份有限公司</t>
  </si>
  <si>
    <t>環宇-KY</t>
  </si>
  <si>
    <t>晶達光電股份有限公司</t>
  </si>
  <si>
    <t>晶達</t>
  </si>
  <si>
    <t>榮剛材料科技股份有限公司</t>
  </si>
  <si>
    <t>榮剛</t>
  </si>
  <si>
    <t>久陽精密股份有限公司</t>
  </si>
  <si>
    <t>久陽</t>
  </si>
  <si>
    <t>強新工業股份有限公司</t>
  </si>
  <si>
    <t>強新</t>
  </si>
  <si>
    <t>建錩實業股份有限公司</t>
  </si>
  <si>
    <t>建錩</t>
  </si>
  <si>
    <t>華祺工業股份有限公司</t>
  </si>
  <si>
    <t>華祺</t>
  </si>
  <si>
    <t>松和工業股份有限公司</t>
  </si>
  <si>
    <t>松和</t>
  </si>
  <si>
    <t>富強輪胎工廠股份有限公司</t>
  </si>
  <si>
    <t>富強</t>
  </si>
  <si>
    <t>凱衛資訊股份有限公司</t>
  </si>
  <si>
    <t>凱衛</t>
  </si>
  <si>
    <t>力新國際科技股份有限公司</t>
  </si>
  <si>
    <t>力新</t>
  </si>
  <si>
    <t>中茂能資系統整合科技(股)公司</t>
  </si>
  <si>
    <t>中茂</t>
  </si>
  <si>
    <t>坤悅開發股份有限公司</t>
  </si>
  <si>
    <t>坤悅</t>
  </si>
  <si>
    <t>新鼎系統股份有限公司</t>
  </si>
  <si>
    <t>新鼎</t>
  </si>
  <si>
    <t>寶碩財務科技股份有限公司</t>
  </si>
  <si>
    <t>寶碩</t>
  </si>
  <si>
    <t>蒙恬科技股份有限公司</t>
  </si>
  <si>
    <t>蒙恬</t>
  </si>
  <si>
    <t>凌網科技股份有限公司</t>
  </si>
  <si>
    <t>凌網</t>
  </si>
  <si>
    <t>亞昕國際開發股份有限公司</t>
  </si>
  <si>
    <t>亞昕</t>
  </si>
  <si>
    <t>萬達光電科技股份有限公司</t>
  </si>
  <si>
    <t>萬達光電</t>
  </si>
  <si>
    <t>安力國際股份有限公司</t>
  </si>
  <si>
    <t>安力-KY</t>
  </si>
  <si>
    <t>蓋曼立凱電能科技(股)公司</t>
  </si>
  <si>
    <t>立凱-KY</t>
  </si>
  <si>
    <t>雷笛克光學股份有限公司</t>
  </si>
  <si>
    <t>雷笛克光學</t>
  </si>
  <si>
    <t>智晶光電股份有限公司</t>
  </si>
  <si>
    <t>智晶</t>
  </si>
  <si>
    <t>天鉞電子股份有限公司</t>
  </si>
  <si>
    <t>天鉞電</t>
  </si>
  <si>
    <t>智崴資訊科技股份有限公司</t>
  </si>
  <si>
    <t>智崴</t>
  </si>
  <si>
    <t>笙科電子股份有限公司</t>
  </si>
  <si>
    <t>笙科</t>
  </si>
  <si>
    <t>信驊科技股份有限公司</t>
  </si>
  <si>
    <t>信驊</t>
  </si>
  <si>
    <t>達輝股份有限公司</t>
  </si>
  <si>
    <t>達輝-KY</t>
  </si>
  <si>
    <t>尚凡國際創新科技股份有限公司</t>
  </si>
  <si>
    <t>尚凡</t>
  </si>
  <si>
    <t>大峽谷半導體照明系統(開曼)</t>
  </si>
  <si>
    <t>大峽谷-KY</t>
  </si>
  <si>
    <t>數字科技股份有限公司</t>
  </si>
  <si>
    <t>數字</t>
  </si>
  <si>
    <t>宜鼎國際股份有限公司</t>
  </si>
  <si>
    <t>宜鼎</t>
  </si>
  <si>
    <t>邑昇實業股份有限公司</t>
  </si>
  <si>
    <t>邑昇</t>
  </si>
  <si>
    <t>杰力科技股份有限公司</t>
  </si>
  <si>
    <t>杰力</t>
  </si>
  <si>
    <t>寶得利國際股份有限公司</t>
  </si>
  <si>
    <t>寶得利</t>
  </si>
  <si>
    <t>太欣半導體股份有限公司</t>
  </si>
  <si>
    <t>太欣</t>
  </si>
  <si>
    <t>鼎創達股份有限公司</t>
  </si>
  <si>
    <t>鼎創達</t>
  </si>
  <si>
    <t>桂盟國際股份有限公司</t>
  </si>
  <si>
    <t>桂盟</t>
  </si>
  <si>
    <t>系統電子工業股份有限公司</t>
  </si>
  <si>
    <t>系統電</t>
  </si>
  <si>
    <t>天剛資訊股份有限公司</t>
  </si>
  <si>
    <t>天剛</t>
  </si>
  <si>
    <t>寶島光學科技股份有限公司</t>
  </si>
  <si>
    <t>寶島科</t>
  </si>
  <si>
    <t>世紀民生科技股份有限公司</t>
  </si>
  <si>
    <t>世紀</t>
  </si>
  <si>
    <t>光聯科技股份有限公司</t>
  </si>
  <si>
    <t>光聯</t>
  </si>
  <si>
    <t>友銓電子股份有限公司</t>
  </si>
  <si>
    <t>友銓</t>
  </si>
  <si>
    <t>士林開發股份有限公司</t>
  </si>
  <si>
    <t>士開</t>
  </si>
  <si>
    <t>華容股份有限公司</t>
  </si>
  <si>
    <t>華容</t>
  </si>
  <si>
    <t>建榮工業材料股份有限公司</t>
  </si>
  <si>
    <t>建榮</t>
  </si>
  <si>
    <t>立衛科技股份有限公司</t>
  </si>
  <si>
    <t>立衛</t>
  </si>
  <si>
    <t>天揚精密科技股份有限公司</t>
  </si>
  <si>
    <t>天揚</t>
  </si>
  <si>
    <t>世界先進積體電路股份有限公司</t>
  </si>
  <si>
    <t>世界</t>
  </si>
  <si>
    <t>系通科技股份有限公司</t>
  </si>
  <si>
    <t>系通</t>
  </si>
  <si>
    <t>先豐通訊股份有限公司</t>
  </si>
  <si>
    <t>先豐</t>
  </si>
  <si>
    <t>鈺創科技股份有限公司</t>
  </si>
  <si>
    <t>鈺創</t>
  </si>
  <si>
    <t>台林電通股份有限公司</t>
  </si>
  <si>
    <t>台林</t>
  </si>
  <si>
    <t>佳總興業股份有限公司</t>
  </si>
  <si>
    <t>佳總</t>
  </si>
  <si>
    <t>協益電子股份有限公司</t>
  </si>
  <si>
    <t>協益</t>
  </si>
  <si>
    <t>力麗觀光開發股份有限公司</t>
  </si>
  <si>
    <t>力麗店</t>
  </si>
  <si>
    <t>中強光電股份有限公司</t>
  </si>
  <si>
    <t>中光電</t>
  </si>
  <si>
    <t>合正科技股份有限公司</t>
  </si>
  <si>
    <t>合正</t>
  </si>
  <si>
    <t>金利精密工業股份有限公司</t>
  </si>
  <si>
    <t>金利</t>
  </si>
  <si>
    <t>青雲國際科技股份有限公司</t>
  </si>
  <si>
    <t>青雲</t>
  </si>
  <si>
    <t>應華精密科技股份有限公司</t>
  </si>
  <si>
    <t>應華</t>
  </si>
  <si>
    <t>慕康生技醫藥股份有限公司</t>
  </si>
  <si>
    <t>慕康生醫</t>
  </si>
  <si>
    <t>中菲電腦股份有限公司</t>
  </si>
  <si>
    <t>中菲</t>
  </si>
  <si>
    <t>國眾電腦股份有限公司</t>
  </si>
  <si>
    <t>國眾</t>
  </si>
  <si>
    <t>台灣半導體股份有限公司</t>
  </si>
  <si>
    <t>台半</t>
  </si>
  <si>
    <t>振發實業股份有限公司</t>
  </si>
  <si>
    <t>振發</t>
  </si>
  <si>
    <t>達威光電股份有限公司</t>
  </si>
  <si>
    <t>達威</t>
  </si>
  <si>
    <t>東友科技股份有限公司</t>
  </si>
  <si>
    <t>東友</t>
  </si>
  <si>
    <t>高技企業股份有限公司</t>
  </si>
  <si>
    <t>高技</t>
  </si>
  <si>
    <t>均豪精密工業股份有限公司</t>
  </si>
  <si>
    <t>均豪</t>
  </si>
  <si>
    <t>寶聯通綠能科技股份有限公司</t>
  </si>
  <si>
    <t>寶聯通</t>
  </si>
  <si>
    <t>佶優科技股份有限公司</t>
  </si>
  <si>
    <t>佶優</t>
  </si>
  <si>
    <t>昇益開發股份有限公司</t>
  </si>
  <si>
    <t>昇益</t>
  </si>
  <si>
    <t>宣德科技股份有限公司</t>
  </si>
  <si>
    <t>宣德</t>
  </si>
  <si>
    <t>同協電子股份有限公司</t>
  </si>
  <si>
    <t>同協</t>
  </si>
  <si>
    <t>霖宏科技股份有限公司</t>
  </si>
  <si>
    <t>霖宏</t>
  </si>
  <si>
    <t>富驊企業股份有限公司</t>
  </si>
  <si>
    <t>富驊</t>
  </si>
  <si>
    <t>凱鈺科技股份有限公司</t>
  </si>
  <si>
    <t>凱鈺</t>
  </si>
  <si>
    <t>聰泰科技開發股份有限公司</t>
  </si>
  <si>
    <t>聰泰</t>
  </si>
  <si>
    <t>德宏工業股份有限公司</t>
  </si>
  <si>
    <t>德宏</t>
  </si>
  <si>
    <t>智冠科技股份有限公司</t>
  </si>
  <si>
    <t>智冠</t>
  </si>
  <si>
    <t>新華泰富股份有限公司</t>
  </si>
  <si>
    <t>新華</t>
  </si>
  <si>
    <t>中美矽晶製品股份有限公司</t>
  </si>
  <si>
    <t>中美晶</t>
  </si>
  <si>
    <t>通泰積體電路股份有限公司</t>
  </si>
  <si>
    <t>通泰</t>
  </si>
  <si>
    <t>松普科技股份有限公司</t>
  </si>
  <si>
    <t>松普</t>
  </si>
  <si>
    <t>彩富電子股份有限公司</t>
  </si>
  <si>
    <t>彩富</t>
  </si>
  <si>
    <t>同亨科技股份有限公司</t>
  </si>
  <si>
    <t>同亨</t>
  </si>
  <si>
    <t>三聯科技股份有限公司</t>
  </si>
  <si>
    <t>三聯</t>
  </si>
  <si>
    <t>凱崴電子股份有限公司</t>
  </si>
  <si>
    <t>凱崴</t>
  </si>
  <si>
    <t>永信建設開發股份有限公司</t>
  </si>
  <si>
    <t>永信建</t>
  </si>
  <si>
    <t>德昌營造股份有限公司</t>
  </si>
  <si>
    <t>德昌</t>
  </si>
  <si>
    <t>力麒建設股份有限公司</t>
  </si>
  <si>
    <t>力麒</t>
  </si>
  <si>
    <t>三豐建設股份有限公司</t>
  </si>
  <si>
    <t>三豐</t>
  </si>
  <si>
    <t>雙喜營造股份有限公司</t>
  </si>
  <si>
    <t>雙喜</t>
  </si>
  <si>
    <t>力泰建設企業股份有限公司</t>
  </si>
  <si>
    <t>力泰</t>
  </si>
  <si>
    <t>豐謙建設股份有限公司</t>
  </si>
  <si>
    <t>豐謙</t>
  </si>
  <si>
    <t>志嘉建設股份有限公司</t>
  </si>
  <si>
    <t>志嘉</t>
  </si>
  <si>
    <t>龍巖股份有限公司</t>
  </si>
  <si>
    <t>龍巖</t>
  </si>
  <si>
    <t>聖暉工程科技股份有限公司</t>
  </si>
  <si>
    <t>聖暉</t>
  </si>
  <si>
    <t>崇佑股份有限公司</t>
  </si>
  <si>
    <t>崇佑-KY</t>
  </si>
  <si>
    <t>臺聯貨櫃通運股份有限公司</t>
  </si>
  <si>
    <t>台聯櫃</t>
  </si>
  <si>
    <t>陸海股份有限公司</t>
  </si>
  <si>
    <t>陸海</t>
  </si>
  <si>
    <t>中連汽車貨運股份有限公司</t>
  </si>
  <si>
    <t>中連貨</t>
  </si>
  <si>
    <t>中菲行國際物流股份有限公司</t>
  </si>
  <si>
    <t>中菲行</t>
  </si>
  <si>
    <t>劍湖山世界股份有限公司</t>
  </si>
  <si>
    <t>劍湖山</t>
  </si>
  <si>
    <t>亞都麗緻大飯店股份有限公司</t>
  </si>
  <si>
    <t>亞都</t>
  </si>
  <si>
    <t>知本老爺大酒店股份有限公司</t>
  </si>
  <si>
    <t>老爺知</t>
  </si>
  <si>
    <t>日盛金融控股股份有限公司</t>
  </si>
  <si>
    <t>日盛金</t>
  </si>
  <si>
    <t>致和證券股份有限公司</t>
  </si>
  <si>
    <t>致和證</t>
  </si>
  <si>
    <t>台名保險經紀人股份有限公司</t>
  </si>
  <si>
    <t>台名</t>
  </si>
  <si>
    <t>德記洋行股份有限公司</t>
  </si>
  <si>
    <t>德記</t>
  </si>
  <si>
    <t>全家便利商店股份有限公司</t>
  </si>
  <si>
    <t>全家</t>
  </si>
  <si>
    <t>寶雅國際股份有限公司</t>
  </si>
  <si>
    <t>寶雅</t>
  </si>
  <si>
    <t>南仁湖育樂股份有限公司</t>
  </si>
  <si>
    <t>南仁湖</t>
  </si>
  <si>
    <t>宏遠證券股份有限公司</t>
  </si>
  <si>
    <t>宏遠證</t>
  </si>
  <si>
    <t>康和綜合證券股份有限公司</t>
  </si>
  <si>
    <t>康和證</t>
  </si>
  <si>
    <t>大展證券股份有限公司</t>
  </si>
  <si>
    <t>大展證</t>
  </si>
  <si>
    <t>大慶證券股份有限公司</t>
  </si>
  <si>
    <t>大慶證</t>
  </si>
  <si>
    <t>元大期貨股份有限公司</t>
  </si>
  <si>
    <t>元大期</t>
  </si>
  <si>
    <t>福邦證券股份有限公司</t>
  </si>
  <si>
    <t>福邦證</t>
  </si>
  <si>
    <t>寬魚國際股份有限公司</t>
  </si>
  <si>
    <t>寬魚國際</t>
  </si>
  <si>
    <t>合邦電子股份有限公司</t>
  </si>
  <si>
    <t>合邦</t>
  </si>
  <si>
    <t>創惟科技股份有限公司</t>
  </si>
  <si>
    <t>創惟</t>
  </si>
  <si>
    <t>亞元科技股份有限公司</t>
  </si>
  <si>
    <t>亞元</t>
  </si>
  <si>
    <t>大宇資訊股份有限公司</t>
  </si>
  <si>
    <t>大宇資</t>
  </si>
  <si>
    <t>亞矽科技股份有限公司</t>
  </si>
  <si>
    <t>亞矽</t>
  </si>
  <si>
    <t>久威國際股份有限公司</t>
  </si>
  <si>
    <t>久威</t>
  </si>
  <si>
    <t>建達國際股份有限公司</t>
  </si>
  <si>
    <t>建達</t>
  </si>
  <si>
    <t>新普科技股份有限公司</t>
  </si>
  <si>
    <t>新普</t>
  </si>
  <si>
    <t>擎邦國際科技工程股份有限公司</t>
  </si>
  <si>
    <t>擎邦</t>
  </si>
  <si>
    <t>上奇科技股份有限公司</t>
  </si>
  <si>
    <t>上奇</t>
  </si>
  <si>
    <t>業強科技股份有限公司</t>
  </si>
  <si>
    <t>業強</t>
  </si>
  <si>
    <t>廣運機械工程股份有限公司</t>
  </si>
  <si>
    <t>廣運</t>
  </si>
  <si>
    <t>信音企業股份有限公司</t>
  </si>
  <si>
    <t>信音</t>
  </si>
  <si>
    <t>九豪精密陶瓷股份有限公司</t>
  </si>
  <si>
    <t>九豪</t>
  </si>
  <si>
    <t>普誠科技股份有限公司</t>
  </si>
  <si>
    <t>普誠</t>
  </si>
  <si>
    <t>星寶國際股份有限公司</t>
  </si>
  <si>
    <t>星寶國際</t>
  </si>
  <si>
    <t>萬旭電業股份有限公司</t>
  </si>
  <si>
    <t>萬旭</t>
  </si>
  <si>
    <t>茂達電子股份有限公司</t>
  </si>
  <si>
    <t>茂達</t>
  </si>
  <si>
    <t>訊達電腦股份有限公司</t>
  </si>
  <si>
    <t>訊達</t>
  </si>
  <si>
    <t>振曜科技股份有限公司</t>
  </si>
  <si>
    <t>振曜</t>
  </si>
  <si>
    <t>得利影視股份有限公司</t>
  </si>
  <si>
    <t>得利影</t>
  </si>
  <si>
    <t>耕興股份有限公司</t>
  </si>
  <si>
    <t>耕興</t>
  </si>
  <si>
    <t>頎邦科技股份有限公司</t>
  </si>
  <si>
    <t>頎邦</t>
  </si>
  <si>
    <t>驊宏資通股份有限公司</t>
  </si>
  <si>
    <t>驊宏資</t>
  </si>
  <si>
    <t>撼訊科技股份有限公司</t>
  </si>
  <si>
    <t>撼訊</t>
  </si>
  <si>
    <t>晉倫科技股份有限公司</t>
  </si>
  <si>
    <t>晉倫</t>
  </si>
  <si>
    <t>順發電腦股份有限公司</t>
  </si>
  <si>
    <t>順發</t>
  </si>
  <si>
    <t>松上電子股份有限公司</t>
  </si>
  <si>
    <t>松上</t>
  </si>
  <si>
    <t>禾昌興業股份有限公司</t>
  </si>
  <si>
    <t>禾昌</t>
  </si>
  <si>
    <t>欣技資訊股份有限公司</t>
  </si>
  <si>
    <t>欣技</t>
  </si>
  <si>
    <t>捷波資訊股份有限公司</t>
  </si>
  <si>
    <t>捷波</t>
  </si>
  <si>
    <t>華電聯網股份有限公司</t>
  </si>
  <si>
    <t>華電網</t>
  </si>
  <si>
    <t>久正光電股份有限公司</t>
  </si>
  <si>
    <t>久正</t>
  </si>
  <si>
    <t>昱泉國際股份有限公司</t>
  </si>
  <si>
    <t>昱泉</t>
  </si>
  <si>
    <t>統振股份有限公司</t>
  </si>
  <si>
    <t>統振</t>
  </si>
  <si>
    <t>台灣亞銳士股份有限公司</t>
  </si>
  <si>
    <t>亞銳士</t>
  </si>
  <si>
    <t>信昌電子陶瓷股份有限公司</t>
  </si>
  <si>
    <t>信昌電</t>
  </si>
  <si>
    <t>安碁科技股份有限公司</t>
  </si>
  <si>
    <t>安碁</t>
  </si>
  <si>
    <t>立敦科技(股)有限公司</t>
  </si>
  <si>
    <t>立敦</t>
  </si>
  <si>
    <t>亞通利大能源股份有限公司</t>
  </si>
  <si>
    <t>亞通</t>
  </si>
  <si>
    <t>遊戲橘子數位科技股份有限公司</t>
  </si>
  <si>
    <t>橘子</t>
  </si>
  <si>
    <t>合晶科技股份有限公司</t>
  </si>
  <si>
    <t>合晶</t>
  </si>
  <si>
    <t>幃翔精密股份有限公司</t>
  </si>
  <si>
    <t>幃翔</t>
  </si>
  <si>
    <t>新潤興業股份有限公司</t>
  </si>
  <si>
    <t>新潤</t>
  </si>
  <si>
    <t>萬潤科技股份有限公司</t>
  </si>
  <si>
    <t>萬潤</t>
  </si>
  <si>
    <t>廣明光電股份有限公司</t>
  </si>
  <si>
    <t>廣明</t>
  </si>
  <si>
    <t>萬泰科技股份有限公司</t>
  </si>
  <si>
    <t>萬泰科</t>
  </si>
  <si>
    <t>育富電子股份有限公司</t>
  </si>
  <si>
    <t>育富</t>
  </si>
  <si>
    <t>詩肯股份有限公司</t>
  </si>
  <si>
    <t>詩肯</t>
  </si>
  <si>
    <t>凌泰科技股份有限公司</t>
  </si>
  <si>
    <t>凌泰</t>
  </si>
  <si>
    <t>天品聯合企業股份有限公司</t>
  </si>
  <si>
    <t>天品</t>
  </si>
  <si>
    <t>海韻電子工業股份有限公司</t>
  </si>
  <si>
    <t>海韻電</t>
  </si>
  <si>
    <t>台灣艾華電子工業股份有限公司</t>
  </si>
  <si>
    <t>艾華</t>
  </si>
  <si>
    <t>雷科股份有限公司</t>
  </si>
  <si>
    <t>雷科</t>
  </si>
  <si>
    <t>日揚科技股份有限公司</t>
  </si>
  <si>
    <t>日揚</t>
  </si>
  <si>
    <t>慶生電子股份有限公司</t>
  </si>
  <si>
    <t>慶生</t>
  </si>
  <si>
    <t>理銘開發股份有限公司</t>
  </si>
  <si>
    <t>理銘</t>
  </si>
  <si>
    <t>中國探針股份有限公司</t>
  </si>
  <si>
    <t>中探針</t>
  </si>
  <si>
    <t>豪勉科技股份有限公司</t>
  </si>
  <si>
    <t>豪勉</t>
  </si>
  <si>
    <t>富旺國際開發股份有限公司</t>
  </si>
  <si>
    <t>富旺</t>
  </si>
  <si>
    <t>岳豐科技股份有限公司</t>
  </si>
  <si>
    <t>岳豐</t>
  </si>
  <si>
    <t>晉泰科技股份有限公司</t>
  </si>
  <si>
    <t>晉泰</t>
  </si>
  <si>
    <t>上揚科技股份有限公司</t>
  </si>
  <si>
    <t>上揚</t>
  </si>
  <si>
    <t>旺矽科技股份有限公司</t>
  </si>
  <si>
    <t>旺矽</t>
  </si>
  <si>
    <t>茂綸股份有限公司</t>
  </si>
  <si>
    <t>茂綸</t>
  </si>
  <si>
    <t>全譜科技股份有限公司</t>
  </si>
  <si>
    <t>全譜</t>
  </si>
  <si>
    <t>研通科技股份有限公司</t>
  </si>
  <si>
    <t>研通</t>
  </si>
  <si>
    <t>系微股份有限公司</t>
  </si>
  <si>
    <t>系微</t>
  </si>
  <si>
    <t>旺玖科技股份有限公司</t>
  </si>
  <si>
    <t>旺玖</t>
  </si>
  <si>
    <t>高僑自動化科技股份有限公司</t>
  </si>
  <si>
    <t>高僑</t>
  </si>
  <si>
    <t>康呈生醫科技股份有限公司</t>
  </si>
  <si>
    <t>康呈</t>
  </si>
  <si>
    <t>驊訊電子企業股份有限公司</t>
  </si>
  <si>
    <t>驊訊</t>
  </si>
  <si>
    <t>勝麗國際股份有限公司</t>
  </si>
  <si>
    <t>勝麗</t>
  </si>
  <si>
    <t>松崗數位文創股份有限公司</t>
  </si>
  <si>
    <t>松崗</t>
  </si>
  <si>
    <t>易通展科技股份有限公司(原享承)</t>
  </si>
  <si>
    <t>易通展</t>
  </si>
  <si>
    <t>立康生醫事業股份有限公司(亨豐)</t>
  </si>
  <si>
    <t>立康</t>
  </si>
  <si>
    <t>茂迪股份有限公司</t>
  </si>
  <si>
    <t>茂迪</t>
  </si>
  <si>
    <t>立端科技股份有限公司</t>
  </si>
  <si>
    <t>立端</t>
  </si>
  <si>
    <t>臺龍電子股份有限公司</t>
  </si>
  <si>
    <t>臺龍</t>
  </si>
  <si>
    <t>淇譽電子科技股份有限公司</t>
  </si>
  <si>
    <t>淇譽電</t>
  </si>
  <si>
    <t>沛波鋼鐵股份有限公司</t>
  </si>
  <si>
    <t>沛波</t>
  </si>
  <si>
    <t>百徽股份有限公司</t>
  </si>
  <si>
    <t>百徽</t>
  </si>
  <si>
    <t>久元電子股份有限公司</t>
  </si>
  <si>
    <t>久元</t>
  </si>
  <si>
    <t>普萊德科技股份有限公司</t>
  </si>
  <si>
    <t>普萊德</t>
  </si>
  <si>
    <t>富裔實業股份有限公司</t>
  </si>
  <si>
    <t>富裔</t>
  </si>
  <si>
    <t>方土昶股份有限公司</t>
  </si>
  <si>
    <t>方土昶</t>
  </si>
  <si>
    <t>泰詠電子股份有限公司</t>
  </si>
  <si>
    <t>泰詠</t>
  </si>
  <si>
    <t>倍微科技股份有限公司</t>
  </si>
  <si>
    <t>倍微</t>
  </si>
  <si>
    <t>台燿科技股份有限公司</t>
  </si>
  <si>
    <t>台燿</t>
  </si>
  <si>
    <t>元山科技工業股份有限公司</t>
  </si>
  <si>
    <t>元山</t>
  </si>
  <si>
    <t>安鈦克科技股份有限公司</t>
  </si>
  <si>
    <t>安鈦克</t>
  </si>
  <si>
    <t>胡連精密股份有限公司</t>
  </si>
  <si>
    <t>胡連</t>
  </si>
  <si>
    <t>佳邦科技股份有限公司</t>
  </si>
  <si>
    <t>佳邦</t>
  </si>
  <si>
    <t>元隆電子股份有限公司</t>
  </si>
  <si>
    <t>元隆</t>
  </si>
  <si>
    <t>良維科技股份有限公司</t>
  </si>
  <si>
    <t>良維</t>
  </si>
  <si>
    <t>沛亨半導體股份有限公司</t>
  </si>
  <si>
    <t>沛亨</t>
  </si>
  <si>
    <t>迅德興業股份有限公司</t>
  </si>
  <si>
    <t>迅德</t>
  </si>
  <si>
    <t>智基科技開發股份有限公司</t>
  </si>
  <si>
    <t>智基</t>
  </si>
  <si>
    <t>中國通訊多媒體集團有限公司</t>
  </si>
  <si>
    <t>通訊-KY</t>
  </si>
  <si>
    <t>晶焱科技股份有限公司</t>
  </si>
  <si>
    <t>晶焱</t>
  </si>
  <si>
    <t>韋僑科技股份有限公司</t>
  </si>
  <si>
    <t>韋僑</t>
  </si>
  <si>
    <t>詠昇電子股份有限公司</t>
  </si>
  <si>
    <t>詠昇</t>
  </si>
  <si>
    <t>京晨科技股份有限公司</t>
  </si>
  <si>
    <t>京晨科</t>
  </si>
  <si>
    <t>易發精機股份有限公司</t>
  </si>
  <si>
    <t>易發</t>
  </si>
  <si>
    <t>統新光訊股份有限公司</t>
  </si>
  <si>
    <t>統新</t>
  </si>
  <si>
    <t>今展科技股份有限公司</t>
  </si>
  <si>
    <t>今展科</t>
  </si>
  <si>
    <t>大中積體電路股份有限公司</t>
  </si>
  <si>
    <t>大中</t>
  </si>
  <si>
    <t>迅得機械股份有限公司</t>
  </si>
  <si>
    <t>迅得</t>
  </si>
  <si>
    <t>廣錠科技股份有限公司</t>
  </si>
  <si>
    <t>廣錠</t>
  </si>
  <si>
    <t>藥華醫藥股份有限公司</t>
  </si>
  <si>
    <t>藥華藥</t>
  </si>
  <si>
    <t>紘康科技股份有限公司</t>
  </si>
  <si>
    <t>紘康</t>
  </si>
  <si>
    <t>益得生物科技股份有限公司</t>
  </si>
  <si>
    <t>益得</t>
  </si>
  <si>
    <t>神盾股份有限公司</t>
  </si>
  <si>
    <t>神盾</t>
  </si>
  <si>
    <t>威潤科技股份有限公司</t>
  </si>
  <si>
    <t>威潤</t>
  </si>
  <si>
    <t>大樹醫藥股份有限公司</t>
  </si>
  <si>
    <t>大樹</t>
  </si>
  <si>
    <t>宇智網通股份有限公司</t>
  </si>
  <si>
    <t>宇智</t>
  </si>
  <si>
    <t>保瑞藥業股份有限公司</t>
  </si>
  <si>
    <t>保瑞</t>
  </si>
  <si>
    <t>弘煜科技事業股份有限公司</t>
  </si>
  <si>
    <t>弘煜科</t>
  </si>
  <si>
    <t>點序科技股份有限公司</t>
  </si>
  <si>
    <t>點序</t>
  </si>
  <si>
    <t>互動國際數位股份有限公司</t>
  </si>
  <si>
    <t>互動</t>
  </si>
  <si>
    <t>環球晶圓股份有限公司</t>
  </si>
  <si>
    <t>環球晶</t>
  </si>
  <si>
    <t>生華生物科技股份有限公司</t>
  </si>
  <si>
    <t>生華科</t>
  </si>
  <si>
    <t>九齊科技股份有限公司</t>
  </si>
  <si>
    <t>九齊</t>
  </si>
  <si>
    <t>科懋生物科技股份有限公司</t>
  </si>
  <si>
    <t>科懋</t>
  </si>
  <si>
    <t>亞獅康股份有限公司</t>
  </si>
  <si>
    <t>亞獅康-KY</t>
  </si>
  <si>
    <t>益安生醫股份有限公司</t>
  </si>
  <si>
    <t>益安</t>
  </si>
  <si>
    <t>(又又)邦實業股份有限公司</t>
  </si>
  <si>
    <t>雙邦</t>
  </si>
  <si>
    <t>惠光股份有限公司</t>
  </si>
  <si>
    <t>惠光</t>
  </si>
  <si>
    <t>聚和國際股份有限公司</t>
  </si>
  <si>
    <t>聚和</t>
  </si>
  <si>
    <t>中華精測科技股份有限公司</t>
  </si>
  <si>
    <t>精測</t>
  </si>
  <si>
    <t>啟發電子股份有限公司</t>
  </si>
  <si>
    <t>啟發電</t>
  </si>
  <si>
    <t>芮特科技股份有限公司</t>
  </si>
  <si>
    <t>芮特-KY</t>
  </si>
  <si>
    <t>勤崴國際科技股份有限公司</t>
  </si>
  <si>
    <t>勤崴國際</t>
  </si>
  <si>
    <t>達爾膚生醫科技股份有限公司</t>
  </si>
  <si>
    <t>達爾膚</t>
  </si>
  <si>
    <t>明達醫學科技股份有限公司</t>
  </si>
  <si>
    <t>明達醫</t>
  </si>
  <si>
    <t>創威光電股份有限公司</t>
  </si>
  <si>
    <t>創威</t>
  </si>
  <si>
    <t>瑞耘科技股份有限公司</t>
  </si>
  <si>
    <t>瑞耘</t>
  </si>
  <si>
    <t>順天醫藥生技股份有限公司</t>
  </si>
  <si>
    <t>順藥</t>
  </si>
  <si>
    <t>倉和股份有限公司</t>
  </si>
  <si>
    <t>倉和</t>
  </si>
  <si>
    <t>隆中網絡股份有限公司</t>
  </si>
  <si>
    <t>隆中</t>
  </si>
  <si>
    <t>高端疫苗生物製劑股份有限公司</t>
  </si>
  <si>
    <t>高端疫苗</t>
  </si>
  <si>
    <t>長華科技股份有限公司</t>
  </si>
  <si>
    <t>長科*</t>
  </si>
  <si>
    <t>勝品電通股份有限公司</t>
  </si>
  <si>
    <t>勝品</t>
  </si>
  <si>
    <t>欣普羅光電股份有限公司</t>
  </si>
  <si>
    <t>欣普羅</t>
  </si>
  <si>
    <t>是方電訊股份有限公司</t>
  </si>
  <si>
    <t>是方</t>
  </si>
  <si>
    <t>宏觀微電子股份有限公司</t>
  </si>
  <si>
    <t>宏觀</t>
  </si>
  <si>
    <t>醫揚科技股份有限公司</t>
  </si>
  <si>
    <t>醫揚</t>
  </si>
  <si>
    <t>維田科技股份有限公司</t>
  </si>
  <si>
    <t>維田</t>
  </si>
  <si>
    <t>霈方國際股份有限公司</t>
  </si>
  <si>
    <t>霈方</t>
  </si>
  <si>
    <t>逸達生物科技股份有限公司</t>
  </si>
  <si>
    <t>逸達</t>
  </si>
  <si>
    <t>勁豐電子股份有限公司</t>
  </si>
  <si>
    <t>勁豐</t>
  </si>
  <si>
    <t>達邦蛋白股份有限公司</t>
  </si>
  <si>
    <t>達邦蛋白</t>
  </si>
  <si>
    <t>台康生技股份有限公司</t>
  </si>
  <si>
    <t>台康生技</t>
  </si>
  <si>
    <t>普鴻資訊股份有限公司</t>
  </si>
  <si>
    <t>普鴻</t>
  </si>
  <si>
    <t>台灣銘板股份有限公司</t>
  </si>
  <si>
    <t>台灣銘板</t>
  </si>
  <si>
    <t>展匯科技股份有限公司</t>
  </si>
  <si>
    <t>展匯科</t>
  </si>
  <si>
    <t>寬宏藝術經紀股份有限公司</t>
  </si>
  <si>
    <t>寬宏藝術</t>
  </si>
  <si>
    <t>富強鑫精密工業股份有限公司</t>
  </si>
  <si>
    <t>富強鑫</t>
  </si>
  <si>
    <t>台灣瀧澤科技股份有限公司</t>
  </si>
  <si>
    <t>瀧澤科</t>
  </si>
  <si>
    <t>應用奈米醫材科技股份有限公司</t>
  </si>
  <si>
    <t>奈米醫材</t>
  </si>
  <si>
    <t>朋億股份有限公司</t>
  </si>
  <si>
    <t>朋億</t>
  </si>
  <si>
    <t>慧智基因股份有限公司</t>
  </si>
  <si>
    <t>慧智</t>
  </si>
  <si>
    <t>特昇國際股份有限公司</t>
  </si>
  <si>
    <t>特昇-KY</t>
  </si>
  <si>
    <t>萬年清環境工程股份有限公司</t>
  </si>
  <si>
    <t>萬年清</t>
  </si>
  <si>
    <t>泰金投資控股股份有限公司</t>
  </si>
  <si>
    <t>泰金-KY</t>
  </si>
  <si>
    <t>均華精密工業股份有限公司</t>
  </si>
  <si>
    <t>均華</t>
  </si>
  <si>
    <t>富致科技股份有限公司</t>
  </si>
  <si>
    <t>富致</t>
  </si>
  <si>
    <t>円星科技股份有限公司</t>
  </si>
  <si>
    <t>M31</t>
  </si>
  <si>
    <t>台灣生醫材料股份有限公司</t>
  </si>
  <si>
    <t>台生材</t>
  </si>
  <si>
    <t>天正國際精密機械股份有限公司</t>
  </si>
  <si>
    <t>天正國際</t>
  </si>
  <si>
    <t>樂斯科生物科技股份有限公司</t>
  </si>
  <si>
    <t>樂斯科</t>
  </si>
  <si>
    <t>群翊工業股份有限公司</t>
  </si>
  <si>
    <t>群翊</t>
  </si>
  <si>
    <t>信紘科技股份有限公司</t>
  </si>
  <si>
    <t>信紘科</t>
  </si>
  <si>
    <t>鈺太科技股份有限公司</t>
  </si>
  <si>
    <t>鈺太</t>
  </si>
  <si>
    <t>鑫創電子股份有限公司</t>
  </si>
  <si>
    <t>鑫創電子</t>
  </si>
  <si>
    <t>雍智科技股份有限公司</t>
  </si>
  <si>
    <t>雍智科技</t>
  </si>
  <si>
    <t>安碁資訊股份有限公司</t>
  </si>
  <si>
    <t>安碁資訊</t>
  </si>
  <si>
    <t>東捷資訊服務股份有限公司</t>
  </si>
  <si>
    <t>東捷資訊</t>
  </si>
  <si>
    <t>應廣科技股份有限公司</t>
  </si>
  <si>
    <t>應廣</t>
  </si>
  <si>
    <t>崑鼎投資控股股份有限公司</t>
  </si>
  <si>
    <t>崑鼎</t>
  </si>
  <si>
    <t>邑錡股份有限公司</t>
  </si>
  <si>
    <t>邑錡</t>
  </si>
  <si>
    <t>佑華微電子股份有限公司</t>
  </si>
  <si>
    <t>佑華</t>
  </si>
  <si>
    <t>鈦昇科技股份有限公司</t>
  </si>
  <si>
    <t>鈦昇</t>
  </si>
  <si>
    <t>光菱電子股份有限公司</t>
  </si>
  <si>
    <t>光菱</t>
  </si>
  <si>
    <t>榮群電訊股份有限公司</t>
  </si>
  <si>
    <t>榮群</t>
  </si>
  <si>
    <t>長園科技實業股份有限公司</t>
  </si>
  <si>
    <t>長園科</t>
  </si>
  <si>
    <t>九暘電子股份有限公司</t>
  </si>
  <si>
    <t>九暘</t>
  </si>
  <si>
    <t>臺灣金山電子工業股份有限公司</t>
  </si>
  <si>
    <t>金山電</t>
  </si>
  <si>
    <t>蜜望實企業股份有限公司</t>
  </si>
  <si>
    <t>蜜望實</t>
  </si>
  <si>
    <t>網路家庭國際資訊股份有限公司</t>
  </si>
  <si>
    <t>網家</t>
  </si>
  <si>
    <t>星雲電腦股份有限公司</t>
  </si>
  <si>
    <t>星雲</t>
  </si>
  <si>
    <t>德勝科技股份有限公司</t>
  </si>
  <si>
    <t>德勝</t>
  </si>
  <si>
    <t>晶采光電科技股份有限公司</t>
  </si>
  <si>
    <t>晶采</t>
  </si>
  <si>
    <t>廣積科技股份有限公司</t>
  </si>
  <si>
    <t>廣積</t>
  </si>
  <si>
    <t>安國國際科技股份有限公司</t>
  </si>
  <si>
    <t>安國</t>
  </si>
  <si>
    <t>凱碩科技股份有限公司</t>
  </si>
  <si>
    <t>凱碩</t>
  </si>
  <si>
    <t>東捷科技股份有限公司</t>
  </si>
  <si>
    <t>東捷</t>
  </si>
  <si>
    <t>來思達國際企業股份有限公司</t>
  </si>
  <si>
    <t>來思達</t>
  </si>
  <si>
    <t>志旭國際股份有限公司</t>
  </si>
  <si>
    <t>志旭</t>
  </si>
  <si>
    <t>全達國際股份有限公司</t>
  </si>
  <si>
    <t>全達</t>
  </si>
  <si>
    <t>元太科技工業股份有限公司</t>
  </si>
  <si>
    <t>元太</t>
  </si>
  <si>
    <t>能率網通股份有限公司</t>
  </si>
  <si>
    <t>能率網通</t>
  </si>
  <si>
    <t>鉅橡企業股份有限公司</t>
  </si>
  <si>
    <t>鉅橡</t>
  </si>
  <si>
    <t>伍豐科技股份有限公司</t>
  </si>
  <si>
    <t>伍豐</t>
  </si>
  <si>
    <t>洛碁實業股份有限公司</t>
  </si>
  <si>
    <t>洛碁</t>
  </si>
  <si>
    <t>永利聯合股份有限公司</t>
  </si>
  <si>
    <t>永利聯合</t>
  </si>
  <si>
    <t>瑞穎股份有限公司</t>
  </si>
  <si>
    <t>瑞穎</t>
  </si>
  <si>
    <t>巨虹電子股份有限公司</t>
  </si>
  <si>
    <t>巨虹</t>
  </si>
  <si>
    <t>福華電子股份有限公司</t>
  </si>
  <si>
    <t>福華</t>
  </si>
  <si>
    <t>宏捷科技股份有限公司</t>
  </si>
  <si>
    <t>宏捷科</t>
  </si>
  <si>
    <t>華鎂鑫科技股份有限公司</t>
  </si>
  <si>
    <t>華鎂鑫</t>
  </si>
  <si>
    <t>品安科技股份有限公司</t>
  </si>
  <si>
    <t>品安</t>
  </si>
  <si>
    <t>翔名科技股份有限公司</t>
  </si>
  <si>
    <t>翔名</t>
  </si>
  <si>
    <t>建暐精密科技股份有限公司</t>
  </si>
  <si>
    <t>建暐</t>
  </si>
  <si>
    <t>保銳科技股份有限公司</t>
  </si>
  <si>
    <t>保銳</t>
  </si>
  <si>
    <t>擎亞電子股份有限公司</t>
  </si>
  <si>
    <t>擎亞</t>
  </si>
  <si>
    <t>常珵科技股份有限公司</t>
  </si>
  <si>
    <t>常珵</t>
  </si>
  <si>
    <t>大同世界科技股份有限公司</t>
  </si>
  <si>
    <t>大世科</t>
  </si>
  <si>
    <t>大億金茂股份有限公司</t>
  </si>
  <si>
    <t>大億金茂</t>
  </si>
  <si>
    <t>博大科技股份有限公司</t>
  </si>
  <si>
    <t>博大</t>
  </si>
  <si>
    <t>立碁電子工業股份有限公司</t>
  </si>
  <si>
    <t>立碁</t>
  </si>
  <si>
    <t>越峰電子材料股份有限公司</t>
  </si>
  <si>
    <t>越峰</t>
  </si>
  <si>
    <t>正淩精密工業股份有限公司</t>
  </si>
  <si>
    <t>正淩</t>
  </si>
  <si>
    <t>博智電子股份有限公司</t>
  </si>
  <si>
    <t>博智</t>
  </si>
  <si>
    <t>天宇工業股份有限公司</t>
  </si>
  <si>
    <t>天宇</t>
  </si>
  <si>
    <t>智捷科技股份有限公司</t>
  </si>
  <si>
    <t>智捷</t>
  </si>
  <si>
    <t>加高電子股份有限公司</t>
  </si>
  <si>
    <t>加高</t>
  </si>
  <si>
    <t>台灣精星科技股份有限公司</t>
  </si>
  <si>
    <t>精星</t>
  </si>
  <si>
    <t>新漢股份有限公司</t>
  </si>
  <si>
    <t>新漢</t>
  </si>
  <si>
    <t>華宏新技股份有限公司</t>
  </si>
  <si>
    <t>華宏</t>
  </si>
  <si>
    <t>朋程科技股份有限公司</t>
  </si>
  <si>
    <t>朋程</t>
  </si>
  <si>
    <t>商丞科技股份有限公司</t>
  </si>
  <si>
    <t>商丞</t>
  </si>
  <si>
    <t>生展生物科技股份有限公司</t>
  </si>
  <si>
    <t>生展</t>
  </si>
  <si>
    <t>英格爾科技股份有限公司</t>
  </si>
  <si>
    <t>英格爾</t>
  </si>
  <si>
    <t>泰藝電子股份有限公司</t>
  </si>
  <si>
    <t>泰藝</t>
  </si>
  <si>
    <t>尚茂電子材料股份有限公司</t>
  </si>
  <si>
    <t>尚茂</t>
  </si>
  <si>
    <t>群聯電子股份有限公司</t>
  </si>
  <si>
    <t>群聯</t>
  </si>
  <si>
    <t>益張實業股份有限公司</t>
  </si>
  <si>
    <t>益張</t>
  </si>
  <si>
    <t>恒耀國際股份有限公司</t>
  </si>
  <si>
    <t>恒耀國際</t>
  </si>
  <si>
    <t>冠好科技股份有限公司</t>
  </si>
  <si>
    <t>冠好</t>
  </si>
  <si>
    <t>金居開發股份有限公司</t>
  </si>
  <si>
    <t>金居</t>
  </si>
  <si>
    <t>千附實業股份有限公司</t>
  </si>
  <si>
    <t>千附</t>
  </si>
  <si>
    <t>金益鼎企業股份有限公司</t>
  </si>
  <si>
    <t>金益鼎</t>
  </si>
  <si>
    <t>白紗科技印刷股份有限公司</t>
  </si>
  <si>
    <t>白紗科</t>
  </si>
  <si>
    <t>盛弘醫藥股份有限公司</t>
  </si>
  <si>
    <t>盛弘</t>
  </si>
  <si>
    <t>Ginko International Co., Ltd.</t>
  </si>
  <si>
    <t>金可-KY</t>
  </si>
  <si>
    <t>商之器科技股份有限公司</t>
  </si>
  <si>
    <t>商之器</t>
  </si>
  <si>
    <t>森田印刷廠股份有限公司</t>
  </si>
  <si>
    <t>森田</t>
  </si>
  <si>
    <t>大成國際鋼鐵股份有限公司</t>
  </si>
  <si>
    <t>大國鋼</t>
  </si>
  <si>
    <t>實威國際股份有限公司</t>
  </si>
  <si>
    <t>實威</t>
  </si>
  <si>
    <t>捷必勝控股股份有限公司</t>
  </si>
  <si>
    <t>捷必勝-KY</t>
  </si>
  <si>
    <t>明揚國際科技股份有限公司</t>
  </si>
  <si>
    <t>明揚</t>
  </si>
  <si>
    <t>旭源包裝科技股份有限公司</t>
  </si>
  <si>
    <t>旭源</t>
  </si>
  <si>
    <t>保綠資源股份有限公司</t>
  </si>
  <si>
    <t>保綠-KY</t>
  </si>
  <si>
    <t>惠普股份有限公司</t>
  </si>
  <si>
    <t>惠普</t>
  </si>
  <si>
    <t>紅木集團有限公司</t>
  </si>
  <si>
    <t>紅木-KY</t>
  </si>
  <si>
    <t>匯鑽科技股份有限公司</t>
  </si>
  <si>
    <t>匯鑽科</t>
  </si>
  <si>
    <t>東生華製藥股份有限公司</t>
  </si>
  <si>
    <t>東生華</t>
  </si>
  <si>
    <t>弘帆股份有限公司</t>
  </si>
  <si>
    <t>弘帆</t>
  </si>
  <si>
    <t>台灣鉅邁股份有限公司</t>
  </si>
  <si>
    <t>鉅邁</t>
  </si>
  <si>
    <t>大江生醫股份有限公司</t>
  </si>
  <si>
    <t>大江</t>
  </si>
  <si>
    <t>大地幼教股份有限公司</t>
  </si>
  <si>
    <t>大地-KY</t>
  </si>
  <si>
    <t>綠電再生股份有限公司</t>
  </si>
  <si>
    <t>綠電</t>
  </si>
  <si>
    <t>綠河股份有限公司</t>
  </si>
  <si>
    <t>綠河-KY</t>
  </si>
  <si>
    <t>華研國際音樂股份有限公司</t>
  </si>
  <si>
    <t>華研</t>
  </si>
  <si>
    <t>霹靂國際多媒體股份有限公司</t>
  </si>
  <si>
    <t>霹靂</t>
  </si>
  <si>
    <t>蓋曼群島商日本大拓股份有限公司</t>
  </si>
  <si>
    <t>大拓-KY</t>
  </si>
  <si>
    <t>夠麻吉股份有限公司</t>
  </si>
  <si>
    <t>夠麻吉</t>
  </si>
  <si>
    <t>台境企業股份有限公司</t>
  </si>
  <si>
    <t>台境</t>
  </si>
  <si>
    <t>創業家兄弟股份有限公司</t>
  </si>
  <si>
    <t>創業家</t>
  </si>
  <si>
    <t>三貝德數位文創股份有限公司</t>
  </si>
  <si>
    <t>三貝德</t>
  </si>
  <si>
    <t>裕國冷凍冷藏股份有限公司</t>
  </si>
  <si>
    <t>裕國</t>
  </si>
  <si>
    <t>花王企業股份有限公司</t>
  </si>
  <si>
    <t>花王</t>
  </si>
  <si>
    <t>欣雄天然氣股份有限公司</t>
  </si>
  <si>
    <t>欣雄</t>
  </si>
  <si>
    <t>光隆實業股份有限公司</t>
  </si>
  <si>
    <t>光隆</t>
  </si>
  <si>
    <t>欣泰石油氣股份有限公司</t>
  </si>
  <si>
    <t>欣泰</t>
  </si>
  <si>
    <t>沈氏藝術印刷股份有限公司</t>
  </si>
  <si>
    <t>沈氏</t>
  </si>
  <si>
    <t>時報文化出版企業股份有限公司</t>
  </si>
  <si>
    <t>時報</t>
  </si>
  <si>
    <t>大田精密工業股份有限公司</t>
  </si>
  <si>
    <t>大田</t>
  </si>
  <si>
    <t>北基國際股份有限公司</t>
  </si>
  <si>
    <t>北基</t>
  </si>
  <si>
    <t>鉅明股份有限公司</t>
  </si>
  <si>
    <t>鉅明</t>
  </si>
  <si>
    <t>富堡工業股份有限公司</t>
  </si>
  <si>
    <t>富堡</t>
  </si>
  <si>
    <t>青鋼應用材料股份有限公司</t>
  </si>
  <si>
    <t>青鋼</t>
  </si>
  <si>
    <t>大園汽電共生股份有限公司</t>
  </si>
  <si>
    <t>大汽電</t>
  </si>
  <si>
    <t>宏大拉鍊股份有限公司</t>
  </si>
  <si>
    <t>宏大</t>
  </si>
  <si>
    <t>愛地雅工業股份有限公司</t>
  </si>
  <si>
    <t>愛地雅</t>
  </si>
  <si>
    <t>衡平股份有限公司</t>
  </si>
  <si>
    <t>衡平</t>
  </si>
  <si>
    <t>邦泰複合材料股份有限公司</t>
  </si>
  <si>
    <t>邦泰</t>
  </si>
  <si>
    <t>國統國際股份有限公司</t>
  </si>
  <si>
    <t>國統</t>
  </si>
  <si>
    <t>合騏工業股份有限公司</t>
  </si>
  <si>
    <t>合騏</t>
  </si>
  <si>
    <t>明安國際企業股份有限公司</t>
  </si>
  <si>
    <t>明安</t>
  </si>
  <si>
    <t>關中股份有限公司</t>
  </si>
  <si>
    <t>關中</t>
  </si>
  <si>
    <t>森鉅科技材料股份有限公司</t>
  </si>
  <si>
    <t>森鉅</t>
  </si>
  <si>
    <t>特藝石油能源有限公司</t>
  </si>
  <si>
    <t>特藝-DR</t>
  </si>
  <si>
    <t>琉園股份有限公司</t>
  </si>
  <si>
    <t>琉園</t>
  </si>
  <si>
    <t>萬國通路股份有限公司</t>
  </si>
  <si>
    <t>萬國通</t>
  </si>
  <si>
    <t>皇田工業股份有限公司</t>
  </si>
  <si>
    <t>皇田</t>
  </si>
  <si>
    <t>邁達康網路事業股份有限公司</t>
  </si>
  <si>
    <t>邁達康</t>
  </si>
  <si>
    <t>有益鋼鐵股份有限公司</t>
  </si>
  <si>
    <t>有益</t>
  </si>
  <si>
    <t>興櫃</t>
  </si>
  <si>
    <t>富味鄉食品股份有限公司</t>
  </si>
  <si>
    <t>富味鄉</t>
  </si>
  <si>
    <t>乾杯股份有限公司</t>
  </si>
  <si>
    <t>乾杯</t>
  </si>
  <si>
    <t>八貫企業股份有限公司</t>
  </si>
  <si>
    <t>八貫</t>
  </si>
  <si>
    <t>巧新科技工業股份有限公司</t>
  </si>
  <si>
    <t>巧新</t>
  </si>
  <si>
    <t>鎧鉅科技股份有限公司</t>
  </si>
  <si>
    <t>鎧鉅</t>
  </si>
  <si>
    <t>日高工程實業股份有限公司</t>
  </si>
  <si>
    <t>日高</t>
  </si>
  <si>
    <t>立弘生化科技股份有限公司</t>
  </si>
  <si>
    <t>立弘</t>
  </si>
  <si>
    <t>震南鐵線股份有限公司</t>
  </si>
  <si>
    <t>震南鐵</t>
  </si>
  <si>
    <t>長榮鋼鐵股份有限公司</t>
  </si>
  <si>
    <t>長榮鋼</t>
  </si>
  <si>
    <t>華德動能科技股份有限公司</t>
  </si>
  <si>
    <t>華德動能</t>
  </si>
  <si>
    <t>艾姆勒車電股份有限公司</t>
  </si>
  <si>
    <t>艾姆勒</t>
  </si>
  <si>
    <t>詠勝昌股份有限公司</t>
  </si>
  <si>
    <t>詠勝昌</t>
  </si>
  <si>
    <t>凱勝綠能科技股份有限公司</t>
  </si>
  <si>
    <t>凱勝綠能</t>
  </si>
  <si>
    <t>汎德永業汽車股份有限公司</t>
  </si>
  <si>
    <t>汎德永業</t>
  </si>
  <si>
    <t>華勝汽車電子股份有限公司</t>
  </si>
  <si>
    <t>華勝-KY</t>
  </si>
  <si>
    <t>湧盛電機股份有限公司</t>
  </si>
  <si>
    <t>湧盛</t>
  </si>
  <si>
    <t>樂揚建設股份有限公司</t>
  </si>
  <si>
    <t>樂揚</t>
  </si>
  <si>
    <t>楷捷國際投資股份有限公司</t>
  </si>
  <si>
    <t>楷捷-KY</t>
  </si>
  <si>
    <t>美麗信酒店股份有限公司</t>
  </si>
  <si>
    <t>美麗信</t>
  </si>
  <si>
    <t>維格餅家股份有限公司</t>
  </si>
  <si>
    <t>維格餅家</t>
  </si>
  <si>
    <t>人杰老四川餐飲管理顧問(股)公司</t>
  </si>
  <si>
    <t>老四川</t>
  </si>
  <si>
    <t>桃禧航空城大飯店股份有限公司</t>
  </si>
  <si>
    <t>桃禧</t>
  </si>
  <si>
    <t>亞洲藏壽司股份有限公司</t>
  </si>
  <si>
    <t>亞洲藏壽司</t>
  </si>
  <si>
    <t>揚秦國際企業股份有限公司</t>
  </si>
  <si>
    <t>揚秦</t>
  </si>
  <si>
    <t>床的世界股份有限公司</t>
  </si>
  <si>
    <t>床的世界</t>
  </si>
  <si>
    <t>京站實業股份有限公司</t>
  </si>
  <si>
    <t>京站</t>
  </si>
  <si>
    <t>三商家購股份有限公司</t>
  </si>
  <si>
    <t>三商家購</t>
  </si>
  <si>
    <t>拍檔科技股份有限公司</t>
  </si>
  <si>
    <t>拍檔</t>
  </si>
  <si>
    <t>年程科技股份有限公司</t>
  </si>
  <si>
    <t>年程</t>
  </si>
  <si>
    <t>耀登科技股份有限公司</t>
  </si>
  <si>
    <t>耀登</t>
  </si>
  <si>
    <t>鈺寶科技股份有限公司</t>
  </si>
  <si>
    <t>鈺寶</t>
  </si>
  <si>
    <t>嘉實資訊股份有限公司</t>
  </si>
  <si>
    <t>嘉實</t>
  </si>
  <si>
    <t>眾福科技股份有限公司</t>
  </si>
  <si>
    <t>眾福科</t>
  </si>
  <si>
    <t>微邦科技股份有限公司</t>
  </si>
  <si>
    <t>微邦</t>
  </si>
  <si>
    <t>寶德科技股份有限公司</t>
  </si>
  <si>
    <t>寶德</t>
  </si>
  <si>
    <t>西北臺慶科技股份有限公司</t>
  </si>
  <si>
    <t>臺慶科</t>
  </si>
  <si>
    <t>健格科技股份有限公司</t>
  </si>
  <si>
    <t>健格</t>
  </si>
  <si>
    <t>佳得股份有限公司</t>
  </si>
  <si>
    <t>佳得</t>
  </si>
  <si>
    <t>彥陽科技股份有限公司</t>
  </si>
  <si>
    <t>彥陽</t>
  </si>
  <si>
    <t>奇鈦科技股份有限公司</t>
  </si>
  <si>
    <t>奇鈦科</t>
  </si>
  <si>
    <t>敘(余+卜+又)豐企業股份有限公司</t>
  </si>
  <si>
    <t>敘豐</t>
  </si>
  <si>
    <t>州巧科技股份有限公司</t>
  </si>
  <si>
    <t>州巧</t>
  </si>
  <si>
    <t>聯致科技股份有限公司</t>
  </si>
  <si>
    <t>聯致</t>
  </si>
  <si>
    <t>瑞鼎科技股份有限公司</t>
  </si>
  <si>
    <t>瑞鼎</t>
  </si>
  <si>
    <t>山太士股份有限公司</t>
  </si>
  <si>
    <t>山太士</t>
  </si>
  <si>
    <t>前源科技股份有限公司</t>
  </si>
  <si>
    <t>前源</t>
  </si>
  <si>
    <t>建祥國際股份有限公司</t>
  </si>
  <si>
    <t>建祥國際</t>
  </si>
  <si>
    <t>華信光電科技股份有限公司</t>
  </si>
  <si>
    <t>華信科</t>
  </si>
  <si>
    <t>云光科技股份有限公司</t>
  </si>
  <si>
    <t>云光</t>
  </si>
  <si>
    <t>百辰光電股份有限公司</t>
  </si>
  <si>
    <t>百辰</t>
  </si>
  <si>
    <t>康訊科技股份有限公司</t>
  </si>
  <si>
    <t>康訊</t>
  </si>
  <si>
    <t>聯享光電股份有限公司</t>
  </si>
  <si>
    <t>聯享</t>
  </si>
  <si>
    <t>華立捷科技股份有限公司</t>
  </si>
  <si>
    <t>華立捷</t>
  </si>
  <si>
    <t>普生股份有限公司</t>
  </si>
  <si>
    <t>普生</t>
  </si>
  <si>
    <t>國鼎生物科技股份有限公司</t>
  </si>
  <si>
    <t>國鼎</t>
  </si>
  <si>
    <t>英屬開曼太和生技集團(股)公司</t>
  </si>
  <si>
    <t>太和-KY</t>
  </si>
  <si>
    <t>優你康光學股份有限公司</t>
  </si>
  <si>
    <t>優你康</t>
  </si>
  <si>
    <t>明躍國際健康科技股份有限公司</t>
  </si>
  <si>
    <t>明躍</t>
  </si>
  <si>
    <t>友霖生技醫藥股份有限公司</t>
  </si>
  <si>
    <t>友霖</t>
  </si>
  <si>
    <t>泰宗生物科技股份有限公司</t>
  </si>
  <si>
    <t>泰宗</t>
  </si>
  <si>
    <t>鑫品生醫科技股份有限公司</t>
  </si>
  <si>
    <t>鑫品</t>
  </si>
  <si>
    <t>因華生技製藥股份有限公司</t>
  </si>
  <si>
    <t>因華</t>
  </si>
  <si>
    <t>台灣尖端先進生技醫藥(股)公司</t>
  </si>
  <si>
    <t>尖端醫</t>
  </si>
  <si>
    <t>法德生技藥品股份有限公司</t>
  </si>
  <si>
    <t>法德藥</t>
  </si>
  <si>
    <t>禾伸堂生技股份有限公司</t>
  </si>
  <si>
    <t>禾生技</t>
  </si>
  <si>
    <t>基龍米克斯生物科技股份有限公司</t>
  </si>
  <si>
    <t>基米</t>
  </si>
  <si>
    <t>暐世生物科技股份有限公司</t>
  </si>
  <si>
    <t>暐世</t>
  </si>
  <si>
    <t>敏成股份有限公司</t>
  </si>
  <si>
    <t>敏成</t>
  </si>
  <si>
    <t>宜新實業股份有限公司</t>
  </si>
  <si>
    <t>宜新實業</t>
  </si>
  <si>
    <t>旭東機械工業股份有限公司</t>
  </si>
  <si>
    <t>旭東</t>
  </si>
  <si>
    <t>春日機械工業股份有限公司</t>
  </si>
  <si>
    <t>春日</t>
  </si>
  <si>
    <t>長亨精密股份有限公司</t>
  </si>
  <si>
    <t>長亨</t>
  </si>
  <si>
    <t>盛復工業股份有限公司</t>
  </si>
  <si>
    <t>盛復</t>
  </si>
  <si>
    <t>寶緯工業股份有限公司</t>
  </si>
  <si>
    <t>寶緯</t>
  </si>
  <si>
    <t>久裕興業科技股份有限公司</t>
  </si>
  <si>
    <t>久裕興</t>
  </si>
  <si>
    <t>宏偉電機工業股份有限公司</t>
  </si>
  <si>
    <t>宏偉</t>
  </si>
  <si>
    <t>傑生工業股份有限公司</t>
  </si>
  <si>
    <t>傑生</t>
  </si>
  <si>
    <t>高明鐵企業股份有限公司</t>
  </si>
  <si>
    <t>高明鐵</t>
  </si>
  <si>
    <t>銓寶工業股份有限公司</t>
  </si>
  <si>
    <t>銓寶</t>
  </si>
  <si>
    <t>總格精密股份有限公司</t>
  </si>
  <si>
    <t>總格精密</t>
  </si>
  <si>
    <t>聚恆科技股份有限公司</t>
  </si>
  <si>
    <t>聚恆</t>
  </si>
  <si>
    <t>通用矽酮股份有限公司</t>
  </si>
  <si>
    <t>通用</t>
  </si>
  <si>
    <t>彥臣生技藥品股份有限公司</t>
  </si>
  <si>
    <t>彥臣</t>
  </si>
  <si>
    <t>尚志精密化學股份有限公司</t>
  </si>
  <si>
    <t>尚化</t>
  </si>
  <si>
    <t>磐采股份有限公司</t>
  </si>
  <si>
    <t>磐采</t>
  </si>
  <si>
    <t>晶呈科技股份有限公司</t>
  </si>
  <si>
    <t>晶呈科技</t>
  </si>
  <si>
    <t>力士科技股份有限公司</t>
  </si>
  <si>
    <t>力士</t>
  </si>
  <si>
    <t>智微科技股份有限公司</t>
  </si>
  <si>
    <t>智微</t>
  </si>
  <si>
    <t>陞達科技股份有限公司</t>
  </si>
  <si>
    <t>陞達科技</t>
  </si>
  <si>
    <t>精拓科技股份有限公司</t>
  </si>
  <si>
    <t>精拓科</t>
  </si>
  <si>
    <t>佐臻股份有限公司</t>
  </si>
  <si>
    <t>佐臻</t>
  </si>
  <si>
    <t>台灣優燈股份有限公司</t>
  </si>
  <si>
    <t>優燈</t>
  </si>
  <si>
    <t>全訊科技股份有限公司</t>
  </si>
  <si>
    <t>全訊</t>
  </si>
  <si>
    <t>鈺鎧科技股份有限公司</t>
  </si>
  <si>
    <t>鈺鎧</t>
  </si>
  <si>
    <t>有量科技股份有限公司</t>
  </si>
  <si>
    <t>有量</t>
  </si>
  <si>
    <t>建騰創達科技股份有限公司</t>
  </si>
  <si>
    <t>建騰</t>
  </si>
  <si>
    <t>弘凱光電股份有限公司</t>
  </si>
  <si>
    <t>弘凱</t>
  </si>
  <si>
    <t>景傳光電股份有限公司</t>
  </si>
  <si>
    <t>景傳</t>
  </si>
  <si>
    <t>欣訊科技股份有限公司</t>
  </si>
  <si>
    <t>欣訊科技</t>
  </si>
  <si>
    <t>立達國際電子股份有限公司</t>
  </si>
  <si>
    <t>立達</t>
  </si>
  <si>
    <t>龍翩真空科技股份有限公司</t>
  </si>
  <si>
    <t>龍翩</t>
  </si>
  <si>
    <t>紘通企業股份有限公司</t>
  </si>
  <si>
    <t>紘通</t>
  </si>
  <si>
    <t>葳天科技股份有限公司</t>
  </si>
  <si>
    <t>葳天</t>
  </si>
  <si>
    <t>華懋科技股份有限公司</t>
  </si>
  <si>
    <t>華懋</t>
  </si>
  <si>
    <t>鋒霖科技股份有限公司</t>
  </si>
  <si>
    <t>鋒霖</t>
  </si>
  <si>
    <t>廣化科技股份有限公司</t>
  </si>
  <si>
    <t>廣化</t>
  </si>
  <si>
    <t>久舜營造股份有限公司</t>
  </si>
  <si>
    <t>久舜</t>
  </si>
  <si>
    <t>遠雄人壽保險事業股份有限公司</t>
  </si>
  <si>
    <t>遠壽</t>
  </si>
  <si>
    <t>瑞興商業銀行股份有限公司</t>
  </si>
  <si>
    <t>瑞興銀</t>
  </si>
  <si>
    <t>德信綜合證券(股)公司</t>
  </si>
  <si>
    <t>德信</t>
  </si>
  <si>
    <t>公勝保險經紀人股份有限公司</t>
  </si>
  <si>
    <t>公勝保經</t>
  </si>
  <si>
    <t>驊陞科技股份有限公司</t>
  </si>
  <si>
    <t>驊陞</t>
  </si>
  <si>
    <t>群登科技股份有限公司</t>
  </si>
  <si>
    <t>群登</t>
  </si>
  <si>
    <t>相互股份有限公司</t>
  </si>
  <si>
    <t>相互</t>
  </si>
  <si>
    <t>億而得微電子股份有限公司</t>
  </si>
  <si>
    <t>億而得</t>
  </si>
  <si>
    <t>台灣淘米科技股份有限公司</t>
  </si>
  <si>
    <t>淘米</t>
  </si>
  <si>
    <t>達輝光電股份有限公司</t>
  </si>
  <si>
    <t>達輝光電</t>
  </si>
  <si>
    <t>經絡動力醫學股份有限公司</t>
  </si>
  <si>
    <t>經絡動力</t>
  </si>
  <si>
    <t>網石棒辣椒股份有限公司</t>
  </si>
  <si>
    <t>棒辣椒</t>
  </si>
  <si>
    <t>好玩家股份有限公司</t>
  </si>
  <si>
    <t>好玩家*</t>
  </si>
  <si>
    <t>華豫寧股份有限公司</t>
  </si>
  <si>
    <t>華豫寧</t>
  </si>
  <si>
    <t>岱煒科技股份有限公司</t>
  </si>
  <si>
    <t>岱煒</t>
  </si>
  <si>
    <t>雷虎生技股份有限公司</t>
  </si>
  <si>
    <t>雷虎生</t>
  </si>
  <si>
    <t>英屬開曼群島商納諾股份有限公司</t>
  </si>
  <si>
    <t>納諾*-KY</t>
  </si>
  <si>
    <t>久禾光電股份有限公司</t>
  </si>
  <si>
    <t>久禾光</t>
  </si>
  <si>
    <t>穎崴科技股份有限公司</t>
  </si>
  <si>
    <t>穎崴</t>
  </si>
  <si>
    <t>康科特股份有限公司</t>
  </si>
  <si>
    <t>康科特</t>
  </si>
  <si>
    <t>研鼎智能股份有限公司</t>
  </si>
  <si>
    <t>研鼎</t>
  </si>
  <si>
    <t>正瀚生技股份有限公司</t>
  </si>
  <si>
    <t>正瀚</t>
  </si>
  <si>
    <t>碩豐數位科技股份有限公司</t>
  </si>
  <si>
    <t>碩豐</t>
  </si>
  <si>
    <t>翔宇生醫科技股份有限公司</t>
  </si>
  <si>
    <t>翔宇</t>
  </si>
  <si>
    <t>普惠醫工股份有限公司</t>
  </si>
  <si>
    <t>普惠醫工</t>
  </si>
  <si>
    <t>擎力科技股份有限公司</t>
  </si>
  <si>
    <t>擎力</t>
  </si>
  <si>
    <t>景凱生物科技股份有限公司</t>
  </si>
  <si>
    <t>景凱</t>
  </si>
  <si>
    <t>北極星藥業集團股份有限公司</t>
  </si>
  <si>
    <t>北極星藥業-KY</t>
  </si>
  <si>
    <t>榮炭科技股份有限公司</t>
  </si>
  <si>
    <t>榮炭</t>
  </si>
  <si>
    <t>研晶光電股份有限公司</t>
  </si>
  <si>
    <t>研晶</t>
  </si>
  <si>
    <t>安特羅生物科技股份有限公司</t>
  </si>
  <si>
    <t>安特羅</t>
  </si>
  <si>
    <t>物聯智慧股份有限公司</t>
  </si>
  <si>
    <t>物聯</t>
  </si>
  <si>
    <t>創益生技股份有限公司</t>
  </si>
  <si>
    <t>創益</t>
  </si>
  <si>
    <t>博錸生技股份有限公司</t>
  </si>
  <si>
    <t>博錸</t>
  </si>
  <si>
    <t>心悅生醫股份有限公司</t>
  </si>
  <si>
    <t>心悅</t>
  </si>
  <si>
    <t>台睿生物科技股份有限公司</t>
  </si>
  <si>
    <t>台睿</t>
  </si>
  <si>
    <t>友松娛樂股份有限公司</t>
  </si>
  <si>
    <t>友松</t>
  </si>
  <si>
    <t>南俊國際股份有限公司</t>
  </si>
  <si>
    <t>南俊國際</t>
  </si>
  <si>
    <t>鼎基先進材料股份有限公司</t>
  </si>
  <si>
    <t>鼎基</t>
  </si>
  <si>
    <t>醣基生醫股份有限公司</t>
  </si>
  <si>
    <t>醣基</t>
  </si>
  <si>
    <t>東典光電科技股份有限公司</t>
  </si>
  <si>
    <t>東典</t>
  </si>
  <si>
    <t>光禹國際數位娛樂開發(股)公司</t>
  </si>
  <si>
    <t>光禹國際</t>
  </si>
  <si>
    <t>立誠光電股份有限公司</t>
  </si>
  <si>
    <t>立誠</t>
  </si>
  <si>
    <t>瑞磁生物科技集團股份有限公司</t>
  </si>
  <si>
    <t>ABC-KY</t>
  </si>
  <si>
    <t>普達系統股份有限公司</t>
  </si>
  <si>
    <t>普達系統</t>
  </si>
  <si>
    <t>建德工業股份有限公司</t>
  </si>
  <si>
    <t>建德工業</t>
  </si>
  <si>
    <t>安成生物科技股份有限公司</t>
  </si>
  <si>
    <t>安成生技</t>
  </si>
  <si>
    <t>辣椒方舟移動數位股份有限公司</t>
  </si>
  <si>
    <t>方舟</t>
  </si>
  <si>
    <t>共信醫藥科技控股股份有限公司</t>
  </si>
  <si>
    <t>共信-KY</t>
  </si>
  <si>
    <t>永虹先進材料股份有限公司</t>
  </si>
  <si>
    <t>永虹先進</t>
  </si>
  <si>
    <t>漢達生技醫藥股份有限公司</t>
  </si>
  <si>
    <t>漢達</t>
  </si>
  <si>
    <t>華宇藥品股份有限公司</t>
  </si>
  <si>
    <t>華宇藥</t>
  </si>
  <si>
    <t>百聿數碼創意股份有限公司</t>
  </si>
  <si>
    <t>百聿數碼</t>
  </si>
  <si>
    <t>唯數娛樂科技股份有限公司</t>
  </si>
  <si>
    <t>唯數</t>
  </si>
  <si>
    <t>萊鎂醫療器材股份有限公司</t>
  </si>
  <si>
    <t>萊鎂醫</t>
  </si>
  <si>
    <t>欣耀生醫股份有限公司</t>
  </si>
  <si>
    <t>欣耀</t>
  </si>
  <si>
    <t>醫影股份有限公司</t>
  </si>
  <si>
    <t>醫影</t>
  </si>
  <si>
    <t>沅聖科技股份有限公司</t>
  </si>
  <si>
    <t>沅聖</t>
  </si>
  <si>
    <t>源大環能股份有限公司</t>
  </si>
  <si>
    <t>源大環能</t>
  </si>
  <si>
    <t>金萬林企業股份有限公司</t>
  </si>
  <si>
    <t>金萬林</t>
  </si>
  <si>
    <t>斯其大科技股份有限公司</t>
  </si>
  <si>
    <t>斯其大</t>
  </si>
  <si>
    <t>帝圖科技文化股份有限公司</t>
  </si>
  <si>
    <t>帝圖</t>
  </si>
  <si>
    <t>全宇昕科技股份有限公司</t>
  </si>
  <si>
    <t>全宇昕</t>
  </si>
  <si>
    <t>雅祥生技醫藥股份有限公司</t>
  </si>
  <si>
    <t>雅祥生醫</t>
  </si>
  <si>
    <t>華安醫學股份有限公司</t>
  </si>
  <si>
    <t>華安</t>
  </si>
  <si>
    <t>威健股份有限公司</t>
  </si>
  <si>
    <t>威健生技</t>
  </si>
  <si>
    <t>康聯生醫科技股份有限公司</t>
  </si>
  <si>
    <t>康聯生醫</t>
  </si>
  <si>
    <t>和詮科技股份有限公司</t>
  </si>
  <si>
    <t>和詮</t>
  </si>
  <si>
    <t>瑩碩生技醫藥股份有限公司</t>
  </si>
  <si>
    <t>瑩碩生技</t>
  </si>
  <si>
    <t>碩鑽材料股份有限公司</t>
  </si>
  <si>
    <t>碩鑽材料</t>
  </si>
  <si>
    <t>安格科技股份有限公司</t>
  </si>
  <si>
    <t>安格</t>
  </si>
  <si>
    <t>海樂影業股份有限公司</t>
  </si>
  <si>
    <t>海樂影業</t>
  </si>
  <si>
    <t>伊雲谷數位科技股份有限公司</t>
  </si>
  <si>
    <t>伊雲谷</t>
  </si>
  <si>
    <t>洋基工程股份有限公司</t>
  </si>
  <si>
    <t>洋基工程</t>
  </si>
  <si>
    <t>進金生能源服務股份有限公司</t>
  </si>
  <si>
    <t>進能服</t>
  </si>
  <si>
    <t>廣閎科技股份有限公司</t>
  </si>
  <si>
    <t>廣閎科</t>
  </si>
  <si>
    <t>芯鼎科技股份有限公司</t>
  </si>
  <si>
    <t>芯鼎</t>
  </si>
  <si>
    <t>仁新醫藥股份有限公司</t>
  </si>
  <si>
    <t>仁新</t>
  </si>
  <si>
    <t>奇邑科技股份有限公司</t>
  </si>
  <si>
    <t>奇邑</t>
  </si>
  <si>
    <t>軒郁國際股份有限公司</t>
  </si>
  <si>
    <t>軒郁</t>
  </si>
  <si>
    <t>振躍精密滑軌股份有限公司</t>
  </si>
  <si>
    <t>振躍精密</t>
  </si>
  <si>
    <t>天擎積體電路股份有限公司</t>
  </si>
  <si>
    <t>天擎</t>
  </si>
  <si>
    <t>昱厚生技股份有限公司</t>
  </si>
  <si>
    <t>昱厚生技</t>
  </si>
  <si>
    <t>長聖國際生技股份有限公司</t>
  </si>
  <si>
    <t>長聖</t>
  </si>
  <si>
    <t>博謙生技股份有限公司</t>
  </si>
  <si>
    <t>博謙生技</t>
  </si>
  <si>
    <t>智慧光科技股份有限公司</t>
  </si>
  <si>
    <t>智慧光</t>
  </si>
  <si>
    <t>久昌科技股份有限公司</t>
  </si>
  <si>
    <t>久昌</t>
  </si>
  <si>
    <t>信實保全股份有限公司</t>
  </si>
  <si>
    <t>信實保全</t>
  </si>
  <si>
    <t>傑智環境科技股份有限公司</t>
  </si>
  <si>
    <t>傑智環境</t>
  </si>
  <si>
    <t>創王光電股份有限公司</t>
  </si>
  <si>
    <t>創王</t>
  </si>
  <si>
    <t>亞泰金屬工業股份有限公司</t>
  </si>
  <si>
    <t>亞泰金屬</t>
  </si>
  <si>
    <t>上洋產業股份有限公司</t>
  </si>
  <si>
    <t>上洋</t>
  </si>
  <si>
    <t>機光科技股份有限公司</t>
  </si>
  <si>
    <t>機光科技</t>
  </si>
  <si>
    <t>常廣股份有限公司</t>
  </si>
  <si>
    <t>常廣</t>
  </si>
  <si>
    <t>啟坤科技股份有限公司</t>
  </si>
  <si>
    <t>啟坤</t>
  </si>
  <si>
    <t>昇佳電子股份有限公司</t>
  </si>
  <si>
    <t>昇佳電子</t>
  </si>
  <si>
    <t>博晟生醫股份有限公司</t>
  </si>
  <si>
    <t>博晟生醫</t>
  </si>
  <si>
    <t>安盛生科股份有限公司</t>
  </si>
  <si>
    <t>安盛生</t>
  </si>
  <si>
    <t>美達科技股份有限公司</t>
  </si>
  <si>
    <t>美達科技</t>
  </si>
  <si>
    <t>碩辣椒股份有限公司</t>
  </si>
  <si>
    <t>碩辣椒</t>
  </si>
  <si>
    <t>秀育企業股份有限公司</t>
  </si>
  <si>
    <t>秀育</t>
  </si>
  <si>
    <t>鼎恒數位科技股份有限公司</t>
  </si>
  <si>
    <t>鼎恒</t>
  </si>
  <si>
    <t>松果購物股份有限公司</t>
  </si>
  <si>
    <t>松果購物</t>
  </si>
  <si>
    <t>安普新股份有限公司</t>
  </si>
  <si>
    <t>安普新</t>
  </si>
  <si>
    <t>豐技生物科技股份有限公司</t>
  </si>
  <si>
    <t>豐技生技</t>
  </si>
  <si>
    <t>亨泰光學股份有限公司</t>
  </si>
  <si>
    <t>亨泰光</t>
  </si>
  <si>
    <t>泰創工程股份有限公司</t>
  </si>
  <si>
    <t>泰創工程</t>
  </si>
  <si>
    <t>智聯服務股份有限公司</t>
  </si>
  <si>
    <t>智聯服務</t>
  </si>
  <si>
    <t>叡揚資訊股份有限公司</t>
  </si>
  <si>
    <t>叡揚資訊</t>
  </si>
  <si>
    <t>匯僑室內裝修設計股份有限公司</t>
  </si>
  <si>
    <t>匯僑設計</t>
  </si>
  <si>
    <t>連鋐科技股份有限公司</t>
  </si>
  <si>
    <t>連鋐科技</t>
  </si>
  <si>
    <t>威鋒電子股份有限公司</t>
  </si>
  <si>
    <t>威鋒電子</t>
  </si>
  <si>
    <t>台灣虎航股份有限公司</t>
  </si>
  <si>
    <t>台灣虎航</t>
  </si>
  <si>
    <t>冠亞生技股份有限公司</t>
  </si>
  <si>
    <t>冠亞</t>
  </si>
  <si>
    <t>穩得實業股份有限公司</t>
  </si>
  <si>
    <t>穩得</t>
  </si>
  <si>
    <t>達亞國際股份有限公司</t>
  </si>
  <si>
    <t>達亞</t>
  </si>
  <si>
    <t>綠界科技股份有限公司</t>
  </si>
  <si>
    <t>綠界科技</t>
  </si>
  <si>
    <t>亞洲教育平台股份有限公司</t>
  </si>
  <si>
    <t>亞洲教育</t>
  </si>
  <si>
    <t>台灣微創醫療器材股份有限公司</t>
  </si>
  <si>
    <t>台微醫</t>
  </si>
  <si>
    <t>平和環保科技股份有限公司</t>
  </si>
  <si>
    <t>平和環保</t>
  </si>
  <si>
    <t>展碁國際股份有限公司</t>
  </si>
  <si>
    <t>展碁國際</t>
  </si>
  <si>
    <t>達勝科技股份有限公司</t>
  </si>
  <si>
    <t>達勝</t>
  </si>
  <si>
    <t>凡事康流體科技股份有限公司</t>
  </si>
  <si>
    <t>凡事康</t>
  </si>
  <si>
    <t>環拓科技股份有限公司</t>
  </si>
  <si>
    <t>環拓科技</t>
  </si>
  <si>
    <t>清淨海生技股份有限公司</t>
  </si>
  <si>
    <t>清淨海</t>
  </si>
  <si>
    <t>知識科技股份有限公司</t>
  </si>
  <si>
    <t>知識科技</t>
  </si>
  <si>
    <t>意德士科技股份有限公司</t>
  </si>
  <si>
    <t>意德士科技</t>
  </si>
  <si>
    <t>達運光電股份有限公司</t>
  </si>
  <si>
    <t>達運光電</t>
  </si>
  <si>
    <t>康全電訊股份有限公司</t>
  </si>
  <si>
    <t>康全電訊</t>
  </si>
  <si>
    <t>帝聞企業股份有限公司</t>
  </si>
  <si>
    <t>帝聞</t>
  </si>
  <si>
    <t>公信電子股份有限公司</t>
  </si>
  <si>
    <t>公信</t>
  </si>
  <si>
    <t>旭德科技股份有限公司</t>
  </si>
  <si>
    <t>旭德</t>
  </si>
  <si>
    <t>歐普羅科技股份有限公司</t>
  </si>
  <si>
    <t>歐普羅</t>
  </si>
  <si>
    <t>三竹資訊股份有限公司</t>
  </si>
  <si>
    <t>三竹</t>
  </si>
  <si>
    <t>威睿科技股份有限公司</t>
  </si>
  <si>
    <t>威睿</t>
  </si>
  <si>
    <t>臺灣電視事業股份有限公司</t>
  </si>
  <si>
    <t>台視</t>
  </si>
  <si>
    <t>錢櫃企業股份有限公司</t>
  </si>
  <si>
    <t>錢櫃</t>
  </si>
  <si>
    <t>昶昕實業股份有限公司</t>
  </si>
  <si>
    <t>昶昕</t>
  </si>
  <si>
    <t>影一製作所股份有限公司</t>
  </si>
  <si>
    <t>影一</t>
  </si>
  <si>
    <t>德河海洋生技(股)公司</t>
  </si>
  <si>
    <t>德河</t>
  </si>
  <si>
    <t>愛爾達科技股份有限公司</t>
  </si>
  <si>
    <t>愛爾達</t>
  </si>
  <si>
    <t>台灣利得生物科技股份有限公司</t>
  </si>
  <si>
    <t>利得</t>
  </si>
  <si>
    <t>真好玩娛樂科技股份有限公司</t>
  </si>
  <si>
    <t>真好玩</t>
  </si>
  <si>
    <t>兔將創意影業股份有限公司</t>
  </si>
  <si>
    <t>兔將</t>
  </si>
  <si>
    <t>經緯航太科技股份有限公司</t>
  </si>
  <si>
    <t>經緯航</t>
  </si>
  <si>
    <t>燁聯鋼鐵股份有限公司</t>
  </si>
  <si>
    <t>燁聯</t>
  </si>
  <si>
    <t>公開發行</t>
  </si>
  <si>
    <t>臺銀綜合證券股份有限公司</t>
  </si>
  <si>
    <t>臺銀證券</t>
  </si>
  <si>
    <t>臺灣中小企銀</t>
  </si>
  <si>
    <t>臺灣企銀</t>
  </si>
  <si>
    <t>日盛證券股份有限公司</t>
  </si>
  <si>
    <t>日盛證券</t>
  </si>
  <si>
    <t>亞東證券股份有限公司</t>
  </si>
  <si>
    <t>亞東證券</t>
  </si>
  <si>
    <t>富隆證券股份有限公司</t>
  </si>
  <si>
    <t>富隆</t>
  </si>
  <si>
    <t>太平洋證券股份有限公司</t>
  </si>
  <si>
    <t>太證</t>
  </si>
  <si>
    <t>高橋證券股份有限公司</t>
  </si>
  <si>
    <t>高橋</t>
  </si>
  <si>
    <t>鴻福證券股份有限公司</t>
  </si>
  <si>
    <t>鴻福</t>
  </si>
  <si>
    <t>第一金證券股份有限公司</t>
  </si>
  <si>
    <t>第一金證</t>
  </si>
  <si>
    <t>寶盛證券股份有限公司</t>
  </si>
  <si>
    <t>寶盛</t>
  </si>
  <si>
    <t>豐銀證券股份有限公司</t>
  </si>
  <si>
    <t>豐銀</t>
  </si>
  <si>
    <t>永興證券股份有限公司</t>
  </si>
  <si>
    <t>永興</t>
  </si>
  <si>
    <t>大華證券股份有限公司</t>
  </si>
  <si>
    <t>大華證</t>
  </si>
  <si>
    <t>光隆證券股份有限公司</t>
  </si>
  <si>
    <t>日茂證券股份有限公司</t>
  </si>
  <si>
    <t>日茂</t>
  </si>
  <si>
    <t>(牛牛牛)亞證券股份有限公司</t>
  </si>
  <si>
    <t>牛牛牛亞</t>
  </si>
  <si>
    <t>中國信託綜合證券股份有限公司</t>
  </si>
  <si>
    <t>中信證券</t>
  </si>
  <si>
    <t>光和證券股份有限公司</t>
  </si>
  <si>
    <t>光和</t>
  </si>
  <si>
    <t>大昌證券股份有限公司</t>
  </si>
  <si>
    <t>大昌證券</t>
  </si>
  <si>
    <t>和興證券股份有限公司</t>
  </si>
  <si>
    <t>和興證券</t>
  </si>
  <si>
    <t>福勝證券股份有限公司</t>
  </si>
  <si>
    <t>福勝證券</t>
  </si>
  <si>
    <t>兆豐證券股份有限公司</t>
  </si>
  <si>
    <t>兆豐證券</t>
  </si>
  <si>
    <t>石橋證券股份有限公司</t>
  </si>
  <si>
    <t>石橋</t>
  </si>
  <si>
    <t>大永證券股份有限公司</t>
  </si>
  <si>
    <t>大永證券</t>
  </si>
  <si>
    <t>日陞證券股份有限公司</t>
  </si>
  <si>
    <t>日陞</t>
  </si>
  <si>
    <t>北城證券股份有限公司</t>
  </si>
  <si>
    <t>北城</t>
  </si>
  <si>
    <t>國票綜合證券股份有限公司</t>
  </si>
  <si>
    <t>國票綜合</t>
  </si>
  <si>
    <t>台新綜合證券股份有限公司</t>
  </si>
  <si>
    <t>台新證券</t>
  </si>
  <si>
    <t>安泰證券股份有限公司</t>
  </si>
  <si>
    <t>安泰證券</t>
  </si>
  <si>
    <t>新光證券股份有限公司</t>
  </si>
  <si>
    <t>新光證券</t>
  </si>
  <si>
    <t>新壽綜合證券股份有限公司</t>
  </si>
  <si>
    <t>新壽證</t>
  </si>
  <si>
    <t>國泰綜合證券股份有限公司</t>
  </si>
  <si>
    <t>國泰證</t>
  </si>
  <si>
    <t>華南永昌綜合證券股份有限公司</t>
  </si>
  <si>
    <t>華南永昌</t>
  </si>
  <si>
    <t>富邦綜合證券股份有限公司</t>
  </si>
  <si>
    <t>富邦證券</t>
  </si>
  <si>
    <t>元大證券股份有限公司</t>
  </si>
  <si>
    <t>元大證券</t>
  </si>
  <si>
    <t xml:space="preserve"> 0009A0 </t>
  </si>
  <si>
    <t>永豐金證券股份有限公司</t>
  </si>
  <si>
    <t>永豐金證</t>
  </si>
  <si>
    <t>富邦證券金融股份有限公司</t>
  </si>
  <si>
    <t>富邦證金</t>
  </si>
  <si>
    <t>欣欣水泥企業股份有限公司</t>
  </si>
  <si>
    <t>欣欣水泥</t>
  </si>
  <si>
    <t>台灣糖業股份有限公司</t>
  </si>
  <si>
    <t>台糖公司</t>
  </si>
  <si>
    <t>新東陽股份有限公司</t>
  </si>
  <si>
    <t>新東陽</t>
  </si>
  <si>
    <t>中聯油脂股份有限公司</t>
  </si>
  <si>
    <t>中聯油脂</t>
  </si>
  <si>
    <t>京華堂實業股份有限公司</t>
  </si>
  <si>
    <t>京華堂</t>
  </si>
  <si>
    <t>晨暉生物科技股份有限公司</t>
  </si>
  <si>
    <t>晨暉生技</t>
  </si>
  <si>
    <t>利統股份有限公司</t>
  </si>
  <si>
    <t>利統</t>
  </si>
  <si>
    <t>台灣中油股份有限公司</t>
  </si>
  <si>
    <t>中油</t>
  </si>
  <si>
    <t>旭東環保科技股份有限公司</t>
  </si>
  <si>
    <t>旭東環保</t>
  </si>
  <si>
    <t>中興紡織廠股份有限公司</t>
  </si>
  <si>
    <t>中興紡織</t>
  </si>
  <si>
    <t>東盟開發實業股份有限公司</t>
  </si>
  <si>
    <t>東盟開發</t>
  </si>
  <si>
    <t>日南紡織股份有限公司</t>
  </si>
  <si>
    <t>日南紡織</t>
  </si>
  <si>
    <t>台全電機股份有限公司</t>
  </si>
  <si>
    <t>台全電機</t>
  </si>
  <si>
    <t>金豐機器工業股份有限公司</t>
  </si>
  <si>
    <t>金豐機器</t>
  </si>
  <si>
    <t>太平洋電線電纜股份有限公司</t>
  </si>
  <si>
    <t>太電</t>
  </si>
  <si>
    <t>歌林股份有限公司</t>
  </si>
  <si>
    <t>歌林</t>
  </si>
  <si>
    <t>台一國際股份有限公司</t>
  </si>
  <si>
    <t>台一</t>
  </si>
  <si>
    <t>大展電線電纜股份有限公司</t>
  </si>
  <si>
    <t>大展電線</t>
  </si>
  <si>
    <t>永信藥品工業股份有限公司</t>
  </si>
  <si>
    <t>永信藥品</t>
  </si>
  <si>
    <t>欣雲天然氣股份有限公司</t>
  </si>
  <si>
    <t>欣雲天然</t>
  </si>
  <si>
    <t>欣桃天然氣股份有限公司</t>
  </si>
  <si>
    <t>欣桃天然</t>
  </si>
  <si>
    <t>大台南區天然氣股份有限公司</t>
  </si>
  <si>
    <t>大台南區</t>
  </si>
  <si>
    <t>欣嘉石油氣股份有限公司</t>
  </si>
  <si>
    <t>欣嘉公司</t>
  </si>
  <si>
    <t>奇美實業股份有限公司</t>
  </si>
  <si>
    <t>奇美實業</t>
  </si>
  <si>
    <t>長春石油化學股份有限公司</t>
  </si>
  <si>
    <t>長春石化</t>
  </si>
  <si>
    <t>長春人造樹脂廠股份有限公司</t>
  </si>
  <si>
    <t>長春樹脂</t>
  </si>
  <si>
    <t>大連化學工業股份有限公司</t>
  </si>
  <si>
    <t>大連化工</t>
  </si>
  <si>
    <t>陽明山瓦斯股份有限公司</t>
  </si>
  <si>
    <t>陽瓦</t>
  </si>
  <si>
    <t>欣中天然氣股份有限公司</t>
  </si>
  <si>
    <t>欣中公司</t>
  </si>
  <si>
    <t>信東生技股份有限公司</t>
  </si>
  <si>
    <t>信東生技</t>
  </si>
  <si>
    <t>大東樹脂化學股份有限公司</t>
  </si>
  <si>
    <t>大東樹脂</t>
  </si>
  <si>
    <t>豐鼎光波奈米科技股份有限公司</t>
  </si>
  <si>
    <t>豐鼎</t>
  </si>
  <si>
    <t>燁茂實業股份有限公司</t>
  </si>
  <si>
    <t>燁茂實業</t>
  </si>
  <si>
    <t>中龍鋼鐵股份有限公司</t>
  </si>
  <si>
    <t>中龍鋼鐵</t>
  </si>
  <si>
    <t>璋釔鋼鐵廠股份有限公司</t>
  </si>
  <si>
    <t>璋釔鋼鐵</t>
  </si>
  <si>
    <t>永發鋼鐵工業股份有限公司</t>
  </si>
  <si>
    <t>永發鋼鐵</t>
  </si>
  <si>
    <t>優頻科技材料股份有限公司</t>
  </si>
  <si>
    <t>優頻</t>
  </si>
  <si>
    <t>匯豐汽車股份有限公司</t>
  </si>
  <si>
    <t>匯豐汽車</t>
  </si>
  <si>
    <t>高都汽車股份有限公司</t>
  </si>
  <si>
    <t>高都汽車</t>
  </si>
  <si>
    <t>鍾慶科技開發股份有限公司</t>
  </si>
  <si>
    <t>鍾慶科技</t>
  </si>
  <si>
    <t>南都汽車股份有限公司</t>
  </si>
  <si>
    <t>南都汽車</t>
  </si>
  <si>
    <t>桃苗汽車股份有限公司</t>
  </si>
  <si>
    <t>桃苗汽車</t>
  </si>
  <si>
    <t>國都汽車股份有限公司</t>
  </si>
  <si>
    <t>國都汽車</t>
  </si>
  <si>
    <t>中部汽車股份有限公司</t>
  </si>
  <si>
    <t>中部汽車</t>
  </si>
  <si>
    <t>日月光半導體製造股份有限公司</t>
  </si>
  <si>
    <t>日月光</t>
  </si>
  <si>
    <t>矽品精密工業股份有限公司</t>
  </si>
  <si>
    <t>矽品</t>
  </si>
  <si>
    <t>勝華科技股份有限公司</t>
  </si>
  <si>
    <t>勝華科技</t>
  </si>
  <si>
    <t>遠揚建設股份有限公司</t>
  </si>
  <si>
    <t>遠揚建設</t>
  </si>
  <si>
    <t>泛亞工程建設股份有限公司</t>
  </si>
  <si>
    <t>泛亞工程</t>
  </si>
  <si>
    <t>世正開發股份有限公司</t>
  </si>
  <si>
    <t>世正開發</t>
  </si>
  <si>
    <t>鈺通營造工程股份有限公司</t>
  </si>
  <si>
    <t>鈺通營造</t>
  </si>
  <si>
    <t>遠揚營造工程股份有限公司</t>
  </si>
  <si>
    <t>遠揚營造</t>
  </si>
  <si>
    <t>新竹物流股份有限公司</t>
  </si>
  <si>
    <t>新竹物流</t>
  </si>
  <si>
    <t>立榮航空股份有限公司</t>
  </si>
  <si>
    <t>立榮航空</t>
  </si>
  <si>
    <t>凱撒大飯店股份有限公司</t>
  </si>
  <si>
    <t>凱撒飯店</t>
  </si>
  <si>
    <t>長榮國際股份有限公司</t>
  </si>
  <si>
    <t>長榮國際</t>
  </si>
  <si>
    <t>王座國際餐飲股份有限公司</t>
  </si>
  <si>
    <t>王座</t>
  </si>
  <si>
    <t>八方雲集國際股份有限公司</t>
  </si>
  <si>
    <t>八方雲集</t>
  </si>
  <si>
    <t>渣打國際商業銀行股份有限公司</t>
  </si>
  <si>
    <t>渣打銀行</t>
  </si>
  <si>
    <t>台灣人壽保險股份有限公司</t>
  </si>
  <si>
    <t>台灣人壽</t>
  </si>
  <si>
    <t>凱基商業銀行股份有限公司</t>
  </si>
  <si>
    <t>凱基銀行</t>
  </si>
  <si>
    <t>華南產物保險股份有限公司</t>
  </si>
  <si>
    <t>華南保</t>
  </si>
  <si>
    <t>元富證券股份有限公司</t>
  </si>
  <si>
    <t>元富證券</t>
  </si>
  <si>
    <t>中租迪和股份有限公司</t>
  </si>
  <si>
    <t>中租迪和</t>
  </si>
  <si>
    <t>泰安產物保險股份有限公司</t>
  </si>
  <si>
    <t>泰安產物</t>
  </si>
  <si>
    <t>台灣票券金融股份有限公司</t>
  </si>
  <si>
    <t>台灣票券</t>
  </si>
  <si>
    <t>大中票券金融股份有限公司</t>
  </si>
  <si>
    <t>大中票券</t>
  </si>
  <si>
    <t>萬通票券金融股份有限公司</t>
  </si>
  <si>
    <t>萬通票券</t>
  </si>
  <si>
    <t>宏泰人壽保險股份有限公司</t>
  </si>
  <si>
    <t>宏泰人壽</t>
  </si>
  <si>
    <t>國泰世紀產物保險股份有限公司</t>
  </si>
  <si>
    <t>國泰產險</t>
  </si>
  <si>
    <t>臺灣新光商業銀行股份有限公司</t>
  </si>
  <si>
    <t>新光銀行</t>
  </si>
  <si>
    <t>大慶票券金融股份有限公司</t>
  </si>
  <si>
    <t>大慶票券</t>
  </si>
  <si>
    <t>陽信商業銀行股份有限公司</t>
  </si>
  <si>
    <t>陽信銀行</t>
  </si>
  <si>
    <t>台北金融大樓股份有限公司</t>
  </si>
  <si>
    <t>金融大樓</t>
  </si>
  <si>
    <t>海景世界企業股份有限公司</t>
  </si>
  <si>
    <t>海景</t>
  </si>
  <si>
    <t>歐都納股份有限公司</t>
  </si>
  <si>
    <t>歐都納</t>
  </si>
  <si>
    <t>米斯特國際企業股份有限公司</t>
  </si>
  <si>
    <t>米斯特</t>
  </si>
  <si>
    <t>智泰科技股份有限公司</t>
  </si>
  <si>
    <t>智泰科技</t>
  </si>
  <si>
    <t>台灣之星電信股份有限公司</t>
  </si>
  <si>
    <t>台灣之星</t>
  </si>
  <si>
    <t>源河生技應用股份有限公司</t>
  </si>
  <si>
    <t>源河生技</t>
  </si>
  <si>
    <t>龍生工業股份有限公司</t>
  </si>
  <si>
    <t>龍生</t>
  </si>
  <si>
    <t>飛虹高科股份有限公司</t>
  </si>
  <si>
    <t>飛虹高科</t>
  </si>
  <si>
    <t>鐵研科技股份有限公司</t>
  </si>
  <si>
    <t>鐵研</t>
  </si>
  <si>
    <t>新德科技股份有限公司</t>
  </si>
  <si>
    <t>新德科技</t>
  </si>
  <si>
    <t>津綻石英科技股份有限公司</t>
  </si>
  <si>
    <t>津綻石英</t>
  </si>
  <si>
    <t>展達通訊股份有限公司</t>
  </si>
  <si>
    <t>展達</t>
  </si>
  <si>
    <t>益通</t>
  </si>
  <si>
    <t>瑋鋒科技股份有限公司</t>
  </si>
  <si>
    <t>瑋鋒</t>
  </si>
  <si>
    <t>宏塑工業股份有限公司</t>
  </si>
  <si>
    <t>宏塑</t>
  </si>
  <si>
    <t>友荃科技實業股份有限公司</t>
  </si>
  <si>
    <t>友荃</t>
  </si>
  <si>
    <t>力群電子股份有限公司</t>
  </si>
  <si>
    <t>力群</t>
  </si>
  <si>
    <t>聯禾有線電視股份有限公司</t>
  </si>
  <si>
    <t>聯禾</t>
  </si>
  <si>
    <t>易鼎股份有限公司</t>
  </si>
  <si>
    <t>易鼎</t>
  </si>
  <si>
    <t>就業情報資訊股份有限公司</t>
  </si>
  <si>
    <t>就業情報</t>
  </si>
  <si>
    <t>隨身遊戲股份有限公司</t>
  </si>
  <si>
    <t>隨身遊戲</t>
  </si>
  <si>
    <t>精品科技股份有限公司</t>
  </si>
  <si>
    <t>精品</t>
  </si>
  <si>
    <t>太陽光電能源科技股份有限公司</t>
  </si>
  <si>
    <t>太陽光</t>
  </si>
  <si>
    <t>宏芯科技股份有限公司</t>
  </si>
  <si>
    <t>宏芯科技</t>
  </si>
  <si>
    <t>沃福仕股份有限公司</t>
  </si>
  <si>
    <t>沃福仕</t>
  </si>
  <si>
    <t>漢台科技股份有限公司</t>
  </si>
  <si>
    <t>漢台</t>
  </si>
  <si>
    <t>聯勝光電股份有限公司</t>
  </si>
  <si>
    <t>聯勝</t>
  </si>
  <si>
    <t>仲博科技股份有限公司</t>
  </si>
  <si>
    <t>仲博科技</t>
  </si>
  <si>
    <t>群豐科技股份有限公司</t>
  </si>
  <si>
    <t>群豐科技</t>
  </si>
  <si>
    <t>善德生化科技股份有限公司</t>
  </si>
  <si>
    <t>善德生技</t>
  </si>
  <si>
    <t>友合生化科技股份有限公司</t>
  </si>
  <si>
    <t>友合生化</t>
  </si>
  <si>
    <t>柏登</t>
  </si>
  <si>
    <t>昕琦科技股份有限公司</t>
  </si>
  <si>
    <t>昕琦科技</t>
  </si>
  <si>
    <t>膠原科技股份有限公司</t>
  </si>
  <si>
    <t>膠原科技</t>
  </si>
  <si>
    <t>展頌股份有限公司</t>
  </si>
  <si>
    <t>展頌</t>
  </si>
  <si>
    <t>台灣智慧光網股份有限公司</t>
  </si>
  <si>
    <t>台智網</t>
  </si>
  <si>
    <t>主新德科技股份有限公司</t>
  </si>
  <si>
    <t>主新德</t>
  </si>
  <si>
    <t>名超企業股份有限公司</t>
  </si>
  <si>
    <t>名超</t>
  </si>
  <si>
    <t>達航科技股份有限公司</t>
  </si>
  <si>
    <t>達航科技</t>
  </si>
  <si>
    <t>宣捷幹細胞生技股份有限公司</t>
  </si>
  <si>
    <t>宣捷幹細胞</t>
  </si>
  <si>
    <t>聯超實業股份有限公司</t>
  </si>
  <si>
    <t>聯超</t>
  </si>
  <si>
    <t>尚芳國際興業股份有限公司</t>
  </si>
  <si>
    <t>尚芳國際</t>
  </si>
  <si>
    <t>有成精密股份有限公司</t>
  </si>
  <si>
    <t>有成精密</t>
  </si>
  <si>
    <t>可取國際股份有限公司</t>
  </si>
  <si>
    <t>可取</t>
  </si>
  <si>
    <t>富相科技股份有限公司</t>
  </si>
  <si>
    <t>富相</t>
  </si>
  <si>
    <t>瑪居禮電波工業股份有限公司</t>
  </si>
  <si>
    <t>瑪居禮</t>
  </si>
  <si>
    <t>凌陽創新科技股份有限公司</t>
  </si>
  <si>
    <t>凌陽創新</t>
  </si>
  <si>
    <t>勵威電子股份有限公司</t>
  </si>
  <si>
    <t>勵威</t>
  </si>
  <si>
    <t>銳捷科技股份有限公司</t>
  </si>
  <si>
    <t>銳捷</t>
  </si>
  <si>
    <t>奕智博</t>
  </si>
  <si>
    <t>見智科技股份有限公司</t>
  </si>
  <si>
    <t>見智</t>
  </si>
  <si>
    <t>新科光電材料股份有限公司</t>
  </si>
  <si>
    <t>新科光電</t>
  </si>
  <si>
    <t>育駿科技股份有限公司</t>
  </si>
  <si>
    <t>育駿科技</t>
  </si>
  <si>
    <t>懷藝精密科技股份有限公司</t>
  </si>
  <si>
    <t>懷藝</t>
  </si>
  <si>
    <t>合盈光電科技股份有限公司</t>
  </si>
  <si>
    <t>合盈</t>
  </si>
  <si>
    <t>力晶科技股份有限公司</t>
  </si>
  <si>
    <t>力晶</t>
  </si>
  <si>
    <t>茂德科技股份有限公司</t>
  </si>
  <si>
    <t>茂德科技</t>
  </si>
  <si>
    <t>廣朋實業股份有限公司</t>
  </si>
  <si>
    <t>廣朋實業</t>
  </si>
  <si>
    <t>華泰商業銀行股份有限公司</t>
  </si>
  <si>
    <t>華泰銀行</t>
  </si>
  <si>
    <t>富邦產物保險股份有限公司</t>
  </si>
  <si>
    <t>富邦保</t>
  </si>
  <si>
    <t>三信商業銀行股份有限公司</t>
  </si>
  <si>
    <t>三信商銀</t>
  </si>
  <si>
    <t>新光人壽保險股份有限公司</t>
  </si>
  <si>
    <t>新光人壽</t>
  </si>
  <si>
    <t>元大證券金融股份有限公司</t>
  </si>
  <si>
    <t>元大證金</t>
  </si>
  <si>
    <t>兆豐產物保險股份有限公司</t>
  </si>
  <si>
    <t>兆豐保險</t>
  </si>
  <si>
    <t>國泰世華商業銀行股份有限公司</t>
  </si>
  <si>
    <t>國泰世華</t>
  </si>
  <si>
    <t>台北富邦商業銀行股份有限公司</t>
  </si>
  <si>
    <t>台北富邦</t>
  </si>
  <si>
    <t>華南商業銀行股份有限公司</t>
  </si>
  <si>
    <t>華南銀行</t>
  </si>
  <si>
    <t>中華開發資本股份有限公司</t>
  </si>
  <si>
    <t>中華開發資本</t>
  </si>
  <si>
    <t>國際票券金融股份有限公司</t>
  </si>
  <si>
    <t>國際票券</t>
  </si>
  <si>
    <t>中國信託商業銀行股份有限公司</t>
  </si>
  <si>
    <t>中信銀</t>
  </si>
  <si>
    <t>兆豐票券金融股份有限公司</t>
  </si>
  <si>
    <t>兆豐票券</t>
  </si>
  <si>
    <t>兆豐國際商業銀行股份有限公司</t>
  </si>
  <si>
    <t>兆豐銀行</t>
  </si>
  <si>
    <t>第一商業銀行股份有限公司</t>
  </si>
  <si>
    <t>第一銀行</t>
  </si>
  <si>
    <t>國泰人壽保險股份有限公司</t>
  </si>
  <si>
    <t>國泰人壽</t>
  </si>
  <si>
    <t>玉山商業銀行股份有限公司</t>
  </si>
  <si>
    <t>玉山銀行</t>
  </si>
  <si>
    <t>台新國際商業銀行股份有限公司</t>
  </si>
  <si>
    <t>台新銀行</t>
  </si>
  <si>
    <t>永豐商業銀行股份有限公司</t>
  </si>
  <si>
    <t>永豐銀行</t>
  </si>
  <si>
    <t>日盛國際商業銀行股份有限公司</t>
  </si>
  <si>
    <t>日盛銀行</t>
  </si>
  <si>
    <t>元大商業銀行股份有限公司</t>
  </si>
  <si>
    <t>元大銀行</t>
  </si>
  <si>
    <t>合作金庫商業銀行股份有限公司</t>
  </si>
  <si>
    <t>合庫</t>
  </si>
  <si>
    <t>臺灣土地銀行</t>
  </si>
  <si>
    <t>土地銀行</t>
  </si>
  <si>
    <t>臺灣銀行股份有限公司</t>
  </si>
  <si>
    <t>臺銀</t>
  </si>
  <si>
    <t>板信商業銀行股份有限公司</t>
  </si>
  <si>
    <t>板信銀行</t>
  </si>
  <si>
    <t>富邦人壽保險股份有限公司</t>
  </si>
  <si>
    <t>富邦人壽</t>
  </si>
  <si>
    <t>統一期貨股份有限公司</t>
  </si>
  <si>
    <t>統一期</t>
  </si>
  <si>
    <t>康和期貨股份有限公司</t>
  </si>
  <si>
    <t>康和期</t>
  </si>
  <si>
    <t>臺灣金融控股股份有限公司</t>
  </si>
  <si>
    <t>臺灣金控</t>
  </si>
  <si>
    <t>花旗〈台灣〉商業銀行(股)</t>
  </si>
  <si>
    <t>花旗台灣</t>
  </si>
  <si>
    <t>匯豐(台灣)商業銀行股份有限公司</t>
  </si>
  <si>
    <t>匯豐台灣</t>
  </si>
  <si>
    <t>全球人壽保險股份有限公司</t>
  </si>
  <si>
    <t>全球人壽</t>
  </si>
  <si>
    <t>南山人壽保險股份有限公司</t>
  </si>
  <si>
    <t>南山人壽</t>
  </si>
  <si>
    <t>星展(台灣)商業銀行股份有限公司</t>
  </si>
  <si>
    <t>星展銀行</t>
  </si>
  <si>
    <t>中友百貨股份有限公司</t>
  </si>
  <si>
    <t>中友百貨</t>
  </si>
  <si>
    <t>凱基證券股份有限公司</t>
  </si>
  <si>
    <t>凱基證券</t>
  </si>
  <si>
    <t>臺銀人壽保險股份有限公司</t>
  </si>
  <si>
    <t>臺銀人壽</t>
  </si>
  <si>
    <t>弘勝光電股份有限公司</t>
  </si>
  <si>
    <t>弘勝光電</t>
  </si>
  <si>
    <t>寶德電化材科技股份有限公司</t>
  </si>
  <si>
    <t>寶德電化材</t>
  </si>
  <si>
    <t>瑞寶基因股份有限公司</t>
  </si>
  <si>
    <t>瑞寶基因</t>
  </si>
  <si>
    <t>原創生醫股份有限公司</t>
  </si>
  <si>
    <t>原創生醫</t>
  </si>
  <si>
    <t>惠合再生醫學生技股份有限公司</t>
  </si>
  <si>
    <t>惠合</t>
  </si>
  <si>
    <t>保勝光學股份有限公司</t>
  </si>
  <si>
    <t>保勝光學</t>
  </si>
  <si>
    <t>臺灣動藥國際股份有限公司</t>
  </si>
  <si>
    <t>台動</t>
  </si>
  <si>
    <t>聯亞藥業股份有限公司</t>
  </si>
  <si>
    <t>聯亞藥</t>
  </si>
  <si>
    <t>映智科技股份有限公司</t>
  </si>
  <si>
    <t>映智</t>
  </si>
  <si>
    <t>鑫盛傳媒製作股份有限公司</t>
  </si>
  <si>
    <t>鑫盛</t>
  </si>
  <si>
    <t>資拓宏宇國際股份有限公司</t>
  </si>
  <si>
    <t>資拓宏宇</t>
  </si>
  <si>
    <t>施吉生技應材股份有限公司</t>
  </si>
  <si>
    <t>施吉生技</t>
  </si>
  <si>
    <t>瑞利軍工股份有限公司</t>
  </si>
  <si>
    <t>瑞利軍工</t>
  </si>
  <si>
    <t>合迪股份有限公司</t>
  </si>
  <si>
    <t>合迪</t>
  </si>
  <si>
    <t>聯策科技股份有限公司</t>
  </si>
  <si>
    <t>聯策</t>
  </si>
  <si>
    <t>天明製藥股份有限公司</t>
  </si>
  <si>
    <t>天明製藥</t>
  </si>
  <si>
    <t>厚美德生物科技股份有限公司</t>
  </si>
  <si>
    <t>厚美德</t>
  </si>
  <si>
    <t>茂丞科技股份有限公司</t>
  </si>
  <si>
    <t>茂丞科技</t>
  </si>
  <si>
    <t>祥翊製藥股份有限公司</t>
  </si>
  <si>
    <t>祥翊製藥</t>
  </si>
  <si>
    <t>長泓能源科技股份有限公司</t>
  </si>
  <si>
    <t>長泓能源</t>
  </si>
  <si>
    <t>國璽幹細胞應用技術股份有限公司</t>
  </si>
  <si>
    <t>國璽幹細胞</t>
  </si>
  <si>
    <t>富基電通股份有限公司</t>
  </si>
  <si>
    <t>富基電通</t>
  </si>
  <si>
    <t>力智電子股份有限公司</t>
  </si>
  <si>
    <t>力智</t>
  </si>
  <si>
    <t>輝創電子股份有限公司</t>
  </si>
  <si>
    <t>輝創</t>
  </si>
  <si>
    <t>台灣矽科宏晟科技股份有限公司</t>
  </si>
  <si>
    <t>矽科宏晟</t>
  </si>
  <si>
    <t>鑫亞電通股份有限公司</t>
  </si>
  <si>
    <t>鑫亞電通</t>
  </si>
  <si>
    <t>竹陞科技股份有限公司</t>
  </si>
  <si>
    <t>竹陞科技</t>
  </si>
  <si>
    <t>澤米科技股份有限公司</t>
  </si>
  <si>
    <t>澤米</t>
  </si>
  <si>
    <t>全科綜電股份有限公司</t>
  </si>
  <si>
    <t>全科綜電</t>
  </si>
  <si>
    <t>亞果生醫股份有限公司</t>
  </si>
  <si>
    <t>亞果生醫</t>
  </si>
  <si>
    <t>黑馬數位科技股份有限公司</t>
  </si>
  <si>
    <t>黑馬數位</t>
  </si>
  <si>
    <t>龍德造船工業股份有限公司</t>
  </si>
  <si>
    <t>龍德造船</t>
  </si>
  <si>
    <t>金品軒鍊金廠股份有限公司</t>
  </si>
  <si>
    <t>金品軒鍊金廠</t>
  </si>
  <si>
    <t>力晶積成電子製造股份有限公司</t>
  </si>
  <si>
    <t>力積電</t>
  </si>
  <si>
    <t>錫安生技股份有限公司</t>
  </si>
  <si>
    <t>錫安生技</t>
  </si>
  <si>
    <t>穎台科技股份有限公司</t>
  </si>
  <si>
    <t>穎台科技</t>
  </si>
  <si>
    <t>台灣安麗莎醫療器材科技(股)公司</t>
  </si>
  <si>
    <t>安麗莎醫療器材</t>
  </si>
  <si>
    <t>鋐昇實業股份有限公司</t>
  </si>
  <si>
    <t>鋐昇</t>
  </si>
  <si>
    <t>學習王科技股份有限公司</t>
  </si>
  <si>
    <t>學習王</t>
  </si>
  <si>
    <t>群利科技股份有限公司</t>
  </si>
  <si>
    <t>群利科技</t>
  </si>
  <si>
    <t>光晟生物科技股份有限公司</t>
  </si>
  <si>
    <t>光晟生技</t>
  </si>
  <si>
    <t>愛迪亞科技股份有限公司</t>
  </si>
  <si>
    <t>愛迪亞</t>
  </si>
  <si>
    <t>正航資訊股份有限公司</t>
  </si>
  <si>
    <t>正航資訊</t>
  </si>
  <si>
    <t>久尹股份有限公司</t>
  </si>
  <si>
    <t>久尹股份</t>
  </si>
  <si>
    <t>巨擘科技股份有限公司</t>
  </si>
  <si>
    <t>巨擘科技</t>
  </si>
  <si>
    <t>泰山電子股份有限公司</t>
  </si>
  <si>
    <t>泰山電子</t>
  </si>
  <si>
    <t>利翔航太電子股份有限公司</t>
  </si>
  <si>
    <t>利翔航太</t>
  </si>
  <si>
    <t>峻新電腦股份有限公司</t>
  </si>
  <si>
    <t>峻新電腦</t>
  </si>
  <si>
    <t>輝城電子股份有限公司</t>
  </si>
  <si>
    <t>輝城電子</t>
  </si>
  <si>
    <t>華矽半導體股份有限公司</t>
  </si>
  <si>
    <t>華矽公司</t>
  </si>
  <si>
    <t>巨有科技股份有限公司</t>
  </si>
  <si>
    <t>巨有科技</t>
  </si>
  <si>
    <t>晶訊科技股份有限公司</t>
  </si>
  <si>
    <t>晶訊科技</t>
  </si>
  <si>
    <t>佳聯有線電視股份有限公司</t>
  </si>
  <si>
    <t>佳聯有線</t>
  </si>
  <si>
    <t>群健有線電視股份有限公司</t>
  </si>
  <si>
    <t>群健</t>
  </si>
  <si>
    <t>大台中數位有線電視股份有限公司</t>
  </si>
  <si>
    <t>大台中</t>
  </si>
  <si>
    <t>中投有線電視股份有限公司</t>
  </si>
  <si>
    <t>中投有線</t>
  </si>
  <si>
    <t>吉元有線電視股份有限公司</t>
  </si>
  <si>
    <t>吉元</t>
  </si>
  <si>
    <t>長德有線電視股份有限公司</t>
  </si>
  <si>
    <t>長德有線</t>
  </si>
  <si>
    <t>東亞有線電視股份有限公司</t>
  </si>
  <si>
    <t>東亞有線</t>
  </si>
  <si>
    <t>大江國際股份有限公司</t>
  </si>
  <si>
    <t>大江國際</t>
  </si>
  <si>
    <t>洄瀾有線電視股份有限公司</t>
  </si>
  <si>
    <t>洄瀾有線</t>
  </si>
  <si>
    <t>臺灣汎生製藥廠股份有限公司</t>
  </si>
  <si>
    <t>臺灣汎生</t>
  </si>
  <si>
    <t>麥寮汽電股份有限公司</t>
  </si>
  <si>
    <t>麥寮汽電</t>
  </si>
  <si>
    <t>科學城物流股份有限公司</t>
  </si>
  <si>
    <t>科學城</t>
  </si>
  <si>
    <t>榮輪科技股份有限公司</t>
  </si>
  <si>
    <t>榮輪科技</t>
  </si>
  <si>
    <t>中華電視股份有限公司</t>
  </si>
  <si>
    <t>華視</t>
  </si>
  <si>
    <t>中華彩色印刷股份有限公司</t>
  </si>
  <si>
    <t>中華彩色</t>
  </si>
  <si>
    <t>屏南有線電視股份有限公司</t>
  </si>
  <si>
    <t>屏南有線</t>
  </si>
  <si>
    <t>欣隆天然氣股份有限公司</t>
  </si>
  <si>
    <t>欣隆天然</t>
  </si>
  <si>
    <t>遠鼎投資股份有限公司</t>
  </si>
  <si>
    <t>遠鼎投資</t>
  </si>
  <si>
    <t>欣湖天然氣股份有限公司</t>
  </si>
  <si>
    <t>欣湖公司</t>
  </si>
  <si>
    <t>緯來電視網股份有限公司</t>
  </si>
  <si>
    <t>緯來電視</t>
  </si>
  <si>
    <t>森霸電力股份有限公司</t>
  </si>
  <si>
    <t>森霸電力</t>
  </si>
  <si>
    <t>星能電力股份有限公司</t>
  </si>
  <si>
    <t>星能電力</t>
  </si>
  <si>
    <t>台灣菸酒股份有限公司</t>
  </si>
  <si>
    <t>臺灣菸酒</t>
  </si>
  <si>
    <t>聯美林業股份有限公司</t>
  </si>
  <si>
    <t>聯美林業</t>
  </si>
  <si>
    <t>北都數位有線電視股份有限公司</t>
  </si>
  <si>
    <t>北都數位</t>
  </si>
  <si>
    <t>全國數位有線電視股份有限公司</t>
  </si>
  <si>
    <t>全國數位</t>
  </si>
  <si>
    <t>天外天數位有線電視股份有限公司</t>
  </si>
  <si>
    <t>天外天</t>
  </si>
  <si>
    <t>數位天空服務股份有限公司</t>
  </si>
  <si>
    <t>數位天空</t>
  </si>
  <si>
    <t>新高雄有線電視股份有限公司</t>
  </si>
  <si>
    <t>新高雄</t>
  </si>
  <si>
    <t>新彰數位有線電視股份有限公司</t>
  </si>
  <si>
    <t>新彰</t>
  </si>
  <si>
    <t>大基隆有線電視股份有限公司</t>
  </si>
  <si>
    <t>大基隆</t>
  </si>
  <si>
    <t>寶福有線電視股份有限公司</t>
  </si>
  <si>
    <t>寶福有線</t>
  </si>
  <si>
    <t>大新店民主有線電視股份有限公司</t>
  </si>
  <si>
    <t>大新店</t>
  </si>
  <si>
    <t>雙子星有線電視股份有限公司</t>
  </si>
  <si>
    <t>雙子星</t>
  </si>
  <si>
    <t>北視有線電視(股)公司</t>
  </si>
  <si>
    <t>北視有線</t>
  </si>
  <si>
    <t>新竹振道有線電視股份有限公司</t>
  </si>
  <si>
    <t>新竹振道</t>
  </si>
  <si>
    <t>金頻道有線電視(股)公司</t>
  </si>
  <si>
    <t>金頻道</t>
  </si>
  <si>
    <t>吉隆有線電視股份有限公司</t>
  </si>
  <si>
    <t>吉隆有線</t>
  </si>
  <si>
    <t>北健有線電視股份有限公司</t>
  </si>
  <si>
    <t>北健有線</t>
  </si>
  <si>
    <t>台灣數位寬頻有線電視(股)公司</t>
  </si>
  <si>
    <t>台灣數位</t>
  </si>
  <si>
    <t>新唐城有線電視事業股份有限公司</t>
  </si>
  <si>
    <t>新唐城</t>
  </si>
  <si>
    <t>紅樹林有線電視股份有限公司</t>
  </si>
  <si>
    <t>紅樹林</t>
  </si>
  <si>
    <t>新視波有線電視股份有限公司</t>
  </si>
  <si>
    <t>新視波</t>
  </si>
  <si>
    <t>新台北有線電視(股)公司</t>
  </si>
  <si>
    <t>新台北</t>
  </si>
  <si>
    <t>家和有線電視股份有限公司</t>
  </si>
  <si>
    <t>家和有線</t>
  </si>
  <si>
    <t>鳳信有線電視股份有限公司</t>
  </si>
  <si>
    <t>鳳信有線</t>
  </si>
  <si>
    <t>慶聯有線電視股份有限公司</t>
  </si>
  <si>
    <t>慶聯有線</t>
  </si>
  <si>
    <t>陽明山有線電視(股)公司</t>
  </si>
  <si>
    <t>陽明山</t>
  </si>
  <si>
    <t>北桃園有線電視股份有限公司</t>
  </si>
  <si>
    <t>北桃園</t>
  </si>
  <si>
    <t>大揚有線電視股份有限公司</t>
  </si>
  <si>
    <t>大揚有線</t>
  </si>
  <si>
    <t>南桃園有線電視(股)公司</t>
  </si>
  <si>
    <t>南桃園</t>
  </si>
  <si>
    <t>澎湖有線電視股份有限公司</t>
  </si>
  <si>
    <t>澎湖有線</t>
  </si>
  <si>
    <t>世新有線電視股份有限公司</t>
  </si>
  <si>
    <t>世新有線</t>
  </si>
  <si>
    <t>觀昇有線電視股份有限公司</t>
  </si>
  <si>
    <t>觀昇有線</t>
  </si>
  <si>
    <t>聯維有線電視股份有限公司</t>
  </si>
  <si>
    <t>聯維有線</t>
  </si>
  <si>
    <t>南國有線電視股份有限公司</t>
  </si>
  <si>
    <t>南國有線</t>
  </si>
  <si>
    <t>大安文山有線電視(股)公司</t>
  </si>
  <si>
    <t>大安文山</t>
  </si>
  <si>
    <t>萬象有線電視股份有限公司</t>
  </si>
  <si>
    <t>萬象有線</t>
  </si>
  <si>
    <t>麗冠有線電視股份有限公司</t>
  </si>
  <si>
    <t>麗冠有線</t>
  </si>
  <si>
    <t>信和有線電視股份有限公司</t>
  </si>
  <si>
    <t>信和有線</t>
  </si>
  <si>
    <t>豐盟有線電視股份有限公司</t>
  </si>
  <si>
    <t>豐盟有線</t>
  </si>
  <si>
    <t>國聲有線電視股份有限公司</t>
  </si>
  <si>
    <t>國聲有線</t>
  </si>
  <si>
    <t>台灣佳光電訊股份有限公司</t>
  </si>
  <si>
    <t>台灣佳光</t>
  </si>
  <si>
    <t>東台有線電視事業股份有限公司</t>
  </si>
  <si>
    <t>東台有線</t>
  </si>
  <si>
    <t>大屯有線電視股份有限公司</t>
  </si>
  <si>
    <t>大屯有線</t>
  </si>
  <si>
    <t>港都有線電視股份有限公司</t>
  </si>
  <si>
    <t>港都電視</t>
  </si>
  <si>
    <t>三大有線電視股份有限公司</t>
  </si>
  <si>
    <t>三大有線</t>
  </si>
  <si>
    <t>新頻道有線電視股份有限公司</t>
  </si>
  <si>
    <t>新頻道有</t>
  </si>
  <si>
    <t>北港有線電視股份有限公司</t>
  </si>
  <si>
    <t>北港有線</t>
  </si>
  <si>
    <t>台灣電力股份有限公司</t>
  </si>
  <si>
    <t>台電</t>
  </si>
  <si>
    <t>榮僑投資股份有限公司</t>
  </si>
  <si>
    <t>榮僑投資</t>
  </si>
  <si>
    <t>台灣華歌爾股份有限公司</t>
  </si>
  <si>
    <t>華歌爾</t>
  </si>
  <si>
    <t>立大開發投資股份有限公司</t>
  </si>
  <si>
    <t>立大開發</t>
  </si>
  <si>
    <t>新永安有線電視股份有限公司</t>
  </si>
  <si>
    <t>新永安</t>
  </si>
  <si>
    <t>長榮空廚股份有限公司</t>
  </si>
  <si>
    <t>長榮空廚</t>
  </si>
  <si>
    <t>三冠王有線電視股份有限公司</t>
  </si>
  <si>
    <t>三冠王</t>
  </si>
  <si>
    <t>永佳樂有線電視股份有限公司</t>
  </si>
  <si>
    <t>永佳樂</t>
  </si>
  <si>
    <t>全聯有線電視股份有限公司</t>
  </si>
  <si>
    <t>全聯有線</t>
  </si>
  <si>
    <t>觀天下有線電視事業股份有限公司</t>
  </si>
  <si>
    <t>觀天下</t>
  </si>
  <si>
    <t>南天有線電視股份有限公司</t>
  </si>
  <si>
    <t>南天有線</t>
  </si>
  <si>
    <t>上市櫃</t>
    <phoneticPr fontId="2" type="noConversion"/>
  </si>
  <si>
    <t>公司代號</t>
    <phoneticPr fontId="2" type="noConversion"/>
  </si>
  <si>
    <t>公司名稱</t>
    <phoneticPr fontId="2" type="noConversion"/>
  </si>
  <si>
    <t>公司簡稱</t>
    <phoneticPr fontId="2" type="noConversion"/>
  </si>
  <si>
    <t>1101</t>
  </si>
  <si>
    <t>1101B</t>
  </si>
  <si>
    <t>台泥乙特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</si>
  <si>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</si>
  <si>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</si>
  <si>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</si>
  <si>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</si>
  <si>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</si>
  <si>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</si>
  <si>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</si>
  <si>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</si>
  <si>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</si>
  <si>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</si>
  <si>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</si>
  <si>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</si>
  <si>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</si>
  <si>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</si>
  <si>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</si>
  <si>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</si>
  <si>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</si>
  <si>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</si>
  <si>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</si>
  <si>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</si>
  <si>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</si>
  <si>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</si>
  <si>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</si>
  <si>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</si>
  <si>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1256</t>
  </si>
  <si>
    <t>1702</t>
  </si>
  <si>
    <t>1737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</si>
  <si>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</si>
  <si>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</si>
  <si>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</si>
  <si>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</si>
  <si>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</si>
  <si>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</si>
  <si>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</si>
  <si>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</si>
  <si>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</si>
  <si>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1312A</t>
  </si>
  <si>
    <t>國喬特</t>
  </si>
  <si>
    <t>1313</t>
  </si>
  <si>
    <t>1314</t>
  </si>
  <si>
    <t>1315</t>
  </si>
  <si>
    <t>1321</t>
  </si>
  <si>
    <t>1323</t>
  </si>
  <si>
    <t>1324</t>
  </si>
  <si>
    <t>1325</t>
  </si>
  <si>
    <t>1326</t>
  </si>
  <si>
    <t>1337</t>
  </si>
  <si>
    <t>1340</t>
  </si>
  <si>
    <t>1341</t>
  </si>
  <si>
    <t>4306</t>
  </si>
  <si>
    <t>1402</t>
  </si>
  <si>
    <t>1409</t>
  </si>
  <si>
    <t>1410</t>
  </si>
  <si>
    <t>1413</t>
  </si>
  <si>
    <t>1414</t>
  </si>
  <si>
    <t>1416</t>
  </si>
  <si>
    <t>1417</t>
  </si>
  <si>
    <t>1419</t>
  </si>
  <si>
    <t>1423</t>
  </si>
  <si>
    <t>1434</t>
  </si>
  <si>
    <t>1439</t>
  </si>
  <si>
    <t>1440</t>
  </si>
  <si>
    <t>1441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</si>
  <si>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</si>
  <si>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</si>
  <si>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</si>
  <si>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</si>
  <si>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</si>
  <si>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</si>
  <si>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</si>
  <si>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</si>
  <si>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</si>
  <si>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</si>
  <si>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</si>
  <si>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</si>
  <si>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</si>
  <si>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</si>
  <si>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</si>
  <si>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</si>
  <si>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</si>
  <si>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</si>
  <si>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</si>
  <si>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</si>
  <si>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</si>
  <si>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</si>
  <si>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1472</t>
  </si>
  <si>
    <t>1473</t>
  </si>
  <si>
    <t>1474</t>
  </si>
  <si>
    <t>1476</t>
  </si>
  <si>
    <t>1477</t>
  </si>
  <si>
    <t>4414</t>
  </si>
  <si>
    <t>4426</t>
  </si>
  <si>
    <t>4438</t>
  </si>
  <si>
    <t>4439</t>
  </si>
  <si>
    <t>1503</t>
  </si>
  <si>
    <t>1504</t>
  </si>
  <si>
    <t>1506</t>
  </si>
  <si>
    <t>1507</t>
  </si>
  <si>
    <t>1513</t>
  </si>
  <si>
    <t>1514</t>
  </si>
  <si>
    <t>1515</t>
  </si>
  <si>
    <t>1517</t>
  </si>
  <si>
    <t>1519</t>
  </si>
  <si>
    <t>1526</t>
  </si>
  <si>
    <t>1527</t>
  </si>
  <si>
    <t>1528</t>
  </si>
  <si>
    <t>1529</t>
  </si>
  <si>
    <t>1530</t>
  </si>
  <si>
    <t>1531</t>
  </si>
  <si>
    <t>1532</t>
  </si>
  <si>
    <t>1535</t>
  </si>
  <si>
    <t>1537</t>
  </si>
  <si>
    <t>1539</t>
  </si>
  <si>
    <t>1540</t>
  </si>
  <si>
    <t>1541</t>
  </si>
  <si>
    <t>1558</t>
  </si>
  <si>
    <t>1560</t>
  </si>
  <si>
    <t>1583</t>
  </si>
  <si>
    <t>1589</t>
  </si>
  <si>
    <t>1590</t>
  </si>
  <si>
    <t>2049</t>
  </si>
  <si>
    <t>2371</t>
  </si>
  <si>
    <t>3167</t>
  </si>
  <si>
    <t>4526</t>
  </si>
  <si>
    <t>4532</t>
  </si>
  <si>
    <t>4540</t>
  </si>
  <si>
    <t>4552</t>
  </si>
  <si>
    <t>4555</t>
  </si>
  <si>
    <t>4560</t>
  </si>
  <si>
    <t>4562</t>
  </si>
  <si>
    <t>4564</t>
  </si>
  <si>
    <t>4566</t>
  </si>
  <si>
    <t>4571</t>
  </si>
  <si>
    <t>4572</t>
  </si>
  <si>
    <t>4576</t>
  </si>
  <si>
    <t>5288</t>
  </si>
  <si>
    <t>8222</t>
  </si>
  <si>
    <t>8374</t>
  </si>
  <si>
    <t>8996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</si>
  <si>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</si>
  <si>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</si>
  <si>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</si>
  <si>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</si>
  <si>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</si>
  <si>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</si>
  <si>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</si>
  <si>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</si>
  <si>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</si>
  <si>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</si>
  <si>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</si>
  <si>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</si>
  <si>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</si>
  <si>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4930</t>
  </si>
  <si>
    <t>5283</t>
  </si>
  <si>
    <t>1802</t>
  </si>
  <si>
    <t>1806</t>
  </si>
  <si>
    <t>1809</t>
  </si>
  <si>
    <t>1810</t>
  </si>
  <si>
    <t>1817</t>
  </si>
  <si>
    <t>1902</t>
  </si>
  <si>
    <t>1903</t>
  </si>
  <si>
    <t>1904</t>
  </si>
  <si>
    <t>1905</t>
  </si>
  <si>
    <t>1906</t>
  </si>
  <si>
    <t>1907</t>
  </si>
  <si>
    <t>1909</t>
  </si>
  <si>
    <t>2002</t>
  </si>
  <si>
    <t>2002A</t>
  </si>
  <si>
    <t>中鋼特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</si>
  <si>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</si>
  <si>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</si>
  <si>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</si>
  <si>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</si>
  <si>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</si>
  <si>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</si>
  <si>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</si>
  <si>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</si>
  <si>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</si>
  <si>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</si>
  <si>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</si>
  <si>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</si>
  <si>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</si>
  <si>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</si>
  <si>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2027</t>
  </si>
  <si>
    <t>2028</t>
  </si>
  <si>
    <t>2029</t>
  </si>
  <si>
    <t>2030</t>
  </si>
  <si>
    <t>2031</t>
  </si>
  <si>
    <t>2032</t>
  </si>
  <si>
    <t>2033</t>
  </si>
  <si>
    <t>2034</t>
  </si>
  <si>
    <t>2038</t>
  </si>
  <si>
    <t>2069</t>
  </si>
  <si>
    <t>3004</t>
  </si>
  <si>
    <t>5007</t>
  </si>
  <si>
    <t>5538</t>
  </si>
  <si>
    <t>9958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</si>
  <si>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</si>
  <si>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</si>
  <si>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</si>
  <si>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</si>
  <si>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</si>
  <si>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</si>
  <si>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</si>
  <si>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</si>
  <si>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</si>
  <si>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</si>
  <si>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6582</t>
  </si>
  <si>
    <t>1319</t>
  </si>
  <si>
    <t>1338</t>
  </si>
  <si>
    <t>1339</t>
  </si>
  <si>
    <t>1521</t>
  </si>
  <si>
    <t>1522</t>
  </si>
  <si>
    <t>1524</t>
  </si>
  <si>
    <t>1525</t>
  </si>
  <si>
    <t>1533</t>
  </si>
  <si>
    <t>1536</t>
  </si>
  <si>
    <t>1568</t>
  </si>
  <si>
    <t>1587</t>
  </si>
  <si>
    <t>1592</t>
  </si>
  <si>
    <t>2115</t>
  </si>
  <si>
    <t>2201</t>
  </si>
  <si>
    <t>2204</t>
  </si>
  <si>
    <t>2206</t>
  </si>
  <si>
    <t>2207</t>
  </si>
  <si>
    <t>2227</t>
  </si>
  <si>
    <t>2228</t>
  </si>
  <si>
    <t>2231</t>
  </si>
  <si>
    <t>2233</t>
  </si>
  <si>
    <t>2236</t>
  </si>
  <si>
    <t>2239</t>
  </si>
  <si>
    <t>2243</t>
  </si>
  <si>
    <t>2497</t>
  </si>
  <si>
    <t>3346</t>
  </si>
  <si>
    <t>4551</t>
  </si>
  <si>
    <t>4557</t>
  </si>
  <si>
    <t>6288</t>
  </si>
  <si>
    <t>6605</t>
  </si>
  <si>
    <t>1316</t>
  </si>
  <si>
    <t>1436</t>
  </si>
  <si>
    <t>1438</t>
  </si>
  <si>
    <t>1442</t>
  </si>
  <si>
    <t>1805</t>
  </si>
  <si>
    <t>1808</t>
  </si>
  <si>
    <t>2501</t>
  </si>
  <si>
    <t>2504</t>
  </si>
  <si>
    <t>2505</t>
  </si>
  <si>
    <t>2506</t>
  </si>
  <si>
    <t>2509</t>
  </si>
  <si>
    <t>2511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</si>
  <si>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</si>
  <si>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</si>
  <si>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</si>
  <si>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</si>
  <si>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</si>
  <si>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</si>
  <si>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</si>
  <si>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</si>
  <si>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</si>
  <si>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</si>
  <si>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</si>
  <si>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</si>
  <si>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</si>
  <si>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</si>
  <si>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</si>
  <si>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</si>
  <si>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</si>
  <si>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</si>
  <si>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</si>
  <si>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</si>
  <si>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2597</t>
  </si>
  <si>
    <t>2841</t>
  </si>
  <si>
    <t>2923</t>
  </si>
  <si>
    <t>3052</t>
  </si>
  <si>
    <t>3056</t>
  </si>
  <si>
    <t>3266</t>
  </si>
  <si>
    <t>3703</t>
  </si>
  <si>
    <t>5515</t>
  </si>
  <si>
    <t>5519</t>
  </si>
  <si>
    <t>5521</t>
  </si>
  <si>
    <t>5522</t>
  </si>
  <si>
    <t>5525</t>
  </si>
  <si>
    <t>5531</t>
  </si>
  <si>
    <t>5533</t>
  </si>
  <si>
    <t>5534</t>
  </si>
  <si>
    <t>6177</t>
  </si>
  <si>
    <t>9906</t>
  </si>
  <si>
    <t>9946</t>
  </si>
  <si>
    <t>2208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</si>
  <si>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</si>
  <si>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</si>
  <si>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</si>
  <si>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</si>
  <si>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</si>
  <si>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</si>
  <si>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</si>
  <si>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</si>
  <si>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</si>
  <si>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</si>
  <si>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2615</t>
  </si>
  <si>
    <t>2617</t>
  </si>
  <si>
    <t>2618</t>
  </si>
  <si>
    <t>2630</t>
  </si>
  <si>
    <t>2633</t>
  </si>
  <si>
    <t>2634</t>
  </si>
  <si>
    <t>2636</t>
  </si>
  <si>
    <t>2637</t>
  </si>
  <si>
    <t>2642</t>
  </si>
  <si>
    <t>5607</t>
  </si>
  <si>
    <t>5608</t>
  </si>
  <si>
    <t>8367</t>
  </si>
  <si>
    <t>2701</t>
  </si>
  <si>
    <t>2702</t>
  </si>
  <si>
    <t>2704</t>
  </si>
  <si>
    <t>2705</t>
  </si>
  <si>
    <t>2706</t>
  </si>
  <si>
    <t>2707</t>
  </si>
  <si>
    <t>2712</t>
  </si>
  <si>
    <t>2722</t>
  </si>
  <si>
    <t>2723</t>
  </si>
  <si>
    <t>2727</t>
  </si>
  <si>
    <t>2731</t>
  </si>
  <si>
    <t>2739</t>
  </si>
  <si>
    <t>2748</t>
  </si>
  <si>
    <t>5706</t>
  </si>
  <si>
    <t>8462</t>
  </si>
  <si>
    <t>8940</t>
  </si>
  <si>
    <t>9943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</si>
  <si>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</si>
  <si>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</si>
  <si>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</si>
  <si>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</si>
  <si>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</si>
  <si>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</si>
  <si>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</si>
  <si>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</si>
  <si>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</si>
  <si>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</si>
  <si>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2838A</t>
  </si>
  <si>
    <t>聯邦銀甲特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</si>
  <si>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</si>
  <si>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</si>
  <si>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</si>
  <si>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</si>
  <si>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</si>
  <si>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</si>
  <si>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</si>
  <si>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</si>
  <si>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</si>
  <si>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2881A</t>
  </si>
  <si>
    <t>富邦特</t>
  </si>
  <si>
    <t>2881B</t>
  </si>
  <si>
    <t>富邦金乙特</t>
  </si>
  <si>
    <t>2882</t>
  </si>
  <si>
    <t>2882A</t>
  </si>
  <si>
    <t>國泰特</t>
  </si>
  <si>
    <t>2882B</t>
  </si>
  <si>
    <t>國泰金乙特</t>
  </si>
  <si>
    <t>2883</t>
  </si>
  <si>
    <t>2884</t>
  </si>
  <si>
    <t>2885</t>
  </si>
  <si>
    <t>2886</t>
  </si>
  <si>
    <t>2887</t>
  </si>
  <si>
    <t>2887E</t>
  </si>
  <si>
    <t>台新戊特</t>
  </si>
  <si>
    <t>2887F</t>
  </si>
  <si>
    <t>台新戊特二</t>
  </si>
  <si>
    <t>2888</t>
  </si>
  <si>
    <t>2888A</t>
  </si>
  <si>
    <t>新光金甲特</t>
  </si>
  <si>
    <t>2889</t>
  </si>
  <si>
    <t>2890</t>
  </si>
  <si>
    <t>2891</t>
  </si>
  <si>
    <t>2891B</t>
  </si>
  <si>
    <t>中信金乙特</t>
  </si>
  <si>
    <t>2891C</t>
  </si>
  <si>
    <t>中信金丙特</t>
  </si>
  <si>
    <t>2892</t>
  </si>
  <si>
    <t>2897</t>
  </si>
  <si>
    <t>2897A</t>
  </si>
  <si>
    <t>王道銀甲特</t>
  </si>
  <si>
    <t>5876</t>
  </si>
  <si>
    <t>5880</t>
  </si>
  <si>
    <t>6005</t>
  </si>
  <si>
    <t>6024</t>
  </si>
  <si>
    <t>1432</t>
  </si>
  <si>
    <t>2601</t>
  </si>
  <si>
    <t>2614</t>
  </si>
  <si>
    <t>2901</t>
  </si>
  <si>
    <t>2903</t>
  </si>
  <si>
    <t>2905</t>
  </si>
  <si>
    <t>2906</t>
  </si>
  <si>
    <t>2908</t>
  </si>
  <si>
    <t>2910</t>
  </si>
  <si>
    <t>2911</t>
  </si>
  <si>
    <t>2912</t>
  </si>
  <si>
    <t>2913</t>
  </si>
  <si>
    <t>2915</t>
  </si>
  <si>
    <t>2929</t>
  </si>
  <si>
    <t>2936</t>
  </si>
  <si>
    <t>2939</t>
  </si>
  <si>
    <t>4807</t>
  </si>
  <si>
    <t>5907</t>
  </si>
  <si>
    <t>8429</t>
  </si>
  <si>
    <t>8443</t>
  </si>
  <si>
    <t>8454</t>
  </si>
  <si>
    <t>1704</t>
  </si>
  <si>
    <t>榮化</t>
  </si>
  <si>
    <t>1708</t>
  </si>
  <si>
    <t>東碱</t>
  </si>
  <si>
    <t>1709</t>
  </si>
  <si>
    <t>1710</t>
  </si>
  <si>
    <t>1711</t>
  </si>
  <si>
    <t>1712</t>
  </si>
  <si>
    <t>1713</t>
  </si>
  <si>
    <t>1714</t>
  </si>
  <si>
    <t>1717</t>
  </si>
  <si>
    <t>1718</t>
  </si>
  <si>
    <t>1721</t>
  </si>
  <si>
    <t>1722</t>
  </si>
  <si>
    <t>1723</t>
  </si>
  <si>
    <t>1724</t>
  </si>
  <si>
    <t>1725</t>
  </si>
  <si>
    <t>1726</t>
  </si>
  <si>
    <t>1727</t>
  </si>
  <si>
    <t>1730</t>
  </si>
  <si>
    <t>1732</t>
  </si>
  <si>
    <t>1735</t>
  </si>
  <si>
    <t>1773</t>
  </si>
  <si>
    <t>1776</t>
  </si>
  <si>
    <t>3708</t>
  </si>
  <si>
    <t>4720</t>
  </si>
  <si>
    <t>4722</t>
  </si>
  <si>
    <t>4725</t>
  </si>
  <si>
    <t>4739</t>
  </si>
  <si>
    <t>4755</t>
  </si>
  <si>
    <t>4763</t>
  </si>
  <si>
    <t>4764</t>
  </si>
  <si>
    <t>4766</t>
  </si>
  <si>
    <t>1598</t>
  </si>
  <si>
    <t>1701</t>
  </si>
  <si>
    <t>1707</t>
  </si>
  <si>
    <t>1720</t>
  </si>
  <si>
    <t>1731</t>
  </si>
  <si>
    <t>1733</t>
  </si>
  <si>
    <t>1734</t>
  </si>
  <si>
    <t>1736</t>
  </si>
  <si>
    <t>1760</t>
  </si>
  <si>
    <t>1762</t>
  </si>
  <si>
    <t>1783</t>
  </si>
  <si>
    <t>1786</t>
  </si>
  <si>
    <t>1789</t>
  </si>
  <si>
    <t>1795</t>
  </si>
  <si>
    <t>3164</t>
  </si>
  <si>
    <t>3705</t>
  </si>
  <si>
    <t>4104</t>
  </si>
  <si>
    <t>4106</t>
  </si>
  <si>
    <t>4108</t>
  </si>
  <si>
    <t>4119</t>
  </si>
  <si>
    <t>4133</t>
  </si>
  <si>
    <t>4137</t>
  </si>
  <si>
    <t>4141</t>
  </si>
  <si>
    <t>4142</t>
  </si>
  <si>
    <t>4144</t>
  </si>
  <si>
    <t>4148</t>
  </si>
  <si>
    <t>4155</t>
  </si>
  <si>
    <t>4164</t>
  </si>
  <si>
    <t>4190</t>
  </si>
  <si>
    <t>4737</t>
  </si>
  <si>
    <t>4746</t>
  </si>
  <si>
    <t>6452</t>
  </si>
  <si>
    <t>6491</t>
  </si>
  <si>
    <t>6541</t>
  </si>
  <si>
    <t>6666</t>
  </si>
  <si>
    <t>2616</t>
  </si>
  <si>
    <t>6505</t>
  </si>
  <si>
    <t>8926</t>
  </si>
  <si>
    <t>9908</t>
  </si>
  <si>
    <t>9918</t>
  </si>
  <si>
    <t>9926</t>
  </si>
  <si>
    <t>9931</t>
  </si>
  <si>
    <t>9937</t>
  </si>
  <si>
    <t>2302</t>
  </si>
  <si>
    <t>2303</t>
  </si>
  <si>
    <t>2329</t>
  </si>
  <si>
    <t>2330</t>
  </si>
  <si>
    <t>2337</t>
  </si>
  <si>
    <t>2338</t>
  </si>
  <si>
    <t>2342</t>
  </si>
  <si>
    <t>2344</t>
  </si>
  <si>
    <t>2351</t>
  </si>
  <si>
    <t>2363</t>
  </si>
  <si>
    <t>2369</t>
  </si>
  <si>
    <t>2379</t>
  </si>
  <si>
    <t>2388</t>
  </si>
  <si>
    <t>2401</t>
  </si>
  <si>
    <t>2408</t>
  </si>
  <si>
    <t>2436</t>
  </si>
  <si>
    <t>2441</t>
  </si>
  <si>
    <t>2449</t>
  </si>
  <si>
    <t>2451</t>
  </si>
  <si>
    <t>2454</t>
  </si>
  <si>
    <t>2458</t>
  </si>
  <si>
    <t>2481</t>
  </si>
  <si>
    <t>3006</t>
  </si>
  <si>
    <t>3014</t>
  </si>
  <si>
    <t>3016</t>
  </si>
  <si>
    <t>3034</t>
  </si>
  <si>
    <t>3035</t>
  </si>
  <si>
    <t>3041</t>
  </si>
  <si>
    <t>3054</t>
  </si>
  <si>
    <t>3094</t>
  </si>
  <si>
    <t>3189</t>
  </si>
  <si>
    <t>3257</t>
  </si>
  <si>
    <t>3413</t>
  </si>
  <si>
    <t>3443</t>
  </si>
  <si>
    <t>3530</t>
  </si>
  <si>
    <t>3532</t>
  </si>
  <si>
    <t>3545</t>
  </si>
  <si>
    <t>3583</t>
  </si>
  <si>
    <t>3588</t>
  </si>
  <si>
    <t>3661</t>
  </si>
  <si>
    <t>3711</t>
  </si>
  <si>
    <t>4919</t>
  </si>
  <si>
    <t>4952</t>
  </si>
  <si>
    <t>4961</t>
  </si>
  <si>
    <t>4967</t>
  </si>
  <si>
    <t>4968</t>
  </si>
  <si>
    <t>5269</t>
  </si>
  <si>
    <t>5285</t>
  </si>
  <si>
    <t>5305</t>
  </si>
  <si>
    <t>5471</t>
  </si>
  <si>
    <t>6202</t>
  </si>
  <si>
    <t>6239</t>
  </si>
  <si>
    <t>6243</t>
  </si>
  <si>
    <t>6257</t>
  </si>
  <si>
    <t>6271</t>
  </si>
  <si>
    <t>6415</t>
  </si>
  <si>
    <t>6451</t>
  </si>
  <si>
    <t>6525</t>
  </si>
  <si>
    <t>6531</t>
  </si>
  <si>
    <t>6533</t>
  </si>
  <si>
    <t>6552</t>
  </si>
  <si>
    <t>6573</t>
  </si>
  <si>
    <t>8016</t>
  </si>
  <si>
    <t>8028</t>
  </si>
  <si>
    <t>8081</t>
  </si>
  <si>
    <t>8110</t>
  </si>
  <si>
    <t>8131</t>
  </si>
  <si>
    <t>8150</t>
  </si>
  <si>
    <t>8261</t>
  </si>
  <si>
    <t>8271</t>
  </si>
  <si>
    <t>2301</t>
  </si>
  <si>
    <t>2305</t>
  </si>
  <si>
    <t>2324</t>
  </si>
  <si>
    <t>2331</t>
  </si>
  <si>
    <t>2352</t>
  </si>
  <si>
    <t>2353</t>
  </si>
  <si>
    <t>2356</t>
  </si>
  <si>
    <t>2357</t>
  </si>
  <si>
    <t>2362</t>
  </si>
  <si>
    <t>2365</t>
  </si>
  <si>
    <t>2376</t>
  </si>
  <si>
    <t>2377</t>
  </si>
  <si>
    <t>2380</t>
  </si>
  <si>
    <t>2382</t>
  </si>
  <si>
    <t>2387</t>
  </si>
  <si>
    <t>2395</t>
  </si>
  <si>
    <t>2397</t>
  </si>
  <si>
    <t>2399</t>
  </si>
  <si>
    <t>2405</t>
  </si>
  <si>
    <t>2417</t>
  </si>
  <si>
    <t>2424</t>
  </si>
  <si>
    <t>2425</t>
  </si>
  <si>
    <t>2442</t>
  </si>
  <si>
    <t>2465</t>
  </si>
  <si>
    <t>3002</t>
  </si>
  <si>
    <t>3005</t>
  </si>
  <si>
    <t>3013</t>
  </si>
  <si>
    <t>3017</t>
  </si>
  <si>
    <t>3022</t>
  </si>
  <si>
    <t>3046</t>
  </si>
  <si>
    <t>3057</t>
  </si>
  <si>
    <t>3060</t>
  </si>
  <si>
    <t>3231</t>
  </si>
  <si>
    <t>3416</t>
  </si>
  <si>
    <t>3494</t>
  </si>
  <si>
    <t>3515</t>
  </si>
  <si>
    <t>3701</t>
  </si>
  <si>
    <t>3706</t>
  </si>
  <si>
    <t>3712</t>
  </si>
  <si>
    <t>4916</t>
  </si>
  <si>
    <t>4938</t>
  </si>
  <si>
    <t>5215</t>
  </si>
  <si>
    <t>5258</t>
  </si>
  <si>
    <t>5264</t>
  </si>
  <si>
    <t>6117</t>
  </si>
  <si>
    <t>6128</t>
  </si>
  <si>
    <t>6166</t>
  </si>
  <si>
    <t>6172</t>
  </si>
  <si>
    <t>6206</t>
  </si>
  <si>
    <t>6230</t>
  </si>
  <si>
    <t>6235</t>
  </si>
  <si>
    <t>6277</t>
  </si>
  <si>
    <t>6414</t>
  </si>
  <si>
    <t>6579</t>
  </si>
  <si>
    <t>6591</t>
  </si>
  <si>
    <t>6669</t>
  </si>
  <si>
    <t>8114</t>
  </si>
  <si>
    <t>8163</t>
  </si>
  <si>
    <t>8210</t>
  </si>
  <si>
    <t>9912</t>
  </si>
  <si>
    <t>2323</t>
  </si>
  <si>
    <t>2340</t>
  </si>
  <si>
    <t>2349</t>
  </si>
  <si>
    <t>2374</t>
  </si>
  <si>
    <t>2393</t>
  </si>
  <si>
    <t>2406</t>
  </si>
  <si>
    <t>2409</t>
  </si>
  <si>
    <t>2426</t>
  </si>
  <si>
    <t>2438</t>
  </si>
  <si>
    <t>2448</t>
  </si>
  <si>
    <t>2466</t>
  </si>
  <si>
    <t>2486</t>
  </si>
  <si>
    <t>2489</t>
  </si>
  <si>
    <t>2491</t>
  </si>
  <si>
    <t>2499</t>
  </si>
  <si>
    <t>3008</t>
  </si>
  <si>
    <t>3019</t>
  </si>
  <si>
    <t>3024</t>
  </si>
  <si>
    <t>3031</t>
  </si>
  <si>
    <t>3038</t>
  </si>
  <si>
    <t>3049</t>
  </si>
  <si>
    <t>3050</t>
  </si>
  <si>
    <t>3059</t>
  </si>
  <si>
    <t>3149</t>
  </si>
  <si>
    <t>3356</t>
  </si>
  <si>
    <t>3406</t>
  </si>
  <si>
    <t>3437</t>
  </si>
  <si>
    <t>3454</t>
  </si>
  <si>
    <t>3481</t>
  </si>
  <si>
    <t>3504</t>
  </si>
  <si>
    <t>3535</t>
  </si>
  <si>
    <t>3557</t>
  </si>
  <si>
    <t>3563</t>
  </si>
  <si>
    <t>3576</t>
  </si>
  <si>
    <t>3591</t>
  </si>
  <si>
    <t>3622</t>
  </si>
  <si>
    <t>3669</t>
  </si>
  <si>
    <t>3673</t>
  </si>
  <si>
    <t>3698</t>
  </si>
  <si>
    <t>4934</t>
  </si>
  <si>
    <t>4935</t>
  </si>
  <si>
    <t>4942</t>
  </si>
  <si>
    <t>4956</t>
  </si>
  <si>
    <t>4976</t>
  </si>
  <si>
    <t>5234</t>
  </si>
  <si>
    <t>5243</t>
  </si>
  <si>
    <t>5484</t>
  </si>
  <si>
    <t>6116</t>
  </si>
  <si>
    <t>6120</t>
  </si>
  <si>
    <t>6164</t>
  </si>
  <si>
    <t>6168</t>
  </si>
  <si>
    <t>6176</t>
  </si>
  <si>
    <t>6209</t>
  </si>
  <si>
    <t>6226</t>
  </si>
  <si>
    <t>6278</t>
  </si>
  <si>
    <t>6405</t>
  </si>
  <si>
    <t>6431</t>
  </si>
  <si>
    <t>6443</t>
  </si>
  <si>
    <t>6456</t>
  </si>
  <si>
    <t>6477</t>
  </si>
  <si>
    <t>6668</t>
  </si>
  <si>
    <t>6706</t>
  </si>
  <si>
    <t>8104</t>
  </si>
  <si>
    <t>8105</t>
  </si>
  <si>
    <t>8215</t>
  </si>
  <si>
    <t>2314</t>
  </si>
  <si>
    <t>2332</t>
  </si>
  <si>
    <t>2345</t>
  </si>
  <si>
    <t>2412</t>
  </si>
  <si>
    <t>2419</t>
  </si>
  <si>
    <t>2439</t>
  </si>
  <si>
    <t>2444</t>
  </si>
  <si>
    <t>2450</t>
  </si>
  <si>
    <t>2455</t>
  </si>
  <si>
    <t>2485</t>
  </si>
  <si>
    <t>2498</t>
  </si>
  <si>
    <t>3025</t>
  </si>
  <si>
    <t>3027</t>
  </si>
  <si>
    <t>3045</t>
  </si>
  <si>
    <t>3047</t>
  </si>
  <si>
    <t>3062</t>
  </si>
  <si>
    <t>3311</t>
  </si>
  <si>
    <t>3380</t>
  </si>
  <si>
    <t>3419</t>
  </si>
  <si>
    <t>3596</t>
  </si>
  <si>
    <t>3682</t>
  </si>
  <si>
    <t>3694</t>
  </si>
  <si>
    <t>3704</t>
  </si>
  <si>
    <t>4904</t>
  </si>
  <si>
    <t>4906</t>
  </si>
  <si>
    <t>4977</t>
  </si>
  <si>
    <t>5388</t>
  </si>
  <si>
    <t>6136</t>
  </si>
  <si>
    <t>6142</t>
  </si>
  <si>
    <t>6152</t>
  </si>
  <si>
    <t>6216</t>
  </si>
  <si>
    <t>6285</t>
  </si>
  <si>
    <t>6416</t>
  </si>
  <si>
    <t>6442</t>
  </si>
  <si>
    <t>6674</t>
  </si>
  <si>
    <t>8011</t>
  </si>
  <si>
    <t>8101</t>
  </si>
  <si>
    <t>1582</t>
  </si>
  <si>
    <t>2059</t>
  </si>
  <si>
    <t>2308</t>
  </si>
  <si>
    <t>2313</t>
  </si>
  <si>
    <t>2316</t>
  </si>
  <si>
    <t>2327</t>
  </si>
  <si>
    <t>2328</t>
  </si>
  <si>
    <t>2355</t>
  </si>
  <si>
    <t>2367</t>
  </si>
  <si>
    <t>2368</t>
  </si>
  <si>
    <t>2375</t>
  </si>
  <si>
    <t>2383</t>
  </si>
  <si>
    <t>2385</t>
  </si>
  <si>
    <t>2392</t>
  </si>
  <si>
    <t>2402</t>
  </si>
  <si>
    <t>2413</t>
  </si>
  <si>
    <t>2415</t>
  </si>
  <si>
    <t>2420</t>
  </si>
  <si>
    <t>2421</t>
  </si>
  <si>
    <t>2428</t>
  </si>
  <si>
    <t>2431</t>
  </si>
  <si>
    <t>2440</t>
  </si>
  <si>
    <t>2456</t>
  </si>
  <si>
    <t>2457</t>
  </si>
  <si>
    <t>2460</t>
  </si>
  <si>
    <t>2462</t>
  </si>
  <si>
    <t>2467</t>
  </si>
  <si>
    <t>2472</t>
  </si>
  <si>
    <t>2476</t>
  </si>
  <si>
    <t>2478</t>
  </si>
  <si>
    <t>2483</t>
  </si>
  <si>
    <t>2484</t>
  </si>
  <si>
    <t>2492</t>
  </si>
  <si>
    <t>2493</t>
  </si>
  <si>
    <t>3003</t>
  </si>
  <si>
    <t>3011</t>
  </si>
  <si>
    <t>3015</t>
  </si>
  <si>
    <t>3021</t>
  </si>
  <si>
    <t>3023</t>
  </si>
  <si>
    <t>3026</t>
  </si>
  <si>
    <t>3032</t>
  </si>
  <si>
    <t>3037</t>
  </si>
  <si>
    <t>3042</t>
  </si>
  <si>
    <t>3044</t>
  </si>
  <si>
    <t>3058</t>
  </si>
  <si>
    <t>3090</t>
  </si>
  <si>
    <t>3229</t>
  </si>
  <si>
    <t>3296</t>
  </si>
  <si>
    <t>3308</t>
  </si>
  <si>
    <t>3321</t>
  </si>
  <si>
    <t>3338</t>
  </si>
  <si>
    <t>3376</t>
  </si>
  <si>
    <t>3432</t>
  </si>
  <si>
    <t>3501</t>
  </si>
  <si>
    <t>3533</t>
  </si>
  <si>
    <t>3550</t>
  </si>
  <si>
    <t>3593</t>
  </si>
  <si>
    <t>3605</t>
  </si>
  <si>
    <t>3607</t>
  </si>
  <si>
    <t>3645</t>
  </si>
  <si>
    <t>3653</t>
  </si>
  <si>
    <t>3679</t>
  </si>
  <si>
    <t>4545</t>
  </si>
  <si>
    <t>4912</t>
  </si>
  <si>
    <t>4915</t>
  </si>
  <si>
    <t>4927</t>
  </si>
  <si>
    <t>4943</t>
  </si>
  <si>
    <t>4958</t>
  </si>
  <si>
    <t>4989</t>
  </si>
  <si>
    <t>4999</t>
  </si>
  <si>
    <t>5469</t>
  </si>
  <si>
    <t>6108</t>
  </si>
  <si>
    <t>6115</t>
  </si>
  <si>
    <t>6133</t>
  </si>
  <si>
    <t>6141</t>
  </si>
  <si>
    <t>6153</t>
  </si>
  <si>
    <t>6155</t>
  </si>
  <si>
    <t>6165</t>
  </si>
  <si>
    <t>6191</t>
  </si>
  <si>
    <t>6197</t>
  </si>
  <si>
    <t>6205</t>
  </si>
  <si>
    <t>6213</t>
  </si>
  <si>
    <t>6224</t>
  </si>
  <si>
    <t>6251</t>
  </si>
  <si>
    <t>6269</t>
  </si>
  <si>
    <t>6282</t>
  </si>
  <si>
    <t>6412</t>
  </si>
  <si>
    <t>6449</t>
  </si>
  <si>
    <t>6672</t>
  </si>
  <si>
    <t>6715</t>
  </si>
  <si>
    <t>8039</t>
  </si>
  <si>
    <t>8046</t>
  </si>
  <si>
    <t>8103</t>
  </si>
  <si>
    <t>8213</t>
  </si>
  <si>
    <t>8249</t>
  </si>
  <si>
    <t>2347</t>
  </si>
  <si>
    <t>2414</t>
  </si>
  <si>
    <t>2430</t>
  </si>
  <si>
    <t>2459</t>
  </si>
  <si>
    <t>3010</t>
  </si>
  <si>
    <t>3028</t>
  </si>
  <si>
    <t>3033</t>
  </si>
  <si>
    <t>3036</t>
  </si>
  <si>
    <t>3048</t>
  </si>
  <si>
    <t>3055</t>
  </si>
  <si>
    <t>3209</t>
  </si>
  <si>
    <t>3312</t>
  </si>
  <si>
    <t>3528</t>
  </si>
  <si>
    <t>3702</t>
  </si>
  <si>
    <t>3702A</t>
  </si>
  <si>
    <t>大聯大甲特</t>
  </si>
  <si>
    <t>5434</t>
  </si>
  <si>
    <t>6189</t>
  </si>
  <si>
    <t>6281</t>
  </si>
  <si>
    <t>8070</t>
  </si>
  <si>
    <t>8072</t>
  </si>
  <si>
    <t>8112</t>
  </si>
  <si>
    <t>2427</t>
  </si>
  <si>
    <t>2453</t>
  </si>
  <si>
    <t>2468</t>
  </si>
  <si>
    <t>2471</t>
  </si>
  <si>
    <t>2480</t>
  </si>
  <si>
    <t>3029</t>
  </si>
  <si>
    <t>3130</t>
  </si>
  <si>
    <t>4994</t>
  </si>
  <si>
    <t>5203</t>
  </si>
  <si>
    <t>6112</t>
  </si>
  <si>
    <t>6183</t>
  </si>
  <si>
    <t>6214</t>
  </si>
  <si>
    <t>2312</t>
  </si>
  <si>
    <t>2317</t>
  </si>
  <si>
    <t>2354</t>
  </si>
  <si>
    <t>2359</t>
  </si>
  <si>
    <t>2360</t>
  </si>
  <si>
    <t>2373</t>
  </si>
  <si>
    <t>2390</t>
  </si>
  <si>
    <t>2404</t>
  </si>
  <si>
    <t>2423</t>
  </si>
  <si>
    <t>2433</t>
  </si>
  <si>
    <t>2461</t>
  </si>
  <si>
    <t>2464</t>
  </si>
  <si>
    <t>2474</t>
  </si>
  <si>
    <t>2477</t>
  </si>
  <si>
    <t>2482</t>
  </si>
  <si>
    <t>2488</t>
  </si>
  <si>
    <t>2495</t>
  </si>
  <si>
    <t>3018</t>
  </si>
  <si>
    <t>3030</t>
  </si>
  <si>
    <t>3305</t>
  </si>
  <si>
    <t>3450</t>
  </si>
  <si>
    <t>3518</t>
  </si>
  <si>
    <t>3617</t>
  </si>
  <si>
    <t>3665</t>
  </si>
  <si>
    <t>5225</t>
  </si>
  <si>
    <t>6139</t>
  </si>
  <si>
    <t>6192</t>
  </si>
  <si>
    <t>6196</t>
  </si>
  <si>
    <t>6201</t>
  </si>
  <si>
    <t>6215</t>
  </si>
  <si>
    <t>6283</t>
  </si>
  <si>
    <t>6409</t>
  </si>
  <si>
    <t>6558</t>
  </si>
  <si>
    <t>6698</t>
  </si>
  <si>
    <t>8021</t>
  </si>
  <si>
    <t>8201</t>
  </si>
  <si>
    <t>1262</t>
  </si>
  <si>
    <t>綠悅-KY</t>
  </si>
  <si>
    <t>1435</t>
  </si>
  <si>
    <t>1437</t>
  </si>
  <si>
    <t>1516</t>
  </si>
  <si>
    <t>2062</t>
  </si>
  <si>
    <t>2348</t>
  </si>
  <si>
    <t>2358</t>
  </si>
  <si>
    <t>2443</t>
  </si>
  <si>
    <t>2496</t>
  </si>
  <si>
    <t>2514</t>
  </si>
  <si>
    <t>2904</t>
  </si>
  <si>
    <t>3040</t>
  </si>
  <si>
    <t>4536</t>
  </si>
  <si>
    <t>5284</t>
  </si>
  <si>
    <t>5871</t>
  </si>
  <si>
    <t>6184</t>
  </si>
  <si>
    <t>6464</t>
  </si>
  <si>
    <t>6504</t>
  </si>
  <si>
    <t>6581</t>
  </si>
  <si>
    <t>6592</t>
  </si>
  <si>
    <t>6625</t>
  </si>
  <si>
    <t>6641</t>
  </si>
  <si>
    <t>6655</t>
  </si>
  <si>
    <t>6670</t>
  </si>
  <si>
    <t>6671</t>
  </si>
  <si>
    <t>8033</t>
  </si>
  <si>
    <t>8341</t>
  </si>
  <si>
    <t>8404</t>
  </si>
  <si>
    <t>8411</t>
  </si>
  <si>
    <t>8422</t>
  </si>
  <si>
    <t>8427</t>
  </si>
  <si>
    <t>8442</t>
  </si>
  <si>
    <t>8463</t>
  </si>
  <si>
    <t>8464</t>
  </si>
  <si>
    <t>8466</t>
  </si>
  <si>
    <t>美喆-KY</t>
  </si>
  <si>
    <t>8467</t>
  </si>
  <si>
    <t>8473</t>
  </si>
  <si>
    <t>8478</t>
  </si>
  <si>
    <t>8480</t>
  </si>
  <si>
    <t>8481</t>
  </si>
  <si>
    <t>8482</t>
  </si>
  <si>
    <t>8488</t>
  </si>
  <si>
    <t>8497</t>
  </si>
  <si>
    <t>8499</t>
  </si>
  <si>
    <t>9802</t>
  </si>
  <si>
    <t>9902</t>
  </si>
  <si>
    <t>9904</t>
  </si>
  <si>
    <t>9905</t>
  </si>
  <si>
    <t>9907</t>
  </si>
  <si>
    <t>9910</t>
  </si>
  <si>
    <t>9911</t>
  </si>
  <si>
    <t>9914</t>
  </si>
  <si>
    <t>9917</t>
  </si>
  <si>
    <t>9919</t>
  </si>
  <si>
    <t>9921</t>
  </si>
  <si>
    <t>9924</t>
  </si>
  <si>
    <t>9925</t>
  </si>
  <si>
    <t>9927</t>
  </si>
  <si>
    <t>9929</t>
  </si>
  <si>
    <t>9930</t>
  </si>
  <si>
    <t>9933</t>
  </si>
  <si>
    <t>9934</t>
  </si>
  <si>
    <t>9935</t>
  </si>
  <si>
    <t>9938</t>
  </si>
  <si>
    <t>9939</t>
  </si>
  <si>
    <t>9940</t>
  </si>
  <si>
    <t>9941</t>
  </si>
  <si>
    <t>9941A</t>
  </si>
  <si>
    <t>裕融甲特</t>
  </si>
  <si>
    <t>9942</t>
  </si>
  <si>
    <t>9944</t>
  </si>
  <si>
    <t>9945</t>
  </si>
  <si>
    <t>9955</t>
  </si>
  <si>
    <t>1213</t>
  </si>
  <si>
    <t>1418</t>
  </si>
  <si>
    <t>1471</t>
  </si>
  <si>
    <t>1475</t>
  </si>
  <si>
    <t>1512</t>
  </si>
  <si>
    <t>1538</t>
  </si>
  <si>
    <t>2025</t>
  </si>
  <si>
    <t>2321</t>
  </si>
  <si>
    <t>2364</t>
  </si>
  <si>
    <t>2429</t>
  </si>
  <si>
    <t>2434</t>
  </si>
  <si>
    <t>2475</t>
  </si>
  <si>
    <t>華映</t>
  </si>
  <si>
    <t>3043</t>
  </si>
  <si>
    <t>3051</t>
  </si>
  <si>
    <t>3383</t>
  </si>
  <si>
    <t>3519</t>
  </si>
  <si>
    <t>綠能</t>
  </si>
  <si>
    <t>3536</t>
  </si>
  <si>
    <t>3579</t>
  </si>
  <si>
    <t>尚志</t>
  </si>
  <si>
    <t>3686</t>
  </si>
  <si>
    <t>4960</t>
  </si>
  <si>
    <t>5259</t>
  </si>
  <si>
    <t>5906</t>
  </si>
  <si>
    <t>6131</t>
  </si>
  <si>
    <t>6225</t>
  </si>
  <si>
    <t>6289</t>
  </si>
  <si>
    <t>9928</t>
  </si>
  <si>
    <t>020000</t>
  </si>
  <si>
    <t>富邦特選蘋果N</t>
  </si>
  <si>
    <t>020002</t>
  </si>
  <si>
    <t>元富新中國N</t>
  </si>
  <si>
    <t>020004</t>
  </si>
  <si>
    <t>兆豐電菁英30N</t>
  </si>
  <si>
    <t>020005</t>
  </si>
  <si>
    <t>永豐外資50N</t>
  </si>
  <si>
    <t>020006</t>
  </si>
  <si>
    <t>永昌中小300N</t>
  </si>
  <si>
    <t>020007</t>
  </si>
  <si>
    <t>凱基臺灣500N</t>
  </si>
  <si>
    <t>020008</t>
  </si>
  <si>
    <t>元大特股高息N</t>
  </si>
  <si>
    <t>020011</t>
  </si>
  <si>
    <t>統一微波高息20N</t>
  </si>
  <si>
    <t>020012</t>
  </si>
  <si>
    <t>富邦行動通訊N</t>
  </si>
  <si>
    <t>0050</t>
  </si>
  <si>
    <t>元大台灣50</t>
  </si>
  <si>
    <t>0051</t>
  </si>
  <si>
    <t>元大中型100</t>
  </si>
  <si>
    <t>0052</t>
  </si>
  <si>
    <t>富邦科技</t>
  </si>
  <si>
    <t>0053</t>
  </si>
  <si>
    <t>元大電子</t>
  </si>
  <si>
    <t>0054</t>
  </si>
  <si>
    <t>元大台商50</t>
  </si>
  <si>
    <t>0055</t>
  </si>
  <si>
    <t>元大MSCI金融</t>
  </si>
  <si>
    <t>0056</t>
  </si>
  <si>
    <t>元大高股息</t>
  </si>
  <si>
    <t>0057</t>
  </si>
  <si>
    <t>富邦摩台</t>
  </si>
  <si>
    <t>0058</t>
  </si>
  <si>
    <t>富邦發達</t>
  </si>
  <si>
    <t>0059</t>
  </si>
  <si>
    <t>富邦金融</t>
  </si>
  <si>
    <t>0061</t>
  </si>
  <si>
    <t>元大寶滬深</t>
  </si>
  <si>
    <t>006203</t>
  </si>
  <si>
    <t>元大MSCI台灣</t>
  </si>
  <si>
    <t>006204</t>
  </si>
  <si>
    <t>永豐臺灣加權</t>
  </si>
  <si>
    <t>006205</t>
  </si>
  <si>
    <t>富邦上証</t>
  </si>
  <si>
    <t>006206</t>
  </si>
  <si>
    <t>元大上證50</t>
  </si>
  <si>
    <t>006207</t>
  </si>
  <si>
    <t>FH滬深</t>
  </si>
  <si>
    <t>006208</t>
  </si>
  <si>
    <t>富邦台50</t>
  </si>
  <si>
    <t>00625K</t>
  </si>
  <si>
    <t>富邦上証+R</t>
  </si>
  <si>
    <t>00631L</t>
  </si>
  <si>
    <t>元大台灣50正2</t>
  </si>
  <si>
    <t>00632R</t>
  </si>
  <si>
    <t>元大台灣50反1</t>
  </si>
  <si>
    <t>00633L</t>
  </si>
  <si>
    <t>富邦上証正2</t>
  </si>
  <si>
    <t>00634R</t>
  </si>
  <si>
    <t>富邦上証反1</t>
  </si>
  <si>
    <t>00635U</t>
  </si>
  <si>
    <t>元大S&amp;P黃金</t>
  </si>
  <si>
    <t>00636</t>
  </si>
  <si>
    <t>國泰中國A50</t>
  </si>
  <si>
    <t>00636K</t>
  </si>
  <si>
    <t>國泰中國A50+U</t>
  </si>
  <si>
    <t>00637L</t>
  </si>
  <si>
    <t>元大滬深300正2</t>
  </si>
  <si>
    <t>00638R</t>
  </si>
  <si>
    <t>元大滬深300反1</t>
  </si>
  <si>
    <t>00639</t>
  </si>
  <si>
    <t>富邦深100</t>
  </si>
  <si>
    <t>00640L</t>
  </si>
  <si>
    <t>富邦日本正2</t>
  </si>
  <si>
    <t>00641R</t>
  </si>
  <si>
    <t>富邦日本反1</t>
  </si>
  <si>
    <t>00642U</t>
  </si>
  <si>
    <t>元大S&amp;P石油</t>
  </si>
  <si>
    <t>00643</t>
  </si>
  <si>
    <t>群益深証中小</t>
  </si>
  <si>
    <t>00643K</t>
  </si>
  <si>
    <t>群益深証中小+R</t>
  </si>
  <si>
    <t>00645</t>
  </si>
  <si>
    <t>富邦日本</t>
  </si>
  <si>
    <t>00646</t>
  </si>
  <si>
    <t>元大S&amp;P500</t>
  </si>
  <si>
    <t>00647L</t>
  </si>
  <si>
    <t>元大S&amp;P500正2</t>
  </si>
  <si>
    <t>00648R</t>
  </si>
  <si>
    <t>元大S&amp;P500反1</t>
  </si>
  <si>
    <t>00649</t>
  </si>
  <si>
    <t>FH香港</t>
  </si>
  <si>
    <t>00650L</t>
  </si>
  <si>
    <t>FH香港正2</t>
  </si>
  <si>
    <t>00651R</t>
  </si>
  <si>
    <t>FH香港反1</t>
  </si>
  <si>
    <t>00652</t>
  </si>
  <si>
    <t>富邦印度</t>
  </si>
  <si>
    <t>00653L</t>
  </si>
  <si>
    <t>富邦印度正2</t>
  </si>
  <si>
    <t>00654R</t>
  </si>
  <si>
    <t>富邦印度反1</t>
  </si>
  <si>
    <t>00655L</t>
  </si>
  <si>
    <t>國泰中國A50正2</t>
  </si>
  <si>
    <t>00656R</t>
  </si>
  <si>
    <t>國泰中國A50反1</t>
  </si>
  <si>
    <t>00657</t>
  </si>
  <si>
    <t>國泰日經225</t>
  </si>
  <si>
    <t>00657K</t>
  </si>
  <si>
    <t>國泰日經225+U</t>
  </si>
  <si>
    <t>00658L</t>
  </si>
  <si>
    <t>國泰日本正2</t>
  </si>
  <si>
    <t>00659R</t>
  </si>
  <si>
    <t>國泰日本反1</t>
  </si>
  <si>
    <t>00660</t>
  </si>
  <si>
    <t>元大歐洲50</t>
  </si>
  <si>
    <t>00661</t>
  </si>
  <si>
    <t>元大日經225</t>
  </si>
  <si>
    <t>00662</t>
  </si>
  <si>
    <t>富邦NASDAQ</t>
  </si>
  <si>
    <t>00663L</t>
  </si>
  <si>
    <t>國泰臺灣加權正2</t>
  </si>
  <si>
    <t>00664R</t>
  </si>
  <si>
    <t>國泰臺灣加權反1</t>
  </si>
  <si>
    <t>00665L</t>
  </si>
  <si>
    <t>富邦恒生國企正2</t>
  </si>
  <si>
    <t>00666R</t>
  </si>
  <si>
    <t>富邦恒生國企反1</t>
  </si>
  <si>
    <t>00668</t>
  </si>
  <si>
    <t>國泰美國道瓊</t>
  </si>
  <si>
    <t>00668K</t>
  </si>
  <si>
    <t>國泰美國道瓊+U</t>
  </si>
  <si>
    <t>00669R</t>
  </si>
  <si>
    <t>國泰美國道瓊反1</t>
  </si>
  <si>
    <t>00670L</t>
  </si>
  <si>
    <t>富邦NASDAQ正2</t>
  </si>
  <si>
    <t>00671R</t>
  </si>
  <si>
    <t>富邦NASDAQ反1</t>
  </si>
  <si>
    <t>00672L</t>
  </si>
  <si>
    <t>元大S&amp;P原油正2</t>
  </si>
  <si>
    <t>00673R</t>
  </si>
  <si>
    <t>元大S&amp;P原油反1</t>
  </si>
  <si>
    <t>00674R</t>
  </si>
  <si>
    <t>元大S&amp;P黃金反1</t>
  </si>
  <si>
    <t>00675L</t>
  </si>
  <si>
    <t>富邦臺灣加權正2</t>
  </si>
  <si>
    <t>00676R</t>
  </si>
  <si>
    <t>富邦臺灣加權反1</t>
  </si>
  <si>
    <t>00677U</t>
  </si>
  <si>
    <t>富邦VIX</t>
  </si>
  <si>
    <t>00678</t>
  </si>
  <si>
    <t>群益NBI生技</t>
  </si>
  <si>
    <t>00680L</t>
  </si>
  <si>
    <t>元大美債20正2</t>
  </si>
  <si>
    <t>00681R</t>
  </si>
  <si>
    <t>元大美債20反1</t>
  </si>
  <si>
    <t>00682U</t>
  </si>
  <si>
    <t>元大美元指數</t>
  </si>
  <si>
    <t>00683L</t>
  </si>
  <si>
    <t>元大美元指數正2</t>
  </si>
  <si>
    <t>00684R</t>
  </si>
  <si>
    <t>元大美元指數反1</t>
  </si>
  <si>
    <t>00685L</t>
  </si>
  <si>
    <t>群益臺灣加權正2</t>
  </si>
  <si>
    <t>00686R</t>
  </si>
  <si>
    <t>群益臺灣加權反1</t>
  </si>
  <si>
    <t>00688L</t>
  </si>
  <si>
    <t>國泰20年美債正2</t>
  </si>
  <si>
    <t>00689R</t>
  </si>
  <si>
    <t>國泰20年美債反1</t>
  </si>
  <si>
    <t>00690</t>
  </si>
  <si>
    <t>兆豐藍籌30</t>
  </si>
  <si>
    <t>00691R</t>
  </si>
  <si>
    <t>兆豐藍籌30反1</t>
  </si>
  <si>
    <t>00692</t>
  </si>
  <si>
    <t>富邦公司治理</t>
  </si>
  <si>
    <t>00693U</t>
  </si>
  <si>
    <t>華頓S&amp;P黃豆</t>
  </si>
  <si>
    <t>00700</t>
  </si>
  <si>
    <t>富邦恒生國企</t>
  </si>
  <si>
    <t>00701</t>
  </si>
  <si>
    <t>國泰股利精選30</t>
  </si>
  <si>
    <t>00702</t>
  </si>
  <si>
    <t>國泰標普低波高息</t>
  </si>
  <si>
    <t>00703</t>
  </si>
  <si>
    <t>台新MSCI中國</t>
  </si>
  <si>
    <t>00706L</t>
  </si>
  <si>
    <t>元大S&amp;P日圓正2</t>
  </si>
  <si>
    <t>00707R</t>
  </si>
  <si>
    <t>元大S&amp;P日圓反1</t>
  </si>
  <si>
    <t>00708L</t>
  </si>
  <si>
    <t>元大S&amp;P黃金正2</t>
  </si>
  <si>
    <t>00709</t>
  </si>
  <si>
    <t>富邦歐洲</t>
  </si>
  <si>
    <t>00710B</t>
  </si>
  <si>
    <t>FH彭博高收益債</t>
  </si>
  <si>
    <t>00711B</t>
  </si>
  <si>
    <t>FH彭博新興債</t>
  </si>
  <si>
    <t>00712</t>
  </si>
  <si>
    <t>FH富時不動產</t>
  </si>
  <si>
    <t>00713</t>
  </si>
  <si>
    <t>元大台灣高息低波</t>
  </si>
  <si>
    <t>00714</t>
  </si>
  <si>
    <t>群益道瓊美國地產</t>
  </si>
  <si>
    <t>00715L</t>
  </si>
  <si>
    <t>華頓S&amp;P布蘭特正2</t>
  </si>
  <si>
    <t>00716R</t>
  </si>
  <si>
    <t>華頓S&amp;P布蘭特反1</t>
  </si>
  <si>
    <t>00717</t>
  </si>
  <si>
    <t>富邦美國特別股</t>
  </si>
  <si>
    <t>00728</t>
  </si>
  <si>
    <t>第一金工業30</t>
  </si>
  <si>
    <t>00729R</t>
  </si>
  <si>
    <t>第一金工業30反1</t>
  </si>
  <si>
    <t>00730</t>
  </si>
  <si>
    <t>富邦臺灣優質高息</t>
  </si>
  <si>
    <t>00731</t>
  </si>
  <si>
    <t>FH富時高息低波</t>
  </si>
  <si>
    <t>00732</t>
  </si>
  <si>
    <t>國泰RMB短期報酬</t>
  </si>
  <si>
    <t>00733</t>
  </si>
  <si>
    <t>富邦臺灣中小</t>
  </si>
  <si>
    <t>00735</t>
  </si>
  <si>
    <t>國泰臺韓科技</t>
  </si>
  <si>
    <t>00736</t>
  </si>
  <si>
    <t>國泰新興市場</t>
  </si>
  <si>
    <t>00737</t>
  </si>
  <si>
    <t>國泰AI+Robo</t>
  </si>
  <si>
    <t>00738U</t>
  </si>
  <si>
    <t>元大道瓊白銀</t>
  </si>
  <si>
    <t>00739</t>
  </si>
  <si>
    <t>元大MSCI</t>
  </si>
  <si>
    <t>00742</t>
  </si>
  <si>
    <t>新光內需收益</t>
  </si>
  <si>
    <t>00743</t>
  </si>
  <si>
    <t>國泰中國A150</t>
  </si>
  <si>
    <t>00752</t>
  </si>
  <si>
    <t>中信中國50</t>
  </si>
  <si>
    <t>00753L</t>
  </si>
  <si>
    <t>中信中國50正2</t>
  </si>
  <si>
    <t>00757</t>
  </si>
  <si>
    <t>統一FANG+</t>
  </si>
  <si>
    <t>00762</t>
  </si>
  <si>
    <t>元大全球AI</t>
  </si>
  <si>
    <t>00763U</t>
  </si>
  <si>
    <t>國票道瓊銅</t>
  </si>
  <si>
    <t>00766L</t>
  </si>
  <si>
    <t>台新MSCI中國正2</t>
  </si>
  <si>
    <t>00767</t>
  </si>
  <si>
    <t>FH美國金融股</t>
  </si>
  <si>
    <t>00770</t>
  </si>
  <si>
    <t>國泰北美科技</t>
  </si>
  <si>
    <t>00771</t>
  </si>
  <si>
    <t>元大US高息特別股</t>
  </si>
  <si>
    <t>00774B</t>
  </si>
  <si>
    <t>新光中國政金綠債</t>
  </si>
  <si>
    <t>00774C</t>
  </si>
  <si>
    <t>新光中政金綠債+R</t>
  </si>
  <si>
    <t>00775B</t>
  </si>
  <si>
    <t>新光投等債15+</t>
  </si>
  <si>
    <t>00776</t>
  </si>
  <si>
    <t>新光ICE美國權值</t>
  </si>
  <si>
    <t>00783</t>
  </si>
  <si>
    <t>富邦中証500</t>
  </si>
  <si>
    <t>008201</t>
  </si>
  <si>
    <t>BP上證50</t>
  </si>
  <si>
    <t>00830</t>
  </si>
  <si>
    <t>國泰費城半導體</t>
  </si>
  <si>
    <t>00850</t>
  </si>
  <si>
    <t>元大臺灣ESG永續</t>
  </si>
  <si>
    <t>00851</t>
  </si>
  <si>
    <t>台新全球AI</t>
  </si>
  <si>
    <t>00852L</t>
  </si>
  <si>
    <t>國泰美國道瓊正2</t>
  </si>
  <si>
    <t>00861</t>
  </si>
  <si>
    <t>元大全球未來通訊</t>
  </si>
  <si>
    <t>00865B</t>
  </si>
  <si>
    <t>國泰US短期公債</t>
  </si>
  <si>
    <t>00866</t>
  </si>
  <si>
    <t>新光Shiller</t>
  </si>
  <si>
    <t>01001T</t>
  </si>
  <si>
    <t>土銀富邦R1</t>
  </si>
  <si>
    <t>01002T</t>
  </si>
  <si>
    <t>土銀國泰R1</t>
  </si>
  <si>
    <t>01003T</t>
  </si>
  <si>
    <t>兆豐新光R1</t>
  </si>
  <si>
    <t>01004T</t>
  </si>
  <si>
    <t>土銀富邦R2</t>
  </si>
  <si>
    <t>01007T</t>
  </si>
  <si>
    <t>兆豐國泰R2</t>
  </si>
  <si>
    <t>01009T</t>
  </si>
  <si>
    <t>王道圓滿R1</t>
  </si>
  <si>
    <t>01010T</t>
  </si>
  <si>
    <t>京城樂富R1</t>
  </si>
  <si>
    <t>9103</t>
  </si>
  <si>
    <t>910322</t>
  </si>
  <si>
    <t>910482</t>
  </si>
  <si>
    <t>9105</t>
  </si>
  <si>
    <t>910708</t>
  </si>
  <si>
    <t>恒大健-DR</t>
  </si>
  <si>
    <t>910861</t>
  </si>
  <si>
    <t>9110</t>
  </si>
  <si>
    <t>911608</t>
  </si>
  <si>
    <t>911616</t>
  </si>
  <si>
    <t>911619</t>
  </si>
  <si>
    <t>耀傑-DR</t>
  </si>
  <si>
    <t>911622</t>
  </si>
  <si>
    <t>911868</t>
  </si>
  <si>
    <t>912000</t>
  </si>
  <si>
    <t>912398</t>
  </si>
  <si>
    <t>9136</t>
  </si>
  <si>
    <t>9157</t>
  </si>
  <si>
    <t>陽光能源-DR</t>
  </si>
  <si>
    <t>9188</t>
  </si>
  <si>
    <t>元大富櫃50</t>
  </si>
  <si>
    <t>唐榮</t>
  </si>
  <si>
    <t xml:space="preserve"> ---</t>
  </si>
  <si>
    <t>倚強股份</t>
  </si>
  <si>
    <t>頂晶科</t>
  </si>
  <si>
    <t>恒耀</t>
  </si>
  <si>
    <t>全銓</t>
  </si>
  <si>
    <t>1260</t>
  </si>
  <si>
    <t>1269</t>
  </si>
  <si>
    <t>1342</t>
  </si>
  <si>
    <t>1563</t>
  </si>
  <si>
    <t>1585</t>
  </si>
  <si>
    <t>1594</t>
  </si>
  <si>
    <t>1780</t>
  </si>
  <si>
    <t>1814</t>
  </si>
  <si>
    <t>東光訊</t>
  </si>
  <si>
    <t>1819</t>
  </si>
  <si>
    <t>2071</t>
  </si>
  <si>
    <t>2237</t>
  </si>
  <si>
    <t>2241</t>
  </si>
  <si>
    <t>2245</t>
  </si>
  <si>
    <t>2246</t>
  </si>
  <si>
    <t>2247</t>
  </si>
  <si>
    <t>2248</t>
  </si>
  <si>
    <t>2249</t>
  </si>
  <si>
    <t>2599</t>
  </si>
  <si>
    <t>2721</t>
  </si>
  <si>
    <t>2730</t>
  </si>
  <si>
    <t>2733</t>
  </si>
  <si>
    <t>維格</t>
  </si>
  <si>
    <t>2738</t>
  </si>
  <si>
    <t>曼哈頓-KY</t>
  </si>
  <si>
    <t>2741</t>
  </si>
  <si>
    <t>2743</t>
  </si>
  <si>
    <t>2750</t>
  </si>
  <si>
    <t>2752</t>
  </si>
  <si>
    <t>2754</t>
  </si>
  <si>
    <t>2755</t>
  </si>
  <si>
    <t>2938</t>
  </si>
  <si>
    <t>2942</t>
  </si>
  <si>
    <t>2945</t>
  </si>
  <si>
    <t>3097</t>
  </si>
  <si>
    <t>3117</t>
  </si>
  <si>
    <t>3138</t>
  </si>
  <si>
    <t>3150</t>
  </si>
  <si>
    <t>3158</t>
  </si>
  <si>
    <t>3168</t>
  </si>
  <si>
    <t>3184</t>
  </si>
  <si>
    <t>3349</t>
  </si>
  <si>
    <t>3357</t>
  </si>
  <si>
    <t>3377</t>
  </si>
  <si>
    <t>3391</t>
  </si>
  <si>
    <t>3429</t>
  </si>
  <si>
    <t>3430</t>
  </si>
  <si>
    <t>3485</t>
  </si>
  <si>
    <t>3543</t>
  </si>
  <si>
    <t>3585</t>
  </si>
  <si>
    <t>3592</t>
  </si>
  <si>
    <t>3595</t>
  </si>
  <si>
    <t>3597</t>
  </si>
  <si>
    <t>3601</t>
  </si>
  <si>
    <t>3603</t>
  </si>
  <si>
    <t>3627</t>
  </si>
  <si>
    <t>3633</t>
  </si>
  <si>
    <t>3659</t>
  </si>
  <si>
    <t>3674</t>
  </si>
  <si>
    <t>3678</t>
  </si>
  <si>
    <t>3688</t>
  </si>
  <si>
    <t>4117</t>
  </si>
  <si>
    <t>4132</t>
  </si>
  <si>
    <t>4134</t>
  </si>
  <si>
    <t>台欣生</t>
  </si>
  <si>
    <t>4135</t>
  </si>
  <si>
    <t>天賜爾</t>
  </si>
  <si>
    <t>4136</t>
  </si>
  <si>
    <t>4150</t>
  </si>
  <si>
    <t>4151</t>
  </si>
  <si>
    <t>4159</t>
  </si>
  <si>
    <t>泉盛</t>
  </si>
  <si>
    <t>4166</t>
  </si>
  <si>
    <t>4169</t>
  </si>
  <si>
    <t>4170</t>
  </si>
  <si>
    <t>4172</t>
  </si>
  <si>
    <t>4177</t>
  </si>
  <si>
    <t>4186</t>
  </si>
  <si>
    <t>4191</t>
  </si>
  <si>
    <t>4193</t>
  </si>
  <si>
    <t>喬本</t>
  </si>
  <si>
    <t>4194</t>
  </si>
  <si>
    <t>4195</t>
  </si>
  <si>
    <t>4197</t>
  </si>
  <si>
    <t>4427</t>
  </si>
  <si>
    <t>4431</t>
  </si>
  <si>
    <t>4440</t>
  </si>
  <si>
    <t>4537</t>
  </si>
  <si>
    <t>4538</t>
  </si>
  <si>
    <t>4544</t>
  </si>
  <si>
    <t>4546</t>
  </si>
  <si>
    <t>4553</t>
  </si>
  <si>
    <t>4558</t>
  </si>
  <si>
    <t>4559</t>
  </si>
  <si>
    <t>4565</t>
  </si>
  <si>
    <t>4570</t>
  </si>
  <si>
    <t>4573</t>
  </si>
  <si>
    <t>4575</t>
  </si>
  <si>
    <t>4578</t>
  </si>
  <si>
    <t>4580</t>
  </si>
  <si>
    <t>4582</t>
  </si>
  <si>
    <t>4730</t>
  </si>
  <si>
    <t>4732</t>
  </si>
  <si>
    <t>4738</t>
  </si>
  <si>
    <t>4752</t>
  </si>
  <si>
    <t>4760</t>
  </si>
  <si>
    <t>4765</t>
  </si>
  <si>
    <t>4768</t>
  </si>
  <si>
    <t>4923</t>
  </si>
  <si>
    <t>4925</t>
  </si>
  <si>
    <t>4931</t>
  </si>
  <si>
    <t>4945</t>
  </si>
  <si>
    <t>4951</t>
  </si>
  <si>
    <t>4980</t>
  </si>
  <si>
    <t>5216</t>
  </si>
  <si>
    <t>5222</t>
  </si>
  <si>
    <t>5228</t>
  </si>
  <si>
    <t>5233</t>
  </si>
  <si>
    <t>5240</t>
  </si>
  <si>
    <t>5244</t>
  </si>
  <si>
    <t>5248</t>
  </si>
  <si>
    <t>5254</t>
  </si>
  <si>
    <t>5256</t>
  </si>
  <si>
    <t>5262</t>
  </si>
  <si>
    <t>5267</t>
  </si>
  <si>
    <t>5271</t>
  </si>
  <si>
    <t>5277</t>
  </si>
  <si>
    <t>5286</t>
  </si>
  <si>
    <t>育駿</t>
  </si>
  <si>
    <t>5294</t>
  </si>
  <si>
    <t>5297</t>
  </si>
  <si>
    <t>5859</t>
  </si>
  <si>
    <t>5863</t>
  </si>
  <si>
    <t>6027</t>
  </si>
  <si>
    <t>6028</t>
  </si>
  <si>
    <t>6272</t>
  </si>
  <si>
    <t>6403</t>
  </si>
  <si>
    <t>6407</t>
  </si>
  <si>
    <t>6418</t>
  </si>
  <si>
    <t>6423</t>
  </si>
  <si>
    <t>6425</t>
  </si>
  <si>
    <t>6428</t>
  </si>
  <si>
    <t>6434</t>
  </si>
  <si>
    <t>6445</t>
  </si>
  <si>
    <t>經絡醫</t>
  </si>
  <si>
    <t>6467</t>
  </si>
  <si>
    <t>泰合藥</t>
  </si>
  <si>
    <t>6468</t>
  </si>
  <si>
    <t>6473</t>
  </si>
  <si>
    <t>6474</t>
  </si>
  <si>
    <t>6475</t>
  </si>
  <si>
    <t>6490</t>
  </si>
  <si>
    <t>凌昇科</t>
  </si>
  <si>
    <t>6493</t>
  </si>
  <si>
    <t>6495</t>
  </si>
  <si>
    <t>6498</t>
  </si>
  <si>
    <t>6511</t>
  </si>
  <si>
    <t>綠晁</t>
  </si>
  <si>
    <t>6515</t>
  </si>
  <si>
    <t>6516</t>
  </si>
  <si>
    <t>勤崴</t>
  </si>
  <si>
    <t>6518</t>
  </si>
  <si>
    <t>6527</t>
  </si>
  <si>
    <t>6529</t>
  </si>
  <si>
    <t>6534</t>
  </si>
  <si>
    <t>6536</t>
  </si>
  <si>
    <t>6539</t>
  </si>
  <si>
    <t>6543</t>
  </si>
  <si>
    <t>6545</t>
  </si>
  <si>
    <t>6549</t>
  </si>
  <si>
    <t>6550</t>
  </si>
  <si>
    <t>6553</t>
  </si>
  <si>
    <t>豐華</t>
  </si>
  <si>
    <t>6555</t>
  </si>
  <si>
    <t>6559</t>
  </si>
  <si>
    <t>6562</t>
  </si>
  <si>
    <t>6564</t>
  </si>
  <si>
    <t>6565</t>
  </si>
  <si>
    <t>6566</t>
  </si>
  <si>
    <t>6572</t>
  </si>
  <si>
    <t>6575</t>
  </si>
  <si>
    <t>6580</t>
  </si>
  <si>
    <t>6583</t>
  </si>
  <si>
    <t>6584</t>
  </si>
  <si>
    <t>6585</t>
  </si>
  <si>
    <t>6586</t>
  </si>
  <si>
    <t>6588</t>
  </si>
  <si>
    <t>東典光電</t>
  </si>
  <si>
    <t>6589</t>
  </si>
  <si>
    <t>6595</t>
  </si>
  <si>
    <t>6597</t>
  </si>
  <si>
    <t>6598</t>
  </si>
  <si>
    <t>6599</t>
  </si>
  <si>
    <t>6610</t>
  </si>
  <si>
    <t>6611</t>
  </si>
  <si>
    <t>6617</t>
  </si>
  <si>
    <t>6618</t>
  </si>
  <si>
    <t>6620</t>
  </si>
  <si>
    <t>6621</t>
  </si>
  <si>
    <t>6622</t>
  </si>
  <si>
    <t>6624</t>
  </si>
  <si>
    <t>6626</t>
  </si>
  <si>
    <t>6633</t>
  </si>
  <si>
    <t>6634</t>
  </si>
  <si>
    <t>6637</t>
  </si>
  <si>
    <t>6638</t>
  </si>
  <si>
    <t>6639</t>
  </si>
  <si>
    <t>6642</t>
  </si>
  <si>
    <t>6643</t>
  </si>
  <si>
    <t>6645</t>
  </si>
  <si>
    <t>6648</t>
  </si>
  <si>
    <t>6649</t>
  </si>
  <si>
    <t>6650</t>
  </si>
  <si>
    <t>6651</t>
  </si>
  <si>
    <t>6652</t>
  </si>
  <si>
    <t>6653</t>
  </si>
  <si>
    <t>嘉貿</t>
  </si>
  <si>
    <t>6656</t>
  </si>
  <si>
    <t>宬世環宇</t>
  </si>
  <si>
    <t>6657</t>
  </si>
  <si>
    <t>6661</t>
  </si>
  <si>
    <t>6662</t>
  </si>
  <si>
    <t>6665</t>
  </si>
  <si>
    <t>6673</t>
  </si>
  <si>
    <t>6677</t>
  </si>
  <si>
    <t>6679</t>
  </si>
  <si>
    <t>6680</t>
  </si>
  <si>
    <t>6682</t>
  </si>
  <si>
    <t>6683</t>
  </si>
  <si>
    <t>6684</t>
  </si>
  <si>
    <t>6688</t>
  </si>
  <si>
    <t>6689</t>
  </si>
  <si>
    <t>6690</t>
  </si>
  <si>
    <t>6691</t>
  </si>
  <si>
    <t>6692</t>
  </si>
  <si>
    <t>6693</t>
  </si>
  <si>
    <t>6695</t>
  </si>
  <si>
    <t>6696</t>
  </si>
  <si>
    <t>6697</t>
  </si>
  <si>
    <t>6699</t>
  </si>
  <si>
    <t>6703</t>
  </si>
  <si>
    <t>6705</t>
  </si>
  <si>
    <t>6709</t>
  </si>
  <si>
    <t>6712</t>
  </si>
  <si>
    <t>6713</t>
  </si>
  <si>
    <t>6716</t>
  </si>
  <si>
    <t>6717</t>
  </si>
  <si>
    <t>6720</t>
  </si>
  <si>
    <t>6721</t>
  </si>
  <si>
    <t>6723</t>
  </si>
  <si>
    <t>6724</t>
  </si>
  <si>
    <t>6727</t>
  </si>
  <si>
    <t>6728</t>
  </si>
  <si>
    <t>6729</t>
  </si>
  <si>
    <t>6730</t>
  </si>
  <si>
    <t>6731</t>
  </si>
  <si>
    <t>6732</t>
  </si>
  <si>
    <t>6733</t>
  </si>
  <si>
    <t>6734</t>
  </si>
  <si>
    <t>6735</t>
  </si>
  <si>
    <t>6736</t>
  </si>
  <si>
    <t>6737</t>
  </si>
  <si>
    <t>6738</t>
  </si>
  <si>
    <t>6740</t>
  </si>
  <si>
    <t>6743</t>
  </si>
  <si>
    <t>6744</t>
  </si>
  <si>
    <t>6747</t>
  </si>
  <si>
    <t>6750</t>
  </si>
  <si>
    <t>6751</t>
  </si>
  <si>
    <t>6754</t>
  </si>
  <si>
    <t>6755</t>
  </si>
  <si>
    <t>6756</t>
  </si>
  <si>
    <t>6757</t>
  </si>
  <si>
    <t>6761</t>
  </si>
  <si>
    <t>6762</t>
  </si>
  <si>
    <t>6764</t>
  </si>
  <si>
    <t>6767</t>
  </si>
  <si>
    <t>7419</t>
  </si>
  <si>
    <t>7443</t>
  </si>
  <si>
    <t>7516</t>
  </si>
  <si>
    <t>7551</t>
  </si>
  <si>
    <t>7556</t>
  </si>
  <si>
    <t>意德士</t>
  </si>
  <si>
    <t>8041</t>
  </si>
  <si>
    <t>東精電</t>
  </si>
  <si>
    <t>8045</t>
  </si>
  <si>
    <t>8089</t>
  </si>
  <si>
    <t>8115</t>
  </si>
  <si>
    <t>8119</t>
  </si>
  <si>
    <t>8122</t>
  </si>
  <si>
    <t>神通</t>
  </si>
  <si>
    <t>8127</t>
  </si>
  <si>
    <t>利汎</t>
  </si>
  <si>
    <t>8179</t>
  </si>
  <si>
    <t>8281</t>
  </si>
  <si>
    <t>8284</t>
  </si>
  <si>
    <t>8298</t>
  </si>
  <si>
    <t>8329</t>
  </si>
  <si>
    <t>8359</t>
  </si>
  <si>
    <t>8438</t>
  </si>
  <si>
    <t>8458</t>
  </si>
  <si>
    <t>8465</t>
  </si>
  <si>
    <t>8479</t>
  </si>
  <si>
    <t>台灣藝術</t>
  </si>
  <si>
    <t>8487</t>
  </si>
  <si>
    <t>8490</t>
  </si>
  <si>
    <t>8491</t>
  </si>
  <si>
    <t>8492</t>
  </si>
  <si>
    <t>8495</t>
  </si>
  <si>
    <t>8496</t>
  </si>
  <si>
    <t>台霖</t>
  </si>
  <si>
    <t>9957</t>
  </si>
  <si>
    <t>營業收入</t>
  </si>
  <si>
    <t>營業利益</t>
  </si>
  <si>
    <t>營業外收入及支出合計</t>
  </si>
  <si>
    <t>稅後純益</t>
  </si>
  <si>
    <t>本期末</t>
  </si>
  <si>
    <t>每股稅後純益(元)</t>
  </si>
  <si>
    <t>每  股</t>
  </si>
  <si>
    <t>淨值佔</t>
  </si>
  <si>
    <t>流動</t>
  </si>
  <si>
    <t>速動</t>
  </si>
  <si>
    <t>Operating Revenues</t>
  </si>
  <si>
    <t>Income (Lose) from Operation</t>
  </si>
  <si>
    <t>Total non-operating income and expenses</t>
  </si>
  <si>
    <t>Net Income after Tax</t>
  </si>
  <si>
    <t>Net Income Per Share</t>
  </si>
  <si>
    <t>淨 值</t>
  </si>
  <si>
    <t>比率</t>
  </si>
  <si>
    <t>Code&amp;Name</t>
  </si>
  <si>
    <t>增減</t>
  </si>
  <si>
    <t>Capital Stock</t>
  </si>
  <si>
    <t>(元)</t>
  </si>
  <si>
    <t>(%)</t>
  </si>
  <si>
    <t>Quick</t>
  </si>
  <si>
    <t>End of Period</t>
  </si>
  <si>
    <t>(A)</t>
  </si>
  <si>
    <t>(B)</t>
  </si>
  <si>
    <t>(C)</t>
  </si>
  <si>
    <t>Ratio</t>
  </si>
  <si>
    <t>-</t>
  </si>
  <si>
    <t>&lt;&lt;&lt;&lt;&lt;</t>
  </si>
  <si>
    <t>鈞興-KY　</t>
  </si>
  <si>
    <t>凱羿-KY　</t>
  </si>
  <si>
    <t>羅麗芬-KY　</t>
  </si>
  <si>
    <t>鈞泰國際</t>
  </si>
  <si>
    <t>商億-KY　</t>
  </si>
  <si>
    <t>信義房屋</t>
  </si>
  <si>
    <t>1264</t>
  </si>
  <si>
    <t>1796</t>
  </si>
  <si>
    <t>4205</t>
  </si>
  <si>
    <t>4207</t>
  </si>
  <si>
    <t>4712</t>
  </si>
  <si>
    <t>4303</t>
  </si>
  <si>
    <t>4304</t>
  </si>
  <si>
    <t>4305</t>
  </si>
  <si>
    <t>8354</t>
  </si>
  <si>
    <t>9950</t>
  </si>
  <si>
    <t>4401</t>
  </si>
  <si>
    <t>4402</t>
  </si>
  <si>
    <t>4406</t>
  </si>
  <si>
    <t>4413</t>
  </si>
  <si>
    <t>4417</t>
  </si>
  <si>
    <t>4419</t>
  </si>
  <si>
    <t>4420</t>
  </si>
  <si>
    <t>4429</t>
  </si>
  <si>
    <t>4432</t>
  </si>
  <si>
    <t>4433</t>
  </si>
  <si>
    <t>1570</t>
  </si>
  <si>
    <t>1580</t>
  </si>
  <si>
    <t>1586</t>
  </si>
  <si>
    <t>1597</t>
  </si>
  <si>
    <t>1599</t>
  </si>
  <si>
    <t>2066</t>
  </si>
  <si>
    <t>2067</t>
  </si>
  <si>
    <t>2070</t>
  </si>
  <si>
    <t>2230</t>
  </si>
  <si>
    <t>2235</t>
  </si>
  <si>
    <t>3162</t>
  </si>
  <si>
    <t>3178</t>
  </si>
  <si>
    <t>3226</t>
  </si>
  <si>
    <t>3379</t>
  </si>
  <si>
    <t>3426</t>
  </si>
  <si>
    <t>4502</t>
  </si>
  <si>
    <t>4503</t>
  </si>
  <si>
    <t>4506</t>
  </si>
  <si>
    <t>4510</t>
  </si>
  <si>
    <t>4513</t>
  </si>
  <si>
    <t>4523</t>
  </si>
  <si>
    <t>4527</t>
  </si>
  <si>
    <t>4528</t>
  </si>
  <si>
    <t>4530</t>
  </si>
  <si>
    <t>4533</t>
  </si>
  <si>
    <t>4534</t>
  </si>
  <si>
    <t>4535</t>
  </si>
  <si>
    <t>4543</t>
  </si>
  <si>
    <t>4549</t>
  </si>
  <si>
    <t>4550</t>
  </si>
  <si>
    <t>4561</t>
  </si>
  <si>
    <t>4563</t>
  </si>
  <si>
    <t>4568</t>
  </si>
  <si>
    <t>6122</t>
  </si>
  <si>
    <t>+++++</t>
  </si>
  <si>
    <t>6603</t>
  </si>
  <si>
    <t>6609</t>
  </si>
  <si>
    <t>8027</t>
  </si>
  <si>
    <t>8083</t>
  </si>
  <si>
    <t>8107</t>
  </si>
  <si>
    <t>8255</t>
  </si>
  <si>
    <t>9951</t>
  </si>
  <si>
    <t>2061</t>
  </si>
  <si>
    <t>4609</t>
  </si>
  <si>
    <t>2035</t>
  </si>
  <si>
    <t>2063</t>
  </si>
  <si>
    <t>2064</t>
  </si>
  <si>
    <t>2065</t>
  </si>
  <si>
    <t>5009</t>
  </si>
  <si>
    <t>5011</t>
  </si>
  <si>
    <t>5013</t>
  </si>
  <si>
    <t>5014</t>
  </si>
  <si>
    <t>5015</t>
  </si>
  <si>
    <t>5016</t>
  </si>
  <si>
    <t>6248</t>
  </si>
  <si>
    <t>8349</t>
  </si>
  <si>
    <t>8415</t>
  </si>
  <si>
    <t>8930</t>
  </si>
  <si>
    <t>9962</t>
  </si>
  <si>
    <t>5102</t>
  </si>
  <si>
    <t>2596</t>
  </si>
  <si>
    <t>3188</t>
  </si>
  <si>
    <t>3489</t>
  </si>
  <si>
    <t>4113</t>
  </si>
  <si>
    <t>4416</t>
  </si>
  <si>
    <t>4907</t>
  </si>
  <si>
    <t>5206</t>
  </si>
  <si>
    <t>5213</t>
  </si>
  <si>
    <t>5324</t>
  </si>
  <si>
    <t>-----</t>
  </si>
  <si>
    <t>5455</t>
  </si>
  <si>
    <t>5508</t>
  </si>
  <si>
    <t>5511</t>
  </si>
  <si>
    <t>5512</t>
  </si>
  <si>
    <t>5514</t>
  </si>
  <si>
    <t>5516</t>
  </si>
  <si>
    <t>5520</t>
  </si>
  <si>
    <t>5523</t>
  </si>
  <si>
    <t>5529</t>
  </si>
  <si>
    <t>6171</t>
  </si>
  <si>
    <t>6186</t>
  </si>
  <si>
    <t>6212</t>
  </si>
  <si>
    <t>6219</t>
  </si>
  <si>
    <t>6264</t>
  </si>
  <si>
    <t>8424</t>
  </si>
  <si>
    <t>2641</t>
  </si>
  <si>
    <t>2643</t>
  </si>
  <si>
    <t>5601</t>
  </si>
  <si>
    <t>5603</t>
  </si>
  <si>
    <t>5604</t>
  </si>
  <si>
    <t>5609</t>
  </si>
  <si>
    <t>1259</t>
  </si>
  <si>
    <t>1268</t>
  </si>
  <si>
    <t>2718</t>
  </si>
  <si>
    <t>2719</t>
  </si>
  <si>
    <t>2729</t>
  </si>
  <si>
    <t>2732</t>
  </si>
  <si>
    <t>2734</t>
  </si>
  <si>
    <t>2736</t>
  </si>
  <si>
    <t>2740</t>
  </si>
  <si>
    <t>2745</t>
  </si>
  <si>
    <t>3252</t>
  </si>
  <si>
    <t>3522</t>
  </si>
  <si>
    <t>5301</t>
  </si>
  <si>
    <t>5364</t>
  </si>
  <si>
    <t>5701</t>
  </si>
  <si>
    <t>5703</t>
  </si>
  <si>
    <t>5704</t>
  </si>
  <si>
    <t>8077</t>
  </si>
  <si>
    <t>2916</t>
  </si>
  <si>
    <t>2937</t>
  </si>
  <si>
    <t>3171</t>
  </si>
  <si>
    <t>5902</t>
  </si>
  <si>
    <t>5903</t>
  </si>
  <si>
    <t>5904</t>
  </si>
  <si>
    <t>5905</t>
  </si>
  <si>
    <t>6195</t>
  </si>
  <si>
    <t>8066</t>
  </si>
  <si>
    <t>8433</t>
  </si>
  <si>
    <t>8941</t>
  </si>
  <si>
    <t>9960</t>
  </si>
  <si>
    <t>1584</t>
  </si>
  <si>
    <t>2221</t>
  </si>
  <si>
    <t>2640</t>
  </si>
  <si>
    <t>3284</t>
  </si>
  <si>
    <t>4430</t>
  </si>
  <si>
    <t>4529</t>
  </si>
  <si>
    <t>4541</t>
  </si>
  <si>
    <t>4556</t>
  </si>
  <si>
    <t>4950</t>
  </si>
  <si>
    <t>5306</t>
  </si>
  <si>
    <t>5398</t>
  </si>
  <si>
    <t>5530</t>
  </si>
  <si>
    <t>6179</t>
  </si>
  <si>
    <t>6199</t>
  </si>
  <si>
    <t>6236</t>
  </si>
  <si>
    <t>6803</t>
  </si>
  <si>
    <t>8342</t>
  </si>
  <si>
    <t>8390</t>
  </si>
  <si>
    <t>8401</t>
  </si>
  <si>
    <t>8420</t>
  </si>
  <si>
    <t>8421</t>
  </si>
  <si>
    <t>8435</t>
  </si>
  <si>
    <t>8440</t>
  </si>
  <si>
    <t>8476</t>
  </si>
  <si>
    <t>8905</t>
  </si>
  <si>
    <t>8906</t>
  </si>
  <si>
    <t>8916</t>
  </si>
  <si>
    <t>8921</t>
  </si>
  <si>
    <t>8924</t>
  </si>
  <si>
    <t>8928</t>
  </si>
  <si>
    <t>8929</t>
  </si>
  <si>
    <t>8932</t>
  </si>
  <si>
    <t>8933</t>
  </si>
  <si>
    <t>8934</t>
  </si>
  <si>
    <t>8935</t>
  </si>
  <si>
    <t>8936</t>
  </si>
  <si>
    <t>8937</t>
  </si>
  <si>
    <t>8938</t>
  </si>
  <si>
    <t>8942</t>
  </si>
  <si>
    <t>1565</t>
  </si>
  <si>
    <t>1593</t>
  </si>
  <si>
    <t>1752</t>
  </si>
  <si>
    <t>1777</t>
  </si>
  <si>
    <t>1781</t>
  </si>
  <si>
    <t>1784</t>
  </si>
  <si>
    <t>1788</t>
  </si>
  <si>
    <t>1799</t>
  </si>
  <si>
    <t>1813</t>
  </si>
  <si>
    <t>3118</t>
  </si>
  <si>
    <t>3176</t>
  </si>
  <si>
    <t>3205</t>
  </si>
  <si>
    <t>3218</t>
  </si>
  <si>
    <t>4102</t>
  </si>
  <si>
    <t>4105</t>
  </si>
  <si>
    <t>4107</t>
  </si>
  <si>
    <t>4109</t>
  </si>
  <si>
    <t>4111</t>
  </si>
  <si>
    <t>4114</t>
  </si>
  <si>
    <t>4116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</si>
  <si>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</si>
  <si>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</si>
  <si>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</si>
  <si>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</si>
  <si>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</si>
  <si>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</si>
  <si>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</si>
  <si>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</si>
  <si>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</si>
  <si>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4138</t>
  </si>
  <si>
    <t>4147</t>
  </si>
  <si>
    <t>4152</t>
  </si>
  <si>
    <t>4153</t>
  </si>
  <si>
    <t>4160</t>
  </si>
  <si>
    <t>4161</t>
  </si>
  <si>
    <t>4162</t>
  </si>
  <si>
    <t>4163</t>
  </si>
  <si>
    <t>4167</t>
  </si>
  <si>
    <t>4168</t>
  </si>
  <si>
    <t>4173</t>
  </si>
  <si>
    <t>4174</t>
  </si>
  <si>
    <t>4175</t>
  </si>
  <si>
    <t>4183</t>
  </si>
  <si>
    <t>4188</t>
  </si>
  <si>
    <t>4192</t>
  </si>
  <si>
    <t>4198</t>
  </si>
  <si>
    <t>4726</t>
  </si>
  <si>
    <t>4728</t>
  </si>
  <si>
    <t>4735</t>
  </si>
  <si>
    <t>4736</t>
  </si>
  <si>
    <t>4743</t>
  </si>
  <si>
    <t>4744</t>
  </si>
  <si>
    <t>4747</t>
  </si>
  <si>
    <t>4911</t>
  </si>
  <si>
    <t>5312</t>
  </si>
  <si>
    <t>6130</t>
  </si>
  <si>
    <t>6242</t>
  </si>
  <si>
    <t>6446</t>
  </si>
  <si>
    <t>6461</t>
  </si>
  <si>
    <t>6469</t>
  </si>
  <si>
    <t>6472</t>
  </si>
  <si>
    <t>6492</t>
  </si>
  <si>
    <t>6496</t>
  </si>
  <si>
    <t>6499</t>
  </si>
  <si>
    <t>6523</t>
  </si>
  <si>
    <t>6535</t>
  </si>
  <si>
    <t>6547</t>
  </si>
  <si>
    <t>*****</t>
  </si>
  <si>
    <t>6569</t>
  </si>
  <si>
    <t>6574</t>
  </si>
  <si>
    <t>6576</t>
  </si>
  <si>
    <t>6612</t>
  </si>
  <si>
    <t>6615</t>
  </si>
  <si>
    <t>8279</t>
  </si>
  <si>
    <t>8403</t>
  </si>
  <si>
    <t>8409</t>
  </si>
  <si>
    <t>8432</t>
  </si>
  <si>
    <t>8436</t>
  </si>
  <si>
    <t>8908</t>
  </si>
  <si>
    <t>8917</t>
  </si>
  <si>
    <t>8927</t>
  </si>
  <si>
    <t>8931</t>
  </si>
  <si>
    <t>3073</t>
  </si>
  <si>
    <t>3105</t>
  </si>
  <si>
    <t>3122</t>
  </si>
  <si>
    <t>3141</t>
  </si>
  <si>
    <t>3169</t>
  </si>
  <si>
    <t>3219</t>
  </si>
  <si>
    <t>3227</t>
  </si>
  <si>
    <t>3228</t>
  </si>
  <si>
    <t>3259</t>
  </si>
  <si>
    <t>3260</t>
  </si>
  <si>
    <t>3264</t>
  </si>
  <si>
    <t>3265</t>
  </si>
  <si>
    <t>3268</t>
  </si>
  <si>
    <t>3317</t>
  </si>
  <si>
    <t>3372</t>
  </si>
  <si>
    <t>3374</t>
  </si>
  <si>
    <t>3438</t>
  </si>
  <si>
    <t>3527</t>
  </si>
  <si>
    <t>3529</t>
  </si>
  <si>
    <t>3555</t>
  </si>
  <si>
    <t>3556</t>
  </si>
  <si>
    <t>3567</t>
  </si>
  <si>
    <t>3581</t>
  </si>
  <si>
    <t>3675</t>
  </si>
  <si>
    <t>3680</t>
  </si>
  <si>
    <t>3707</t>
  </si>
  <si>
    <t>4973</t>
  </si>
  <si>
    <t>5272</t>
  </si>
  <si>
    <t>5274</t>
  </si>
  <si>
    <t>5299</t>
  </si>
  <si>
    <t>5302</t>
  </si>
  <si>
    <t>5314</t>
  </si>
  <si>
    <t>5344</t>
  </si>
  <si>
    <t>5347</t>
  </si>
  <si>
    <t>5351</t>
  </si>
  <si>
    <t>5425</t>
  </si>
  <si>
    <t>5468</t>
  </si>
  <si>
    <t>5483</t>
  </si>
  <si>
    <t>5487</t>
  </si>
  <si>
    <t>6103</t>
  </si>
  <si>
    <t>6104</t>
  </si>
  <si>
    <t>6129</t>
  </si>
  <si>
    <t>6138</t>
  </si>
  <si>
    <t>6147</t>
  </si>
  <si>
    <t>6182</t>
  </si>
  <si>
    <t>6198</t>
  </si>
  <si>
    <t>6223</t>
  </si>
  <si>
    <t>6229</t>
  </si>
  <si>
    <t>6233</t>
  </si>
  <si>
    <t>6237</t>
  </si>
  <si>
    <t>6261</t>
  </si>
  <si>
    <t>6287</t>
  </si>
  <si>
    <t>6291</t>
  </si>
  <si>
    <t>6411</t>
  </si>
  <si>
    <t>6435</t>
  </si>
  <si>
    <t>6457</t>
  </si>
  <si>
    <t>6462</t>
  </si>
  <si>
    <t>6485</t>
  </si>
  <si>
    <t>6488</t>
  </si>
  <si>
    <t>6494</t>
  </si>
  <si>
    <t>6510</t>
  </si>
  <si>
    <t>6532</t>
  </si>
  <si>
    <t>6548</t>
  </si>
  <si>
    <t>6568</t>
  </si>
  <si>
    <t>6594</t>
  </si>
  <si>
    <t>6640</t>
  </si>
  <si>
    <t>8024</t>
  </si>
  <si>
    <t>8040</t>
  </si>
  <si>
    <t>8054</t>
  </si>
  <si>
    <t>8086</t>
  </si>
  <si>
    <t>8088</t>
  </si>
  <si>
    <t>8277</t>
  </si>
  <si>
    <t>8299</t>
  </si>
  <si>
    <t>1569</t>
  </si>
  <si>
    <t>3071</t>
  </si>
  <si>
    <t>3088</t>
  </si>
  <si>
    <t>3211</t>
  </si>
  <si>
    <t>3213</t>
  </si>
  <si>
    <t>3272</t>
  </si>
  <si>
    <t>3287</t>
  </si>
  <si>
    <t>3323</t>
  </si>
  <si>
    <t>3325</t>
  </si>
  <si>
    <t>3479</t>
  </si>
  <si>
    <t>3483</t>
  </si>
  <si>
    <t>3521</t>
  </si>
  <si>
    <t>3540</t>
  </si>
  <si>
    <t>3577</t>
  </si>
  <si>
    <t>3594</t>
  </si>
  <si>
    <t>3611</t>
  </si>
  <si>
    <t>3625</t>
  </si>
  <si>
    <t>3652</t>
  </si>
  <si>
    <t>3693</t>
  </si>
  <si>
    <t>3709</t>
  </si>
  <si>
    <t>4987</t>
  </si>
  <si>
    <t>5289</t>
  </si>
  <si>
    <t>5304</t>
  </si>
  <si>
    <t>5356</t>
  </si>
  <si>
    <t>5386</t>
  </si>
  <si>
    <t>5426</t>
  </si>
  <si>
    <t>5438</t>
  </si>
  <si>
    <t>5450</t>
  </si>
  <si>
    <t>5465</t>
  </si>
  <si>
    <t>5474</t>
  </si>
  <si>
    <t>5490</t>
  </si>
  <si>
    <t>6121</t>
  </si>
  <si>
    <t>6123</t>
  </si>
  <si>
    <t>6150</t>
  </si>
  <si>
    <t>6160</t>
  </si>
  <si>
    <t>6161</t>
  </si>
  <si>
    <t>6188</t>
  </si>
  <si>
    <t>6228</t>
  </si>
  <si>
    <t>6276</t>
  </si>
  <si>
    <t>6441</t>
  </si>
  <si>
    <t>6570</t>
  </si>
  <si>
    <t>6577</t>
  </si>
  <si>
    <t>8050</t>
  </si>
  <si>
    <t>8076</t>
  </si>
  <si>
    <t>8234</t>
  </si>
  <si>
    <t>8410</t>
  </si>
  <si>
    <t>3066</t>
  </si>
  <si>
    <t>3128</t>
  </si>
  <si>
    <t>3230</t>
  </si>
  <si>
    <t>3297</t>
  </si>
  <si>
    <t>3339</t>
  </si>
  <si>
    <t>3362</t>
  </si>
  <si>
    <t>3434</t>
  </si>
  <si>
    <t>3441</t>
  </si>
  <si>
    <t>3455</t>
  </si>
  <si>
    <t>3490</t>
  </si>
  <si>
    <t>3516</t>
  </si>
  <si>
    <t>3523</t>
  </si>
  <si>
    <t>3531</t>
  </si>
  <si>
    <t>3615</t>
  </si>
  <si>
    <t>3623</t>
  </si>
  <si>
    <t>3629</t>
  </si>
  <si>
    <t>3630</t>
  </si>
  <si>
    <t>3666</t>
  </si>
  <si>
    <t>3685</t>
  </si>
  <si>
    <t>3691</t>
  </si>
  <si>
    <t>3713</t>
  </si>
  <si>
    <t>4729</t>
  </si>
  <si>
    <t>4933</t>
  </si>
  <si>
    <t>4944</t>
  </si>
  <si>
    <t>4972</t>
  </si>
  <si>
    <t>4995</t>
  </si>
  <si>
    <t>5220</t>
  </si>
  <si>
    <t>5230</t>
  </si>
  <si>
    <t>5245</t>
  </si>
  <si>
    <t>5251</t>
  </si>
  <si>
    <t>5315</t>
  </si>
  <si>
    <t>5371</t>
  </si>
  <si>
    <t>5392</t>
  </si>
  <si>
    <t>5432</t>
  </si>
  <si>
    <t>5443</t>
  </si>
  <si>
    <t>6125</t>
  </si>
  <si>
    <t>6167</t>
  </si>
  <si>
    <t>6222</t>
  </si>
  <si>
    <t>6234</t>
  </si>
  <si>
    <t>6244</t>
  </si>
  <si>
    <t>6246</t>
  </si>
  <si>
    <t>6419</t>
  </si>
  <si>
    <t>6556</t>
  </si>
  <si>
    <t>6560</t>
  </si>
  <si>
    <t>7402</t>
  </si>
  <si>
    <t>8049</t>
  </si>
  <si>
    <t>8064</t>
  </si>
  <si>
    <t>8069</t>
  </si>
  <si>
    <t>8087</t>
  </si>
  <si>
    <t>8111</t>
  </si>
  <si>
    <t>8240</t>
  </si>
  <si>
    <t>3081</t>
  </si>
  <si>
    <t>3095</t>
  </si>
  <si>
    <t>3152</t>
  </si>
  <si>
    <t>3163</t>
  </si>
  <si>
    <t>3221</t>
  </si>
  <si>
    <t>3234</t>
  </si>
  <si>
    <t>3306</t>
  </si>
  <si>
    <t>3363</t>
  </si>
  <si>
    <t>3466</t>
  </si>
  <si>
    <t>3491</t>
  </si>
  <si>
    <t>3499</t>
  </si>
  <si>
    <t>3558</t>
  </si>
  <si>
    <t>3564</t>
  </si>
  <si>
    <t>3632</t>
  </si>
  <si>
    <t>3672</t>
  </si>
  <si>
    <t>3684</t>
  </si>
  <si>
    <t>4903</t>
  </si>
  <si>
    <t>4905</t>
  </si>
  <si>
    <t>4908</t>
  </si>
  <si>
    <t>4909</t>
  </si>
  <si>
    <t>4979</t>
  </si>
  <si>
    <t>5348</t>
  </si>
  <si>
    <t>5353</t>
  </si>
  <si>
    <t>6109</t>
  </si>
  <si>
    <t>6143</t>
  </si>
  <si>
    <t>6163</t>
  </si>
  <si>
    <t>6170</t>
  </si>
  <si>
    <t>6190</t>
  </si>
  <si>
    <t>6218</t>
  </si>
  <si>
    <t>6241</t>
  </si>
  <si>
    <t>6245</t>
  </si>
  <si>
    <t>6263</t>
  </si>
  <si>
    <t>6417</t>
  </si>
  <si>
    <t>6426</t>
  </si>
  <si>
    <t>6465</t>
  </si>
  <si>
    <t>6470</t>
  </si>
  <si>
    <t>6486</t>
  </si>
  <si>
    <t>6530</t>
  </si>
  <si>
    <t>6561</t>
  </si>
  <si>
    <t>8034</t>
  </si>
  <si>
    <t>8048</t>
  </si>
  <si>
    <t>8059</t>
  </si>
  <si>
    <t>8097</t>
  </si>
  <si>
    <t>8171</t>
  </si>
  <si>
    <t>8176</t>
  </si>
  <si>
    <t>1336</t>
  </si>
  <si>
    <t>1595</t>
  </si>
  <si>
    <t>1815</t>
  </si>
  <si>
    <t>3078</t>
  </si>
  <si>
    <t>3089</t>
  </si>
  <si>
    <t>3092</t>
  </si>
  <si>
    <t>3114</t>
  </si>
  <si>
    <t>3115</t>
  </si>
  <si>
    <t>3144</t>
  </si>
  <si>
    <t>3191</t>
  </si>
  <si>
    <t>3202</t>
  </si>
  <si>
    <t>3206</t>
  </si>
  <si>
    <t>3207</t>
  </si>
  <si>
    <t>3217</t>
  </si>
  <si>
    <t>3236</t>
  </si>
  <si>
    <t>3276</t>
  </si>
  <si>
    <t>3288</t>
  </si>
  <si>
    <t>3290</t>
  </si>
  <si>
    <t>3294</t>
  </si>
  <si>
    <t>3310</t>
  </si>
  <si>
    <t>3313</t>
  </si>
  <si>
    <t>3322</t>
  </si>
  <si>
    <t>3332</t>
  </si>
  <si>
    <t>3354</t>
  </si>
  <si>
    <t>3388</t>
  </si>
  <si>
    <t>3390</t>
  </si>
  <si>
    <t>3465</t>
  </si>
  <si>
    <t>3484</t>
  </si>
  <si>
    <t>3492</t>
  </si>
  <si>
    <t>3511</t>
  </si>
  <si>
    <t>3512</t>
  </si>
  <si>
    <t>3520</t>
  </si>
  <si>
    <t>3526</t>
  </si>
  <si>
    <t>3537</t>
  </si>
  <si>
    <t>3548</t>
  </si>
  <si>
    <t>3609</t>
  </si>
  <si>
    <t>3624</t>
  </si>
  <si>
    <t>3631</t>
  </si>
  <si>
    <t>3646</t>
  </si>
  <si>
    <t>3689</t>
  </si>
  <si>
    <t>3710</t>
  </si>
  <si>
    <t>4542</t>
  </si>
  <si>
    <t>4939</t>
  </si>
  <si>
    <t>4974</t>
  </si>
  <si>
    <t>5291</t>
  </si>
  <si>
    <t>5309</t>
  </si>
  <si>
    <t>5321</t>
  </si>
  <si>
    <t>5328</t>
  </si>
  <si>
    <t>5340</t>
  </si>
  <si>
    <t>5345</t>
  </si>
  <si>
    <t>5349</t>
  </si>
  <si>
    <t>5355</t>
  </si>
  <si>
    <t>5381</t>
  </si>
  <si>
    <t>5439</t>
  </si>
  <si>
    <t>5457</t>
  </si>
  <si>
    <t>5460</t>
  </si>
  <si>
    <t>5464</t>
  </si>
  <si>
    <t>5475</t>
  </si>
  <si>
    <t>5481</t>
  </si>
  <si>
    <t>5488</t>
  </si>
  <si>
    <t>5498</t>
  </si>
  <si>
    <t>6114</t>
  </si>
  <si>
    <t>6124</t>
  </si>
  <si>
    <t>6126</t>
  </si>
  <si>
    <t>6127</t>
  </si>
  <si>
    <t>6134</t>
  </si>
  <si>
    <t>6156</t>
  </si>
  <si>
    <t>6158</t>
  </si>
  <si>
    <t>6173</t>
  </si>
  <si>
    <t>6174</t>
  </si>
  <si>
    <t>6175</t>
  </si>
  <si>
    <t>6185</t>
  </si>
  <si>
    <t>6194</t>
  </si>
  <si>
    <t>6203</t>
  </si>
  <si>
    <t>6204</t>
  </si>
  <si>
    <t>6207</t>
  </si>
  <si>
    <t>6208</t>
  </si>
  <si>
    <t>6210</t>
  </si>
  <si>
    <t>6217</t>
  </si>
  <si>
    <t>6220</t>
  </si>
  <si>
    <t>6259</t>
  </si>
  <si>
    <t>6266</t>
  </si>
  <si>
    <t>6274</t>
  </si>
  <si>
    <t>6279</t>
  </si>
  <si>
    <t>6284</t>
  </si>
  <si>
    <t>6290</t>
  </si>
  <si>
    <t>6292</t>
  </si>
  <si>
    <t>6432</t>
  </si>
  <si>
    <t>6538</t>
  </si>
  <si>
    <t>6664</t>
  </si>
  <si>
    <t>8038</t>
  </si>
  <si>
    <t>8042</t>
  </si>
  <si>
    <t>8043</t>
  </si>
  <si>
    <t>8071</t>
  </si>
  <si>
    <t>8074</t>
  </si>
  <si>
    <t>8080</t>
  </si>
  <si>
    <t>8091</t>
  </si>
  <si>
    <t>8093</t>
  </si>
  <si>
    <t>8109</t>
  </si>
  <si>
    <t>8121</t>
  </si>
  <si>
    <t>8147</t>
  </si>
  <si>
    <t>8155</t>
  </si>
  <si>
    <t>8182</t>
  </si>
  <si>
    <t>8287</t>
  </si>
  <si>
    <t>8289</t>
  </si>
  <si>
    <t>8291</t>
  </si>
  <si>
    <t>8358</t>
  </si>
  <si>
    <t>3224</t>
  </si>
  <si>
    <t>3232</t>
  </si>
  <si>
    <t>3360</t>
  </si>
  <si>
    <t>3444</t>
  </si>
  <si>
    <t>6113</t>
  </si>
  <si>
    <t>6118</t>
  </si>
  <si>
    <t>6154</t>
  </si>
  <si>
    <t>6227</t>
  </si>
  <si>
    <t>6265</t>
  </si>
  <si>
    <t>6270</t>
  </si>
  <si>
    <t>8032</t>
  </si>
  <si>
    <t>8067</t>
  </si>
  <si>
    <t>8068</t>
  </si>
  <si>
    <t>8084</t>
  </si>
  <si>
    <t>8096</t>
  </si>
  <si>
    <t>3147</t>
  </si>
  <si>
    <t>3570</t>
  </si>
  <si>
    <t>4953</t>
  </si>
  <si>
    <t>5201</t>
  </si>
  <si>
    <t>5202</t>
  </si>
  <si>
    <t>5209</t>
  </si>
  <si>
    <t>5210</t>
  </si>
  <si>
    <t>5211</t>
  </si>
  <si>
    <t>5212</t>
  </si>
  <si>
    <t>5310</t>
  </si>
  <si>
    <t>5403</t>
  </si>
  <si>
    <t>5410</t>
  </si>
  <si>
    <t>6140</t>
  </si>
  <si>
    <t>6148</t>
  </si>
  <si>
    <t>6221</t>
  </si>
  <si>
    <t>6231</t>
  </si>
  <si>
    <t>6240</t>
  </si>
  <si>
    <t>6590</t>
  </si>
  <si>
    <t>6593</t>
  </si>
  <si>
    <t>8099</t>
  </si>
  <si>
    <t>8416</t>
  </si>
  <si>
    <t>1785</t>
  </si>
  <si>
    <t>3067</t>
  </si>
  <si>
    <t>3093</t>
  </si>
  <si>
    <t>3131</t>
  </si>
  <si>
    <t>3285</t>
  </si>
  <si>
    <t>3289</t>
  </si>
  <si>
    <t>3303</t>
  </si>
  <si>
    <t>3324</t>
  </si>
  <si>
    <t>3373</t>
  </si>
  <si>
    <t>3402</t>
  </si>
  <si>
    <t>3498</t>
  </si>
  <si>
    <t>3508</t>
  </si>
  <si>
    <t>3541</t>
  </si>
  <si>
    <t>3551</t>
  </si>
  <si>
    <t>3552</t>
  </si>
  <si>
    <t>3580</t>
  </si>
  <si>
    <t>3587</t>
  </si>
  <si>
    <t>3628</t>
  </si>
  <si>
    <t>3642</t>
  </si>
  <si>
    <t>3663</t>
  </si>
  <si>
    <t>4554</t>
  </si>
  <si>
    <t>5205</t>
  </si>
  <si>
    <t>5383</t>
  </si>
  <si>
    <t>5452</t>
  </si>
  <si>
    <t>5489</t>
  </si>
  <si>
    <t>5493</t>
  </si>
  <si>
    <t>5536</t>
  </si>
  <si>
    <t>6146</t>
  </si>
  <si>
    <t>6151</t>
  </si>
  <si>
    <t>6187</t>
  </si>
  <si>
    <t>6238</t>
  </si>
  <si>
    <t>6247</t>
  </si>
  <si>
    <t>6275</t>
  </si>
  <si>
    <t>6438</t>
  </si>
  <si>
    <t>6512</t>
  </si>
  <si>
    <t>6613</t>
  </si>
  <si>
    <t>6654</t>
  </si>
  <si>
    <t>6667</t>
  </si>
  <si>
    <t>8047</t>
  </si>
  <si>
    <t>8085</t>
  </si>
  <si>
    <t>8092</t>
  </si>
  <si>
    <t>8183</t>
  </si>
  <si>
    <t>8383</t>
  </si>
  <si>
    <t>8431</t>
  </si>
  <si>
    <t>2926</t>
  </si>
  <si>
    <t>3064</t>
  </si>
  <si>
    <t>3083</t>
  </si>
  <si>
    <t>3086</t>
  </si>
  <si>
    <t>3293</t>
  </si>
  <si>
    <t>3546</t>
  </si>
  <si>
    <t>3687</t>
  </si>
  <si>
    <t>4806</t>
  </si>
  <si>
    <t>4946</t>
  </si>
  <si>
    <t>5263</t>
  </si>
  <si>
    <t>5478</t>
  </si>
  <si>
    <t>6101</t>
  </si>
  <si>
    <t>6111</t>
  </si>
  <si>
    <t>6144</t>
  </si>
  <si>
    <t>6169</t>
  </si>
  <si>
    <t>6180</t>
  </si>
  <si>
    <t>6294</t>
  </si>
  <si>
    <t>6482</t>
  </si>
  <si>
    <t>6542</t>
  </si>
  <si>
    <t>6596</t>
  </si>
  <si>
    <t>8446</t>
  </si>
  <si>
    <t>8450</t>
  </si>
  <si>
    <t>8489</t>
  </si>
  <si>
    <t>8923</t>
  </si>
  <si>
    <t>9949</t>
  </si>
  <si>
    <t>1240</t>
  </si>
  <si>
    <t>4171</t>
  </si>
  <si>
    <t>6508</t>
  </si>
  <si>
    <t>6578</t>
  </si>
  <si>
    <t>3085</t>
  </si>
  <si>
    <t>5278</t>
  </si>
  <si>
    <t>5287</t>
  </si>
  <si>
    <t>8044</t>
  </si>
  <si>
    <t>8472</t>
  </si>
  <si>
    <t>8477</t>
  </si>
  <si>
    <t>1742</t>
  </si>
  <si>
    <t>4702</t>
  </si>
  <si>
    <t>4706</t>
  </si>
  <si>
    <t>4707</t>
  </si>
  <si>
    <t>4711</t>
  </si>
  <si>
    <t>4714</t>
  </si>
  <si>
    <t>4716</t>
  </si>
  <si>
    <t>4721</t>
  </si>
  <si>
    <t>4741</t>
  </si>
  <si>
    <t>4754</t>
  </si>
  <si>
    <t>4767</t>
  </si>
  <si>
    <t>6506</t>
  </si>
  <si>
    <t>6509</t>
  </si>
  <si>
    <t>5820</t>
  </si>
  <si>
    <t>NA</t>
  </si>
  <si>
    <t>5864</t>
  </si>
  <si>
    <t>5878</t>
  </si>
  <si>
    <t>6015</t>
  </si>
  <si>
    <t>6016</t>
  </si>
  <si>
    <t>6020</t>
  </si>
  <si>
    <t>6021</t>
  </si>
  <si>
    <t>6023</t>
  </si>
  <si>
    <t>6026</t>
  </si>
  <si>
    <t>1258</t>
  </si>
  <si>
    <t>1591</t>
  </si>
  <si>
    <t>5543</t>
  </si>
  <si>
    <t>2724</t>
  </si>
  <si>
    <t>2726</t>
  </si>
  <si>
    <t>2928</t>
  </si>
  <si>
    <t>2924</t>
  </si>
  <si>
    <t>5276</t>
  </si>
  <si>
    <t>6616</t>
  </si>
  <si>
    <t>6629</t>
  </si>
  <si>
    <t>8418</t>
  </si>
  <si>
    <t>8423</t>
  </si>
  <si>
    <t>8426</t>
  </si>
  <si>
    <t>8437</t>
  </si>
  <si>
    <t>8444</t>
  </si>
  <si>
    <t>4139</t>
  </si>
  <si>
    <t>4154</t>
  </si>
  <si>
    <t>4157</t>
  </si>
  <si>
    <t>4745</t>
  </si>
  <si>
    <t>6497</t>
  </si>
  <si>
    <t>8406</t>
  </si>
  <si>
    <t>4947</t>
  </si>
  <si>
    <t>4966</t>
  </si>
  <si>
    <t>4971</t>
  </si>
  <si>
    <t>4991</t>
  </si>
  <si>
    <t>4924</t>
  </si>
  <si>
    <t>5223</t>
  </si>
  <si>
    <t>5281</t>
  </si>
  <si>
    <t>3664</t>
  </si>
  <si>
    <t>6514</t>
  </si>
  <si>
    <t>5227</t>
  </si>
  <si>
    <t>6404</t>
  </si>
  <si>
    <t>8455</t>
  </si>
  <si>
    <t>4803</t>
  </si>
  <si>
    <t>巧新科技</t>
  </si>
  <si>
    <t>華德動</t>
  </si>
  <si>
    <t>燁聯鋼鐵</t>
  </si>
  <si>
    <t>通用矽酮</t>
  </si>
  <si>
    <t>樂揚建設</t>
  </si>
  <si>
    <t>錢櫃企業</t>
  </si>
  <si>
    <t>立弘生化</t>
  </si>
  <si>
    <t>微邦科技</t>
  </si>
  <si>
    <t>國鼎生技</t>
  </si>
  <si>
    <t>明躍國際</t>
  </si>
  <si>
    <t>鑫品生醫</t>
  </si>
  <si>
    <t>彥臣生技</t>
  </si>
  <si>
    <t>雷虎生技</t>
  </si>
  <si>
    <t>瑞鼎科技</t>
  </si>
  <si>
    <t>力士科技</t>
  </si>
  <si>
    <t>精拓科技</t>
  </si>
  <si>
    <t>全訊科技</t>
  </si>
  <si>
    <t>立達國際</t>
  </si>
  <si>
    <t>利汎科技</t>
  </si>
  <si>
    <t>旭德科技</t>
  </si>
  <si>
    <t>寶德科技</t>
  </si>
  <si>
    <t>眾福科技</t>
  </si>
  <si>
    <t>華信光電</t>
  </si>
  <si>
    <t>百辰光電</t>
  </si>
  <si>
    <t>旭東機械</t>
  </si>
  <si>
    <t>建騰創達</t>
  </si>
  <si>
    <t>弘凱光電</t>
  </si>
  <si>
    <t>景傳光電</t>
  </si>
  <si>
    <t>龍翩真空</t>
  </si>
  <si>
    <t>葳天科技</t>
  </si>
  <si>
    <t>久禾光電</t>
  </si>
  <si>
    <t>耀登科技</t>
  </si>
  <si>
    <t>康訊科技</t>
  </si>
  <si>
    <t>群登科技</t>
  </si>
  <si>
    <t>年程科技</t>
  </si>
  <si>
    <t>紘通企業</t>
  </si>
  <si>
    <t>驊陞科技</t>
  </si>
  <si>
    <t>榮炭科技</t>
  </si>
  <si>
    <t>彥陽科技</t>
  </si>
  <si>
    <t>三竹資訊</t>
  </si>
  <si>
    <t>有量科技</t>
  </si>
  <si>
    <t>台灣淘米</t>
  </si>
  <si>
    <t>喬本生醫</t>
  </si>
  <si>
    <t>正瀚生技</t>
  </si>
  <si>
    <t>台灣利得</t>
  </si>
  <si>
    <t>每股市價</t>
  </si>
  <si>
    <t>勤凱科技</t>
  </si>
  <si>
    <t>元大期貨</t>
  </si>
  <si>
    <t>訊達電腦</t>
  </si>
  <si>
    <t>永固集團股份有限公司</t>
  </si>
  <si>
    <t>永固-KY</t>
  </si>
  <si>
    <t>視陽光學股份有限公司</t>
  </si>
  <si>
    <t>視陽</t>
  </si>
  <si>
    <t>亞果遊艇開發股份有限公司</t>
  </si>
  <si>
    <t>亞果遊艇</t>
  </si>
  <si>
    <t>Jan-Dec 2019</t>
  </si>
  <si>
    <t>Jan-Dec 2018</t>
  </si>
  <si>
    <t>4581</t>
  </si>
  <si>
    <t>光隆精密-KY　</t>
  </si>
  <si>
    <t>公司名稱_x000D_
Security's_x000D_
Code &amp; Name</t>
  </si>
  <si>
    <t>營業收入_x000D_
Operating Revenues</t>
  </si>
  <si>
    <t>營業利益_x000D_
Income(Lose) from Operation</t>
  </si>
  <si>
    <t>營業外收支淨額_x000D_
Total Non-Operating Income</t>
  </si>
  <si>
    <t>稅後純益_x000D_
Net Income after Tax</t>
  </si>
  <si>
    <t>本期末股本_x000D_
Capital Stock_x000D_
End of Period</t>
  </si>
  <si>
    <t>每股稅後純益_x000D_
Net Income Per Share</t>
  </si>
  <si>
    <t>每股_x000D_
淨值_x000D_
(元)_x000D_
(A)</t>
  </si>
  <si>
    <t>淨值佔_x000D_
總資產_x000D_
比率_x000D_
(B)</t>
  </si>
  <si>
    <t>流動_x000D_
比率_x000D_
 _x000D_
(C)</t>
  </si>
  <si>
    <t>速動_x000D_
比率_x000D_
 _x000D_
(D)</t>
  </si>
  <si>
    <t>增減_x000D_
(%)</t>
  </si>
  <si>
    <t>108年1-6月_x000D_
Jan.-Jun. 2019</t>
  </si>
  <si>
    <t>107年1-6月_x000D_
Jan.-Jun. 2018</t>
  </si>
  <si>
    <t>108年1-12月</t>
  </si>
  <si>
    <t>107年1-12月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</si>
</sst>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81" formatCode="0.00_);[Red]\(0.00\)"/>
  </numFmts>
  <fonts count="1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name val="Times New Roman"/>
      <family val="1"/>
    </font>
    <font>
      <sz val="12"/>
      <color indexed="23"/>
      <name val="Times New Roman"/>
      <family val="1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5">
    <xf numFmtId="0" fontId="0" fillId="0" borderId="0"/>
    <xf numFmtId="0" fontId="1" fillId="0" borderId="0">
      <alignment vertical="center"/>
    </xf>
    <xf numFmtId="0" fontId="4" fillId="0" borderId="0"/>
    <xf numFmtId="43" fontId="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</cellStyleXfs>
  <cellXfs count="88">
    <xf numFmtId="0" fontId="0" fillId="0" borderId="0" xfId="0"/>
    <xf numFmtId="0" fontId="3" fillId="0" borderId="0" xfId="0" applyFont="1" applyAlignment="1">
      <alignment horizontal="left"/>
    </xf>
    <xf numFmtId="0" fontId="3" fillId="0" borderId="0" xfId="0" applyFont="1"/>
    <xf numFmtId="0" fontId="6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3" fontId="0" fillId="0" borderId="0" xfId="4" applyFont="1" applyAlignment="1"/>
    <xf numFmtId="0" fontId="6" fillId="0" borderId="1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/>
    </xf>
    <xf numFmtId="3" fontId="6" fillId="0" borderId="3" xfId="0" applyNumberFormat="1" applyFont="1" applyBorder="1" applyAlignment="1">
      <alignment horizontal="centerContinuous" vertical="center" shrinkToFit="1"/>
    </xf>
    <xf numFmtId="0" fontId="6" fillId="0" borderId="6" xfId="0" applyFont="1" applyBorder="1" applyAlignment="1">
      <alignment horizontal="centerContinuous" vertical="center"/>
    </xf>
    <xf numFmtId="0" fontId="6" fillId="0" borderId="7" xfId="0" applyFont="1" applyBorder="1" applyAlignment="1">
      <alignment horizontal="centerContinuous" vertical="center"/>
    </xf>
    <xf numFmtId="3" fontId="6" fillId="0" borderId="9" xfId="0" applyNumberFormat="1" applyFont="1" applyBorder="1" applyAlignment="1">
      <alignment horizontal="centerContinuous" vertical="center" shrinkToFit="1"/>
    </xf>
    <xf numFmtId="3" fontId="6" fillId="0" borderId="2" xfId="0" applyNumberFormat="1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 shrinkToFit="1"/>
    </xf>
    <xf numFmtId="49" fontId="6" fillId="0" borderId="6" xfId="0" applyNumberFormat="1" applyFont="1" applyBorder="1" applyAlignment="1">
      <alignment horizontal="center" vertical="center"/>
    </xf>
    <xf numFmtId="3" fontId="6" fillId="0" borderId="5" xfId="0" applyNumberFormat="1" applyFont="1" applyBorder="1" applyAlignment="1">
      <alignment horizontal="right" vertical="center" shrinkToFit="1"/>
    </xf>
    <xf numFmtId="49" fontId="6" fillId="0" borderId="9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3" fontId="6" fillId="0" borderId="8" xfId="0" applyNumberFormat="1" applyFont="1" applyBorder="1" applyAlignment="1">
      <alignment horizontal="right" vertical="center" shrinkToFit="1"/>
    </xf>
    <xf numFmtId="49" fontId="6" fillId="0" borderId="3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vertical="center"/>
    </xf>
    <xf numFmtId="3" fontId="6" fillId="0" borderId="2" xfId="0" applyNumberFormat="1" applyFont="1" applyBorder="1" applyAlignment="1">
      <alignment horizontal="right" vertical="center" shrinkToFit="1"/>
    </xf>
    <xf numFmtId="38" fontId="3" fillId="0" borderId="14" xfId="0" applyNumberFormat="1" applyFont="1" applyBorder="1" applyAlignment="1">
      <alignment horizontal="right" vertical="center"/>
    </xf>
    <xf numFmtId="0" fontId="7" fillId="0" borderId="14" xfId="0" applyFont="1" applyBorder="1" applyAlignment="1">
      <alignment horizontal="right"/>
    </xf>
    <xf numFmtId="0" fontId="6" fillId="0" borderId="4" xfId="0" applyFont="1" applyBorder="1" applyAlignment="1">
      <alignment horizontal="centerContinuous" vertical="center" shrinkToFit="1"/>
    </xf>
    <xf numFmtId="38" fontId="6" fillId="0" borderId="2" xfId="0" applyNumberFormat="1" applyFont="1" applyBorder="1" applyAlignment="1">
      <alignment horizontal="centerContinuous" vertical="center" shrinkToFit="1"/>
    </xf>
    <xf numFmtId="38" fontId="6" fillId="0" borderId="3" xfId="0" applyNumberFormat="1" applyFont="1" applyBorder="1" applyAlignment="1">
      <alignment horizontal="centerContinuous" vertical="center" shrinkToFit="1"/>
    </xf>
    <xf numFmtId="38" fontId="6" fillId="0" borderId="4" xfId="0" applyNumberFormat="1" applyFont="1" applyBorder="1" applyAlignment="1">
      <alignment horizontal="centerContinuous" vertical="center" shrinkToFit="1"/>
    </xf>
    <xf numFmtId="3" fontId="6" fillId="0" borderId="2" xfId="0" applyNumberFormat="1" applyFont="1" applyBorder="1" applyAlignment="1">
      <alignment horizontal="center" vertical="center"/>
    </xf>
    <xf numFmtId="181" fontId="6" fillId="0" borderId="3" xfId="0" applyNumberFormat="1" applyFont="1" applyBorder="1" applyAlignment="1">
      <alignment horizontal="centerContinuous" vertical="center"/>
    </xf>
    <xf numFmtId="181" fontId="6" fillId="0" borderId="4" xfId="0" applyNumberFormat="1" applyFont="1" applyBorder="1" applyAlignment="1">
      <alignment horizontal="centerContinuous" vertical="center"/>
    </xf>
    <xf numFmtId="181" fontId="6" fillId="0" borderId="2" xfId="0" applyNumberFormat="1" applyFont="1" applyBorder="1" applyAlignment="1">
      <alignment horizontal="center" vertical="center" wrapText="1"/>
    </xf>
    <xf numFmtId="4" fontId="6" fillId="0" borderId="2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Continuous" vertical="center" shrinkToFit="1"/>
    </xf>
    <xf numFmtId="38" fontId="6" fillId="0" borderId="9" xfId="0" applyNumberFormat="1" applyFont="1" applyBorder="1" applyAlignment="1">
      <alignment horizontal="centerContinuous" vertical="center" shrinkToFit="1"/>
    </xf>
    <xf numFmtId="38" fontId="6" fillId="0" borderId="10" xfId="0" applyNumberFormat="1" applyFont="1" applyBorder="1" applyAlignment="1">
      <alignment horizontal="centerContinuous" vertical="center" shrinkToFit="1"/>
    </xf>
    <xf numFmtId="38" fontId="6" fillId="0" borderId="8" xfId="0" applyNumberFormat="1" applyFont="1" applyBorder="1" applyAlignment="1">
      <alignment horizontal="centerContinuous" vertical="center" shrinkToFit="1"/>
    </xf>
    <xf numFmtId="3" fontId="6" fillId="0" borderId="5" xfId="0" applyNumberFormat="1" applyFont="1" applyBorder="1" applyAlignment="1">
      <alignment horizontal="center" vertical="center"/>
    </xf>
    <xf numFmtId="181" fontId="6" fillId="0" borderId="9" xfId="0" applyNumberFormat="1" applyFont="1" applyBorder="1" applyAlignment="1">
      <alignment horizontal="centerContinuous" vertical="center" shrinkToFit="1"/>
    </xf>
    <xf numFmtId="181" fontId="6" fillId="0" borderId="10" xfId="0" applyNumberFormat="1" applyFont="1" applyBorder="1" applyAlignment="1">
      <alignment horizontal="centerContinuous" vertical="center" shrinkToFit="1"/>
    </xf>
    <xf numFmtId="181" fontId="6" fillId="0" borderId="5" xfId="0" applyNumberFormat="1" applyFont="1" applyBorder="1" applyAlignment="1">
      <alignment horizontal="center" vertical="center"/>
    </xf>
    <xf numFmtId="4" fontId="6" fillId="0" borderId="5" xfId="0" applyNumberFormat="1" applyFont="1" applyBorder="1" applyAlignment="1">
      <alignment horizontal="center" vertical="center"/>
    </xf>
    <xf numFmtId="38" fontId="6" fillId="0" borderId="2" xfId="0" applyNumberFormat="1" applyFont="1" applyBorder="1" applyAlignment="1">
      <alignment horizontal="center" vertical="center" wrapText="1"/>
    </xf>
    <xf numFmtId="3" fontId="6" fillId="0" borderId="5" xfId="0" applyNumberFormat="1" applyFont="1" applyBorder="1" applyAlignment="1">
      <alignment horizontal="center" vertical="center" wrapText="1" shrinkToFit="1"/>
    </xf>
    <xf numFmtId="181" fontId="6" fillId="0" borderId="5" xfId="0" applyNumberFormat="1" applyFont="1" applyBorder="1" applyAlignment="1">
      <alignment horizontal="center" vertical="center" wrapText="1"/>
    </xf>
    <xf numFmtId="4" fontId="6" fillId="0" borderId="5" xfId="0" applyNumberFormat="1" applyFont="1" applyBorder="1" applyAlignment="1">
      <alignment horizontal="center" vertical="center" wrapText="1"/>
    </xf>
    <xf numFmtId="181" fontId="6" fillId="0" borderId="8" xfId="0" applyNumberFormat="1" applyFont="1" applyBorder="1" applyAlignment="1">
      <alignment horizontal="center" vertical="center" wrapText="1"/>
    </xf>
    <xf numFmtId="38" fontId="6" fillId="0" borderId="8" xfId="0" applyNumberFormat="1" applyFont="1" applyBorder="1" applyAlignment="1">
      <alignment horizontal="center" vertical="center" shrinkToFit="1"/>
    </xf>
    <xf numFmtId="181" fontId="6" fillId="0" borderId="8" xfId="0" applyNumberFormat="1" applyFont="1" applyBorder="1" applyAlignment="1">
      <alignment horizontal="center" vertical="center" shrinkToFit="1"/>
    </xf>
    <xf numFmtId="4" fontId="6" fillId="0" borderId="8" xfId="0" applyNumberFormat="1" applyFont="1" applyBorder="1" applyAlignment="1">
      <alignment horizontal="center" vertical="center" wrapText="1"/>
    </xf>
    <xf numFmtId="4" fontId="6" fillId="0" borderId="8" xfId="0" applyNumberFormat="1" applyFont="1" applyBorder="1" applyAlignment="1">
      <alignment horizontal="center" vertical="center"/>
    </xf>
    <xf numFmtId="40" fontId="6" fillId="0" borderId="5" xfId="0" applyNumberFormat="1" applyFont="1" applyBorder="1" applyAlignment="1">
      <alignment horizontal="right" vertical="center" shrinkToFit="1"/>
    </xf>
    <xf numFmtId="38" fontId="6" fillId="0" borderId="5" xfId="0" applyNumberFormat="1" applyFont="1" applyBorder="1" applyAlignment="1">
      <alignment horizontal="right" vertical="center" shrinkToFit="1"/>
    </xf>
    <xf numFmtId="181" fontId="6" fillId="0" borderId="5" xfId="0" applyNumberFormat="1" applyFont="1" applyBorder="1" applyAlignment="1">
      <alignment horizontal="right" vertical="center" shrinkToFit="1"/>
    </xf>
    <xf numFmtId="4" fontId="6" fillId="0" borderId="5" xfId="0" applyNumberFormat="1" applyFont="1" applyBorder="1" applyAlignment="1">
      <alignment horizontal="right" vertical="center" shrinkToFit="1"/>
    </xf>
    <xf numFmtId="40" fontId="6" fillId="0" borderId="8" xfId="0" applyNumberFormat="1" applyFont="1" applyBorder="1" applyAlignment="1">
      <alignment horizontal="right" vertical="center" shrinkToFit="1"/>
    </xf>
    <xf numFmtId="38" fontId="6" fillId="0" borderId="8" xfId="0" applyNumberFormat="1" applyFont="1" applyBorder="1" applyAlignment="1">
      <alignment horizontal="right" vertical="center" shrinkToFit="1"/>
    </xf>
    <xf numFmtId="181" fontId="6" fillId="0" borderId="8" xfId="0" applyNumberFormat="1" applyFont="1" applyBorder="1" applyAlignment="1">
      <alignment horizontal="right" vertical="center" shrinkToFit="1"/>
    </xf>
    <xf numFmtId="4" fontId="6" fillId="0" borderId="8" xfId="0" applyNumberFormat="1" applyFont="1" applyBorder="1" applyAlignment="1">
      <alignment horizontal="right" vertical="center" shrinkToFit="1"/>
    </xf>
    <xf numFmtId="40" fontId="6" fillId="0" borderId="2" xfId="0" applyNumberFormat="1" applyFont="1" applyBorder="1" applyAlignment="1">
      <alignment horizontal="right" vertical="center" shrinkToFit="1"/>
    </xf>
    <xf numFmtId="38" fontId="6" fillId="0" borderId="2" xfId="0" applyNumberFormat="1" applyFont="1" applyBorder="1" applyAlignment="1">
      <alignment horizontal="right" vertical="center" shrinkToFit="1"/>
    </xf>
    <xf numFmtId="181" fontId="6" fillId="0" borderId="2" xfId="0" applyNumberFormat="1" applyFont="1" applyBorder="1" applyAlignment="1">
      <alignment horizontal="right" vertical="center" shrinkToFit="1"/>
    </xf>
    <xf numFmtId="4" fontId="6" fillId="0" borderId="2" xfId="0" applyNumberFormat="1" applyFont="1" applyBorder="1" applyAlignment="1">
      <alignment horizontal="right" vertical="center" shrinkToFit="1"/>
    </xf>
    <xf numFmtId="40" fontId="8" fillId="0" borderId="5" xfId="0" applyNumberFormat="1" applyFont="1" applyBorder="1" applyAlignment="1">
      <alignment horizontal="right" vertical="center" shrinkToFit="1"/>
    </xf>
    <xf numFmtId="40" fontId="3" fillId="0" borderId="14" xfId="0" applyNumberFormat="1" applyFont="1" applyBorder="1" applyAlignment="1">
      <alignment horizontal="right" vertical="center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38" fontId="0" fillId="0" borderId="14" xfId="0" applyNumberFormat="1" applyBorder="1" applyAlignment="1">
      <alignment horizontal="right" vertical="center"/>
    </xf>
    <xf numFmtId="40" fontId="0" fillId="0" borderId="14" xfId="0" applyNumberFormat="1" applyBorder="1" applyAlignment="1">
      <alignment horizontal="right" vertical="center"/>
    </xf>
    <xf numFmtId="0" fontId="10" fillId="0" borderId="14" xfId="0" applyFont="1" applyBorder="1" applyAlignment="1">
      <alignment horizontal="right"/>
    </xf>
    <xf numFmtId="43" fontId="3" fillId="0" borderId="0" xfId="4" applyFont="1" applyAlignment="1">
      <alignment horizontal="left"/>
    </xf>
    <xf numFmtId="43" fontId="3" fillId="0" borderId="0" xfId="4" applyFont="1" applyAlignment="1">
      <alignment horizontal="left" vertical="center"/>
    </xf>
  </cellXfs>
  <cellStyles count="5">
    <cellStyle name="一般" xfId="0" builtinId="0"/>
    <cellStyle name="一般 2" xfId="1" xr:uid="{12D8381E-D13C-4BE9-BF0A-48BCF4FB8047}"/>
    <cellStyle name="一般 4" xfId="2" xr:uid="{627142D4-FE29-4DFF-9539-2BAE95743D0A}"/>
    <cellStyle name="千分位" xfId="4" builtinId="3"/>
    <cellStyle name="千分位 2" xfId="3" xr:uid="{89DBDD32-4E87-40BB-B20B-049FC216D0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234950</xdr:colOff>
          <xdr:row>1</xdr:row>
          <xdr:rowOff>152400</xdr:rowOff>
        </xdr:from>
        <xdr:to>
          <xdr:col>2</xdr:col>
          <xdr:colOff>266700</xdr:colOff>
          <xdr:row>5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5FF9B-59D4-418C-A683-92D3B23A5872}">
  <sheetPr codeName="main"/>
  <dimension ref="A1"/>
  <sheetViews>
    <sheetView showGridLines="0" tabSelected="1" zoomScaleNormal="100" workbookViewId="0">
      <pane ySplit="1" topLeftCell="A2" activePane="bottomLeft" state="frozen"/>
      <selection activeCell="B1" sqref="B1:B1048576"/>
      <selection pane="bottomLeft" activeCell="C8" sqref="C8"/>
    </sheetView>
  </sheetViews>
  <sheetFormatPr defaultRowHeight="14.5" customHeight="1"/>
  <sheetData/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0</xdr:col>
                <xdr:colOff>234950</xdr:colOff>
                <xdr:row>1</xdr:row>
                <xdr:rowOff>152400</xdr:rowOff>
              </from>
              <to>
                <xdr:col>2</xdr:col>
                <xdr:colOff>266700</xdr:colOff>
                <xdr:row>5</xdr:row>
                <xdr:rowOff>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84080-61DA-4E17-87D8-E3FBCEC276E7}">
  <sheetPr codeName="temp"/>
  <dimension ref="A1:S11"/>
  <sheetViews>
    <sheetView workbookViewId="0">
      <selection sqref="A1:XFD1048576"/>
    </sheetView>
  </sheetViews>
  <sheetFormatPr defaultRowHeight="14.5"/>
  <cols>
    <col min="1" max="1" width="6.59765625" bestFit="1" customWidth="1"/>
    <col min="2" max="4" width="14.296875" bestFit="1" customWidth="1"/>
    <col min="5" max="5" width="9.8984375" bestFit="1" customWidth="1"/>
    <col min="6" max="11" width="14.296875" bestFit="1" customWidth="1"/>
    <col min="12" max="12" width="9.8984375" bestFit="1" customWidth="1"/>
    <col min="13" max="15" width="14.296875" bestFit="1" customWidth="1"/>
    <col min="16" max="19" width="9.8984375" bestFit="1" customWidth="1"/>
    <col min="257" max="257" width="6.59765625" bestFit="1" customWidth="1"/>
    <col min="258" max="260" width="14.296875" bestFit="1" customWidth="1"/>
    <col min="261" max="261" width="9.8984375" bestFit="1" customWidth="1"/>
    <col min="262" max="267" width="14.296875" bestFit="1" customWidth="1"/>
    <col min="268" max="268" width="9.8984375" bestFit="1" customWidth="1"/>
    <col min="269" max="271" width="14.296875" bestFit="1" customWidth="1"/>
    <col min="272" max="275" width="9.8984375" bestFit="1" customWidth="1"/>
    <col min="513" max="513" width="6.59765625" bestFit="1" customWidth="1"/>
    <col min="514" max="516" width="14.296875" bestFit="1" customWidth="1"/>
    <col min="517" max="517" width="9.8984375" bestFit="1" customWidth="1"/>
    <col min="518" max="523" width="14.296875" bestFit="1" customWidth="1"/>
    <col min="524" max="524" width="9.8984375" bestFit="1" customWidth="1"/>
    <col min="525" max="527" width="14.296875" bestFit="1" customWidth="1"/>
    <col min="528" max="531" width="9.8984375" bestFit="1" customWidth="1"/>
    <col min="769" max="769" width="6.59765625" bestFit="1" customWidth="1"/>
    <col min="770" max="772" width="14.296875" bestFit="1" customWidth="1"/>
    <col min="773" max="773" width="9.8984375" bestFit="1" customWidth="1"/>
    <col min="774" max="779" width="14.296875" bestFit="1" customWidth="1"/>
    <col min="780" max="780" width="9.8984375" bestFit="1" customWidth="1"/>
    <col min="781" max="783" width="14.296875" bestFit="1" customWidth="1"/>
    <col min="784" max="787" width="9.8984375" bestFit="1" customWidth="1"/>
    <col min="1025" max="1025" width="6.59765625" bestFit="1" customWidth="1"/>
    <col min="1026" max="1028" width="14.296875" bestFit="1" customWidth="1"/>
    <col min="1029" max="1029" width="9.8984375" bestFit="1" customWidth="1"/>
    <col min="1030" max="1035" width="14.296875" bestFit="1" customWidth="1"/>
    <col min="1036" max="1036" width="9.8984375" bestFit="1" customWidth="1"/>
    <col min="1037" max="1039" width="14.296875" bestFit="1" customWidth="1"/>
    <col min="1040" max="1043" width="9.8984375" bestFit="1" customWidth="1"/>
    <col min="1281" max="1281" width="6.59765625" bestFit="1" customWidth="1"/>
    <col min="1282" max="1284" width="14.296875" bestFit="1" customWidth="1"/>
    <col min="1285" max="1285" width="9.8984375" bestFit="1" customWidth="1"/>
    <col min="1286" max="1291" width="14.296875" bestFit="1" customWidth="1"/>
    <col min="1292" max="1292" width="9.8984375" bestFit="1" customWidth="1"/>
    <col min="1293" max="1295" width="14.296875" bestFit="1" customWidth="1"/>
    <col min="1296" max="1299" width="9.8984375" bestFit="1" customWidth="1"/>
    <col min="1537" max="1537" width="6.59765625" bestFit="1" customWidth="1"/>
    <col min="1538" max="1540" width="14.296875" bestFit="1" customWidth="1"/>
    <col min="1541" max="1541" width="9.8984375" bestFit="1" customWidth="1"/>
    <col min="1542" max="1547" width="14.296875" bestFit="1" customWidth="1"/>
    <col min="1548" max="1548" width="9.8984375" bestFit="1" customWidth="1"/>
    <col min="1549" max="1551" width="14.296875" bestFit="1" customWidth="1"/>
    <col min="1552" max="1555" width="9.8984375" bestFit="1" customWidth="1"/>
    <col min="1793" max="1793" width="6.59765625" bestFit="1" customWidth="1"/>
    <col min="1794" max="1796" width="14.296875" bestFit="1" customWidth="1"/>
    <col min="1797" max="1797" width="9.8984375" bestFit="1" customWidth="1"/>
    <col min="1798" max="1803" width="14.296875" bestFit="1" customWidth="1"/>
    <col min="1804" max="1804" width="9.8984375" bestFit="1" customWidth="1"/>
    <col min="1805" max="1807" width="14.296875" bestFit="1" customWidth="1"/>
    <col min="1808" max="1811" width="9.8984375" bestFit="1" customWidth="1"/>
    <col min="2049" max="2049" width="6.59765625" bestFit="1" customWidth="1"/>
    <col min="2050" max="2052" width="14.296875" bestFit="1" customWidth="1"/>
    <col min="2053" max="2053" width="9.8984375" bestFit="1" customWidth="1"/>
    <col min="2054" max="2059" width="14.296875" bestFit="1" customWidth="1"/>
    <col min="2060" max="2060" width="9.8984375" bestFit="1" customWidth="1"/>
    <col min="2061" max="2063" width="14.296875" bestFit="1" customWidth="1"/>
    <col min="2064" max="2067" width="9.8984375" bestFit="1" customWidth="1"/>
    <col min="2305" max="2305" width="6.59765625" bestFit="1" customWidth="1"/>
    <col min="2306" max="2308" width="14.296875" bestFit="1" customWidth="1"/>
    <col min="2309" max="2309" width="9.8984375" bestFit="1" customWidth="1"/>
    <col min="2310" max="2315" width="14.296875" bestFit="1" customWidth="1"/>
    <col min="2316" max="2316" width="9.8984375" bestFit="1" customWidth="1"/>
    <col min="2317" max="2319" width="14.296875" bestFit="1" customWidth="1"/>
    <col min="2320" max="2323" width="9.8984375" bestFit="1" customWidth="1"/>
    <col min="2561" max="2561" width="6.59765625" bestFit="1" customWidth="1"/>
    <col min="2562" max="2564" width="14.296875" bestFit="1" customWidth="1"/>
    <col min="2565" max="2565" width="9.8984375" bestFit="1" customWidth="1"/>
    <col min="2566" max="2571" width="14.296875" bestFit="1" customWidth="1"/>
    <col min="2572" max="2572" width="9.8984375" bestFit="1" customWidth="1"/>
    <col min="2573" max="2575" width="14.296875" bestFit="1" customWidth="1"/>
    <col min="2576" max="2579" width="9.8984375" bestFit="1" customWidth="1"/>
    <col min="2817" max="2817" width="6.59765625" bestFit="1" customWidth="1"/>
    <col min="2818" max="2820" width="14.296875" bestFit="1" customWidth="1"/>
    <col min="2821" max="2821" width="9.8984375" bestFit="1" customWidth="1"/>
    <col min="2822" max="2827" width="14.296875" bestFit="1" customWidth="1"/>
    <col min="2828" max="2828" width="9.8984375" bestFit="1" customWidth="1"/>
    <col min="2829" max="2831" width="14.296875" bestFit="1" customWidth="1"/>
    <col min="2832" max="2835" width="9.8984375" bestFit="1" customWidth="1"/>
    <col min="3073" max="3073" width="6.59765625" bestFit="1" customWidth="1"/>
    <col min="3074" max="3076" width="14.296875" bestFit="1" customWidth="1"/>
    <col min="3077" max="3077" width="9.8984375" bestFit="1" customWidth="1"/>
    <col min="3078" max="3083" width="14.296875" bestFit="1" customWidth="1"/>
    <col min="3084" max="3084" width="9.8984375" bestFit="1" customWidth="1"/>
    <col min="3085" max="3087" width="14.296875" bestFit="1" customWidth="1"/>
    <col min="3088" max="3091" width="9.8984375" bestFit="1" customWidth="1"/>
    <col min="3329" max="3329" width="6.59765625" bestFit="1" customWidth="1"/>
    <col min="3330" max="3332" width="14.296875" bestFit="1" customWidth="1"/>
    <col min="3333" max="3333" width="9.8984375" bestFit="1" customWidth="1"/>
    <col min="3334" max="3339" width="14.296875" bestFit="1" customWidth="1"/>
    <col min="3340" max="3340" width="9.8984375" bestFit="1" customWidth="1"/>
    <col min="3341" max="3343" width="14.296875" bestFit="1" customWidth="1"/>
    <col min="3344" max="3347" width="9.8984375" bestFit="1" customWidth="1"/>
    <col min="3585" max="3585" width="6.59765625" bestFit="1" customWidth="1"/>
    <col min="3586" max="3588" width="14.296875" bestFit="1" customWidth="1"/>
    <col min="3589" max="3589" width="9.8984375" bestFit="1" customWidth="1"/>
    <col min="3590" max="3595" width="14.296875" bestFit="1" customWidth="1"/>
    <col min="3596" max="3596" width="9.8984375" bestFit="1" customWidth="1"/>
    <col min="3597" max="3599" width="14.296875" bestFit="1" customWidth="1"/>
    <col min="3600" max="3603" width="9.8984375" bestFit="1" customWidth="1"/>
    <col min="3841" max="3841" width="6.59765625" bestFit="1" customWidth="1"/>
    <col min="3842" max="3844" width="14.296875" bestFit="1" customWidth="1"/>
    <col min="3845" max="3845" width="9.8984375" bestFit="1" customWidth="1"/>
    <col min="3846" max="3851" width="14.296875" bestFit="1" customWidth="1"/>
    <col min="3852" max="3852" width="9.8984375" bestFit="1" customWidth="1"/>
    <col min="3853" max="3855" width="14.296875" bestFit="1" customWidth="1"/>
    <col min="3856" max="3859" width="9.8984375" bestFit="1" customWidth="1"/>
    <col min="4097" max="4097" width="6.59765625" bestFit="1" customWidth="1"/>
    <col min="4098" max="4100" width="14.296875" bestFit="1" customWidth="1"/>
    <col min="4101" max="4101" width="9.8984375" bestFit="1" customWidth="1"/>
    <col min="4102" max="4107" width="14.296875" bestFit="1" customWidth="1"/>
    <col min="4108" max="4108" width="9.8984375" bestFit="1" customWidth="1"/>
    <col min="4109" max="4111" width="14.296875" bestFit="1" customWidth="1"/>
    <col min="4112" max="4115" width="9.8984375" bestFit="1" customWidth="1"/>
    <col min="4353" max="4353" width="6.59765625" bestFit="1" customWidth="1"/>
    <col min="4354" max="4356" width="14.296875" bestFit="1" customWidth="1"/>
    <col min="4357" max="4357" width="9.8984375" bestFit="1" customWidth="1"/>
    <col min="4358" max="4363" width="14.296875" bestFit="1" customWidth="1"/>
    <col min="4364" max="4364" width="9.8984375" bestFit="1" customWidth="1"/>
    <col min="4365" max="4367" width="14.296875" bestFit="1" customWidth="1"/>
    <col min="4368" max="4371" width="9.8984375" bestFit="1" customWidth="1"/>
    <col min="4609" max="4609" width="6.59765625" bestFit="1" customWidth="1"/>
    <col min="4610" max="4612" width="14.296875" bestFit="1" customWidth="1"/>
    <col min="4613" max="4613" width="9.8984375" bestFit="1" customWidth="1"/>
    <col min="4614" max="4619" width="14.296875" bestFit="1" customWidth="1"/>
    <col min="4620" max="4620" width="9.8984375" bestFit="1" customWidth="1"/>
    <col min="4621" max="4623" width="14.296875" bestFit="1" customWidth="1"/>
    <col min="4624" max="4627" width="9.8984375" bestFit="1" customWidth="1"/>
    <col min="4865" max="4865" width="6.59765625" bestFit="1" customWidth="1"/>
    <col min="4866" max="4868" width="14.296875" bestFit="1" customWidth="1"/>
    <col min="4869" max="4869" width="9.8984375" bestFit="1" customWidth="1"/>
    <col min="4870" max="4875" width="14.296875" bestFit="1" customWidth="1"/>
    <col min="4876" max="4876" width="9.8984375" bestFit="1" customWidth="1"/>
    <col min="4877" max="4879" width="14.296875" bestFit="1" customWidth="1"/>
    <col min="4880" max="4883" width="9.8984375" bestFit="1" customWidth="1"/>
    <col min="5121" max="5121" width="6.59765625" bestFit="1" customWidth="1"/>
    <col min="5122" max="5124" width="14.296875" bestFit="1" customWidth="1"/>
    <col min="5125" max="5125" width="9.8984375" bestFit="1" customWidth="1"/>
    <col min="5126" max="5131" width="14.296875" bestFit="1" customWidth="1"/>
    <col min="5132" max="5132" width="9.8984375" bestFit="1" customWidth="1"/>
    <col min="5133" max="5135" width="14.296875" bestFit="1" customWidth="1"/>
    <col min="5136" max="5139" width="9.8984375" bestFit="1" customWidth="1"/>
    <col min="5377" max="5377" width="6.59765625" bestFit="1" customWidth="1"/>
    <col min="5378" max="5380" width="14.296875" bestFit="1" customWidth="1"/>
    <col min="5381" max="5381" width="9.8984375" bestFit="1" customWidth="1"/>
    <col min="5382" max="5387" width="14.296875" bestFit="1" customWidth="1"/>
    <col min="5388" max="5388" width="9.8984375" bestFit="1" customWidth="1"/>
    <col min="5389" max="5391" width="14.296875" bestFit="1" customWidth="1"/>
    <col min="5392" max="5395" width="9.8984375" bestFit="1" customWidth="1"/>
    <col min="5633" max="5633" width="6.59765625" bestFit="1" customWidth="1"/>
    <col min="5634" max="5636" width="14.296875" bestFit="1" customWidth="1"/>
    <col min="5637" max="5637" width="9.8984375" bestFit="1" customWidth="1"/>
    <col min="5638" max="5643" width="14.296875" bestFit="1" customWidth="1"/>
    <col min="5644" max="5644" width="9.8984375" bestFit="1" customWidth="1"/>
    <col min="5645" max="5647" width="14.296875" bestFit="1" customWidth="1"/>
    <col min="5648" max="5651" width="9.8984375" bestFit="1" customWidth="1"/>
    <col min="5889" max="5889" width="6.59765625" bestFit="1" customWidth="1"/>
    <col min="5890" max="5892" width="14.296875" bestFit="1" customWidth="1"/>
    <col min="5893" max="5893" width="9.8984375" bestFit="1" customWidth="1"/>
    <col min="5894" max="5899" width="14.296875" bestFit="1" customWidth="1"/>
    <col min="5900" max="5900" width="9.8984375" bestFit="1" customWidth="1"/>
    <col min="5901" max="5903" width="14.296875" bestFit="1" customWidth="1"/>
    <col min="5904" max="5907" width="9.8984375" bestFit="1" customWidth="1"/>
    <col min="6145" max="6145" width="6.59765625" bestFit="1" customWidth="1"/>
    <col min="6146" max="6148" width="14.296875" bestFit="1" customWidth="1"/>
    <col min="6149" max="6149" width="9.8984375" bestFit="1" customWidth="1"/>
    <col min="6150" max="6155" width="14.296875" bestFit="1" customWidth="1"/>
    <col min="6156" max="6156" width="9.8984375" bestFit="1" customWidth="1"/>
    <col min="6157" max="6159" width="14.296875" bestFit="1" customWidth="1"/>
    <col min="6160" max="6163" width="9.8984375" bestFit="1" customWidth="1"/>
    <col min="6401" max="6401" width="6.59765625" bestFit="1" customWidth="1"/>
    <col min="6402" max="6404" width="14.296875" bestFit="1" customWidth="1"/>
    <col min="6405" max="6405" width="9.8984375" bestFit="1" customWidth="1"/>
    <col min="6406" max="6411" width="14.296875" bestFit="1" customWidth="1"/>
    <col min="6412" max="6412" width="9.8984375" bestFit="1" customWidth="1"/>
    <col min="6413" max="6415" width="14.296875" bestFit="1" customWidth="1"/>
    <col min="6416" max="6419" width="9.8984375" bestFit="1" customWidth="1"/>
    <col min="6657" max="6657" width="6.59765625" bestFit="1" customWidth="1"/>
    <col min="6658" max="6660" width="14.296875" bestFit="1" customWidth="1"/>
    <col min="6661" max="6661" width="9.8984375" bestFit="1" customWidth="1"/>
    <col min="6662" max="6667" width="14.296875" bestFit="1" customWidth="1"/>
    <col min="6668" max="6668" width="9.8984375" bestFit="1" customWidth="1"/>
    <col min="6669" max="6671" width="14.296875" bestFit="1" customWidth="1"/>
    <col min="6672" max="6675" width="9.8984375" bestFit="1" customWidth="1"/>
    <col min="6913" max="6913" width="6.59765625" bestFit="1" customWidth="1"/>
    <col min="6914" max="6916" width="14.296875" bestFit="1" customWidth="1"/>
    <col min="6917" max="6917" width="9.8984375" bestFit="1" customWidth="1"/>
    <col min="6918" max="6923" width="14.296875" bestFit="1" customWidth="1"/>
    <col min="6924" max="6924" width="9.8984375" bestFit="1" customWidth="1"/>
    <col min="6925" max="6927" width="14.296875" bestFit="1" customWidth="1"/>
    <col min="6928" max="6931" width="9.8984375" bestFit="1" customWidth="1"/>
    <col min="7169" max="7169" width="6.59765625" bestFit="1" customWidth="1"/>
    <col min="7170" max="7172" width="14.296875" bestFit="1" customWidth="1"/>
    <col min="7173" max="7173" width="9.8984375" bestFit="1" customWidth="1"/>
    <col min="7174" max="7179" width="14.296875" bestFit="1" customWidth="1"/>
    <col min="7180" max="7180" width="9.8984375" bestFit="1" customWidth="1"/>
    <col min="7181" max="7183" width="14.296875" bestFit="1" customWidth="1"/>
    <col min="7184" max="7187" width="9.8984375" bestFit="1" customWidth="1"/>
    <col min="7425" max="7425" width="6.59765625" bestFit="1" customWidth="1"/>
    <col min="7426" max="7428" width="14.296875" bestFit="1" customWidth="1"/>
    <col min="7429" max="7429" width="9.8984375" bestFit="1" customWidth="1"/>
    <col min="7430" max="7435" width="14.296875" bestFit="1" customWidth="1"/>
    <col min="7436" max="7436" width="9.8984375" bestFit="1" customWidth="1"/>
    <col min="7437" max="7439" width="14.296875" bestFit="1" customWidth="1"/>
    <col min="7440" max="7443" width="9.8984375" bestFit="1" customWidth="1"/>
    <col min="7681" max="7681" width="6.59765625" bestFit="1" customWidth="1"/>
    <col min="7682" max="7684" width="14.296875" bestFit="1" customWidth="1"/>
    <col min="7685" max="7685" width="9.8984375" bestFit="1" customWidth="1"/>
    <col min="7686" max="7691" width="14.296875" bestFit="1" customWidth="1"/>
    <col min="7692" max="7692" width="9.8984375" bestFit="1" customWidth="1"/>
    <col min="7693" max="7695" width="14.296875" bestFit="1" customWidth="1"/>
    <col min="7696" max="7699" width="9.8984375" bestFit="1" customWidth="1"/>
    <col min="7937" max="7937" width="6.59765625" bestFit="1" customWidth="1"/>
    <col min="7938" max="7940" width="14.296875" bestFit="1" customWidth="1"/>
    <col min="7941" max="7941" width="9.8984375" bestFit="1" customWidth="1"/>
    <col min="7942" max="7947" width="14.296875" bestFit="1" customWidth="1"/>
    <col min="7948" max="7948" width="9.8984375" bestFit="1" customWidth="1"/>
    <col min="7949" max="7951" width="14.296875" bestFit="1" customWidth="1"/>
    <col min="7952" max="7955" width="9.8984375" bestFit="1" customWidth="1"/>
    <col min="8193" max="8193" width="6.59765625" bestFit="1" customWidth="1"/>
    <col min="8194" max="8196" width="14.296875" bestFit="1" customWidth="1"/>
    <col min="8197" max="8197" width="9.8984375" bestFit="1" customWidth="1"/>
    <col min="8198" max="8203" width="14.296875" bestFit="1" customWidth="1"/>
    <col min="8204" max="8204" width="9.8984375" bestFit="1" customWidth="1"/>
    <col min="8205" max="8207" width="14.296875" bestFit="1" customWidth="1"/>
    <col min="8208" max="8211" width="9.8984375" bestFit="1" customWidth="1"/>
    <col min="8449" max="8449" width="6.59765625" bestFit="1" customWidth="1"/>
    <col min="8450" max="8452" width="14.296875" bestFit="1" customWidth="1"/>
    <col min="8453" max="8453" width="9.8984375" bestFit="1" customWidth="1"/>
    <col min="8454" max="8459" width="14.296875" bestFit="1" customWidth="1"/>
    <col min="8460" max="8460" width="9.8984375" bestFit="1" customWidth="1"/>
    <col min="8461" max="8463" width="14.296875" bestFit="1" customWidth="1"/>
    <col min="8464" max="8467" width="9.8984375" bestFit="1" customWidth="1"/>
    <col min="8705" max="8705" width="6.59765625" bestFit="1" customWidth="1"/>
    <col min="8706" max="8708" width="14.296875" bestFit="1" customWidth="1"/>
    <col min="8709" max="8709" width="9.8984375" bestFit="1" customWidth="1"/>
    <col min="8710" max="8715" width="14.296875" bestFit="1" customWidth="1"/>
    <col min="8716" max="8716" width="9.8984375" bestFit="1" customWidth="1"/>
    <col min="8717" max="8719" width="14.296875" bestFit="1" customWidth="1"/>
    <col min="8720" max="8723" width="9.8984375" bestFit="1" customWidth="1"/>
    <col min="8961" max="8961" width="6.59765625" bestFit="1" customWidth="1"/>
    <col min="8962" max="8964" width="14.296875" bestFit="1" customWidth="1"/>
    <col min="8965" max="8965" width="9.8984375" bestFit="1" customWidth="1"/>
    <col min="8966" max="8971" width="14.296875" bestFit="1" customWidth="1"/>
    <col min="8972" max="8972" width="9.8984375" bestFit="1" customWidth="1"/>
    <col min="8973" max="8975" width="14.296875" bestFit="1" customWidth="1"/>
    <col min="8976" max="8979" width="9.8984375" bestFit="1" customWidth="1"/>
    <col min="9217" max="9217" width="6.59765625" bestFit="1" customWidth="1"/>
    <col min="9218" max="9220" width="14.296875" bestFit="1" customWidth="1"/>
    <col min="9221" max="9221" width="9.8984375" bestFit="1" customWidth="1"/>
    <col min="9222" max="9227" width="14.296875" bestFit="1" customWidth="1"/>
    <col min="9228" max="9228" width="9.8984375" bestFit="1" customWidth="1"/>
    <col min="9229" max="9231" width="14.296875" bestFit="1" customWidth="1"/>
    <col min="9232" max="9235" width="9.8984375" bestFit="1" customWidth="1"/>
    <col min="9473" max="9473" width="6.59765625" bestFit="1" customWidth="1"/>
    <col min="9474" max="9476" width="14.296875" bestFit="1" customWidth="1"/>
    <col min="9477" max="9477" width="9.8984375" bestFit="1" customWidth="1"/>
    <col min="9478" max="9483" width="14.296875" bestFit="1" customWidth="1"/>
    <col min="9484" max="9484" width="9.8984375" bestFit="1" customWidth="1"/>
    <col min="9485" max="9487" width="14.296875" bestFit="1" customWidth="1"/>
    <col min="9488" max="9491" width="9.8984375" bestFit="1" customWidth="1"/>
    <col min="9729" max="9729" width="6.59765625" bestFit="1" customWidth="1"/>
    <col min="9730" max="9732" width="14.296875" bestFit="1" customWidth="1"/>
    <col min="9733" max="9733" width="9.8984375" bestFit="1" customWidth="1"/>
    <col min="9734" max="9739" width="14.296875" bestFit="1" customWidth="1"/>
    <col min="9740" max="9740" width="9.8984375" bestFit="1" customWidth="1"/>
    <col min="9741" max="9743" width="14.296875" bestFit="1" customWidth="1"/>
    <col min="9744" max="9747" width="9.8984375" bestFit="1" customWidth="1"/>
    <col min="9985" max="9985" width="6.59765625" bestFit="1" customWidth="1"/>
    <col min="9986" max="9988" width="14.296875" bestFit="1" customWidth="1"/>
    <col min="9989" max="9989" width="9.8984375" bestFit="1" customWidth="1"/>
    <col min="9990" max="9995" width="14.296875" bestFit="1" customWidth="1"/>
    <col min="9996" max="9996" width="9.8984375" bestFit="1" customWidth="1"/>
    <col min="9997" max="9999" width="14.296875" bestFit="1" customWidth="1"/>
    <col min="10000" max="10003" width="9.8984375" bestFit="1" customWidth="1"/>
    <col min="10241" max="10241" width="6.59765625" bestFit="1" customWidth="1"/>
    <col min="10242" max="10244" width="14.296875" bestFit="1" customWidth="1"/>
    <col min="10245" max="10245" width="9.8984375" bestFit="1" customWidth="1"/>
    <col min="10246" max="10251" width="14.296875" bestFit="1" customWidth="1"/>
    <col min="10252" max="10252" width="9.8984375" bestFit="1" customWidth="1"/>
    <col min="10253" max="10255" width="14.296875" bestFit="1" customWidth="1"/>
    <col min="10256" max="10259" width="9.8984375" bestFit="1" customWidth="1"/>
    <col min="10497" max="10497" width="6.59765625" bestFit="1" customWidth="1"/>
    <col min="10498" max="10500" width="14.296875" bestFit="1" customWidth="1"/>
    <col min="10501" max="10501" width="9.8984375" bestFit="1" customWidth="1"/>
    <col min="10502" max="10507" width="14.296875" bestFit="1" customWidth="1"/>
    <col min="10508" max="10508" width="9.8984375" bestFit="1" customWidth="1"/>
    <col min="10509" max="10511" width="14.296875" bestFit="1" customWidth="1"/>
    <col min="10512" max="10515" width="9.8984375" bestFit="1" customWidth="1"/>
    <col min="10753" max="10753" width="6.59765625" bestFit="1" customWidth="1"/>
    <col min="10754" max="10756" width="14.296875" bestFit="1" customWidth="1"/>
    <col min="10757" max="10757" width="9.8984375" bestFit="1" customWidth="1"/>
    <col min="10758" max="10763" width="14.296875" bestFit="1" customWidth="1"/>
    <col min="10764" max="10764" width="9.8984375" bestFit="1" customWidth="1"/>
    <col min="10765" max="10767" width="14.296875" bestFit="1" customWidth="1"/>
    <col min="10768" max="10771" width="9.8984375" bestFit="1" customWidth="1"/>
    <col min="11009" max="11009" width="6.59765625" bestFit="1" customWidth="1"/>
    <col min="11010" max="11012" width="14.296875" bestFit="1" customWidth="1"/>
    <col min="11013" max="11013" width="9.8984375" bestFit="1" customWidth="1"/>
    <col min="11014" max="11019" width="14.296875" bestFit="1" customWidth="1"/>
    <col min="11020" max="11020" width="9.8984375" bestFit="1" customWidth="1"/>
    <col min="11021" max="11023" width="14.296875" bestFit="1" customWidth="1"/>
    <col min="11024" max="11027" width="9.8984375" bestFit="1" customWidth="1"/>
    <col min="11265" max="11265" width="6.59765625" bestFit="1" customWidth="1"/>
    <col min="11266" max="11268" width="14.296875" bestFit="1" customWidth="1"/>
    <col min="11269" max="11269" width="9.8984375" bestFit="1" customWidth="1"/>
    <col min="11270" max="11275" width="14.296875" bestFit="1" customWidth="1"/>
    <col min="11276" max="11276" width="9.8984375" bestFit="1" customWidth="1"/>
    <col min="11277" max="11279" width="14.296875" bestFit="1" customWidth="1"/>
    <col min="11280" max="11283" width="9.8984375" bestFit="1" customWidth="1"/>
    <col min="11521" max="11521" width="6.59765625" bestFit="1" customWidth="1"/>
    <col min="11522" max="11524" width="14.296875" bestFit="1" customWidth="1"/>
    <col min="11525" max="11525" width="9.8984375" bestFit="1" customWidth="1"/>
    <col min="11526" max="11531" width="14.296875" bestFit="1" customWidth="1"/>
    <col min="11532" max="11532" width="9.8984375" bestFit="1" customWidth="1"/>
    <col min="11533" max="11535" width="14.296875" bestFit="1" customWidth="1"/>
    <col min="11536" max="11539" width="9.8984375" bestFit="1" customWidth="1"/>
    <col min="11777" max="11777" width="6.59765625" bestFit="1" customWidth="1"/>
    <col min="11778" max="11780" width="14.296875" bestFit="1" customWidth="1"/>
    <col min="11781" max="11781" width="9.8984375" bestFit="1" customWidth="1"/>
    <col min="11782" max="11787" width="14.296875" bestFit="1" customWidth="1"/>
    <col min="11788" max="11788" width="9.8984375" bestFit="1" customWidth="1"/>
    <col min="11789" max="11791" width="14.296875" bestFit="1" customWidth="1"/>
    <col min="11792" max="11795" width="9.8984375" bestFit="1" customWidth="1"/>
    <col min="12033" max="12033" width="6.59765625" bestFit="1" customWidth="1"/>
    <col min="12034" max="12036" width="14.296875" bestFit="1" customWidth="1"/>
    <col min="12037" max="12037" width="9.8984375" bestFit="1" customWidth="1"/>
    <col min="12038" max="12043" width="14.296875" bestFit="1" customWidth="1"/>
    <col min="12044" max="12044" width="9.8984375" bestFit="1" customWidth="1"/>
    <col min="12045" max="12047" width="14.296875" bestFit="1" customWidth="1"/>
    <col min="12048" max="12051" width="9.8984375" bestFit="1" customWidth="1"/>
    <col min="12289" max="12289" width="6.59765625" bestFit="1" customWidth="1"/>
    <col min="12290" max="12292" width="14.296875" bestFit="1" customWidth="1"/>
    <col min="12293" max="12293" width="9.8984375" bestFit="1" customWidth="1"/>
    <col min="12294" max="12299" width="14.296875" bestFit="1" customWidth="1"/>
    <col min="12300" max="12300" width="9.8984375" bestFit="1" customWidth="1"/>
    <col min="12301" max="12303" width="14.296875" bestFit="1" customWidth="1"/>
    <col min="12304" max="12307" width="9.8984375" bestFit="1" customWidth="1"/>
    <col min="12545" max="12545" width="6.59765625" bestFit="1" customWidth="1"/>
    <col min="12546" max="12548" width="14.296875" bestFit="1" customWidth="1"/>
    <col min="12549" max="12549" width="9.8984375" bestFit="1" customWidth="1"/>
    <col min="12550" max="12555" width="14.296875" bestFit="1" customWidth="1"/>
    <col min="12556" max="12556" width="9.8984375" bestFit="1" customWidth="1"/>
    <col min="12557" max="12559" width="14.296875" bestFit="1" customWidth="1"/>
    <col min="12560" max="12563" width="9.8984375" bestFit="1" customWidth="1"/>
    <col min="12801" max="12801" width="6.59765625" bestFit="1" customWidth="1"/>
    <col min="12802" max="12804" width="14.296875" bestFit="1" customWidth="1"/>
    <col min="12805" max="12805" width="9.8984375" bestFit="1" customWidth="1"/>
    <col min="12806" max="12811" width="14.296875" bestFit="1" customWidth="1"/>
    <col min="12812" max="12812" width="9.8984375" bestFit="1" customWidth="1"/>
    <col min="12813" max="12815" width="14.296875" bestFit="1" customWidth="1"/>
    <col min="12816" max="12819" width="9.8984375" bestFit="1" customWidth="1"/>
    <col min="13057" max="13057" width="6.59765625" bestFit="1" customWidth="1"/>
    <col min="13058" max="13060" width="14.296875" bestFit="1" customWidth="1"/>
    <col min="13061" max="13061" width="9.8984375" bestFit="1" customWidth="1"/>
    <col min="13062" max="13067" width="14.296875" bestFit="1" customWidth="1"/>
    <col min="13068" max="13068" width="9.8984375" bestFit="1" customWidth="1"/>
    <col min="13069" max="13071" width="14.296875" bestFit="1" customWidth="1"/>
    <col min="13072" max="13075" width="9.8984375" bestFit="1" customWidth="1"/>
    <col min="13313" max="13313" width="6.59765625" bestFit="1" customWidth="1"/>
    <col min="13314" max="13316" width="14.296875" bestFit="1" customWidth="1"/>
    <col min="13317" max="13317" width="9.8984375" bestFit="1" customWidth="1"/>
    <col min="13318" max="13323" width="14.296875" bestFit="1" customWidth="1"/>
    <col min="13324" max="13324" width="9.8984375" bestFit="1" customWidth="1"/>
    <col min="13325" max="13327" width="14.296875" bestFit="1" customWidth="1"/>
    <col min="13328" max="13331" width="9.8984375" bestFit="1" customWidth="1"/>
    <col min="13569" max="13569" width="6.59765625" bestFit="1" customWidth="1"/>
    <col min="13570" max="13572" width="14.296875" bestFit="1" customWidth="1"/>
    <col min="13573" max="13573" width="9.8984375" bestFit="1" customWidth="1"/>
    <col min="13574" max="13579" width="14.296875" bestFit="1" customWidth="1"/>
    <col min="13580" max="13580" width="9.8984375" bestFit="1" customWidth="1"/>
    <col min="13581" max="13583" width="14.296875" bestFit="1" customWidth="1"/>
    <col min="13584" max="13587" width="9.8984375" bestFit="1" customWidth="1"/>
    <col min="13825" max="13825" width="6.59765625" bestFit="1" customWidth="1"/>
    <col min="13826" max="13828" width="14.296875" bestFit="1" customWidth="1"/>
    <col min="13829" max="13829" width="9.8984375" bestFit="1" customWidth="1"/>
    <col min="13830" max="13835" width="14.296875" bestFit="1" customWidth="1"/>
    <col min="13836" max="13836" width="9.8984375" bestFit="1" customWidth="1"/>
    <col min="13837" max="13839" width="14.296875" bestFit="1" customWidth="1"/>
    <col min="13840" max="13843" width="9.8984375" bestFit="1" customWidth="1"/>
    <col min="14081" max="14081" width="6.59765625" bestFit="1" customWidth="1"/>
    <col min="14082" max="14084" width="14.296875" bestFit="1" customWidth="1"/>
    <col min="14085" max="14085" width="9.8984375" bestFit="1" customWidth="1"/>
    <col min="14086" max="14091" width="14.296875" bestFit="1" customWidth="1"/>
    <col min="14092" max="14092" width="9.8984375" bestFit="1" customWidth="1"/>
    <col min="14093" max="14095" width="14.296875" bestFit="1" customWidth="1"/>
    <col min="14096" max="14099" width="9.8984375" bestFit="1" customWidth="1"/>
    <col min="14337" max="14337" width="6.59765625" bestFit="1" customWidth="1"/>
    <col min="14338" max="14340" width="14.296875" bestFit="1" customWidth="1"/>
    <col min="14341" max="14341" width="9.8984375" bestFit="1" customWidth="1"/>
    <col min="14342" max="14347" width="14.296875" bestFit="1" customWidth="1"/>
    <col min="14348" max="14348" width="9.8984375" bestFit="1" customWidth="1"/>
    <col min="14349" max="14351" width="14.296875" bestFit="1" customWidth="1"/>
    <col min="14352" max="14355" width="9.8984375" bestFit="1" customWidth="1"/>
    <col min="14593" max="14593" width="6.59765625" bestFit="1" customWidth="1"/>
    <col min="14594" max="14596" width="14.296875" bestFit="1" customWidth="1"/>
    <col min="14597" max="14597" width="9.8984375" bestFit="1" customWidth="1"/>
    <col min="14598" max="14603" width="14.296875" bestFit="1" customWidth="1"/>
    <col min="14604" max="14604" width="9.8984375" bestFit="1" customWidth="1"/>
    <col min="14605" max="14607" width="14.296875" bestFit="1" customWidth="1"/>
    <col min="14608" max="14611" width="9.8984375" bestFit="1" customWidth="1"/>
    <col min="14849" max="14849" width="6.59765625" bestFit="1" customWidth="1"/>
    <col min="14850" max="14852" width="14.296875" bestFit="1" customWidth="1"/>
    <col min="14853" max="14853" width="9.8984375" bestFit="1" customWidth="1"/>
    <col min="14854" max="14859" width="14.296875" bestFit="1" customWidth="1"/>
    <col min="14860" max="14860" width="9.8984375" bestFit="1" customWidth="1"/>
    <col min="14861" max="14863" width="14.296875" bestFit="1" customWidth="1"/>
    <col min="14864" max="14867" width="9.8984375" bestFit="1" customWidth="1"/>
    <col min="15105" max="15105" width="6.59765625" bestFit="1" customWidth="1"/>
    <col min="15106" max="15108" width="14.296875" bestFit="1" customWidth="1"/>
    <col min="15109" max="15109" width="9.8984375" bestFit="1" customWidth="1"/>
    <col min="15110" max="15115" width="14.296875" bestFit="1" customWidth="1"/>
    <col min="15116" max="15116" width="9.8984375" bestFit="1" customWidth="1"/>
    <col min="15117" max="15119" width="14.296875" bestFit="1" customWidth="1"/>
    <col min="15120" max="15123" width="9.8984375" bestFit="1" customWidth="1"/>
    <col min="15361" max="15361" width="6.59765625" bestFit="1" customWidth="1"/>
    <col min="15362" max="15364" width="14.296875" bestFit="1" customWidth="1"/>
    <col min="15365" max="15365" width="9.8984375" bestFit="1" customWidth="1"/>
    <col min="15366" max="15371" width="14.296875" bestFit="1" customWidth="1"/>
    <col min="15372" max="15372" width="9.8984375" bestFit="1" customWidth="1"/>
    <col min="15373" max="15375" width="14.296875" bestFit="1" customWidth="1"/>
    <col min="15376" max="15379" width="9.8984375" bestFit="1" customWidth="1"/>
    <col min="15617" max="15617" width="6.59765625" bestFit="1" customWidth="1"/>
    <col min="15618" max="15620" width="14.296875" bestFit="1" customWidth="1"/>
    <col min="15621" max="15621" width="9.8984375" bestFit="1" customWidth="1"/>
    <col min="15622" max="15627" width="14.296875" bestFit="1" customWidth="1"/>
    <col min="15628" max="15628" width="9.8984375" bestFit="1" customWidth="1"/>
    <col min="15629" max="15631" width="14.296875" bestFit="1" customWidth="1"/>
    <col min="15632" max="15635" width="9.8984375" bestFit="1" customWidth="1"/>
    <col min="15873" max="15873" width="6.59765625" bestFit="1" customWidth="1"/>
    <col min="15874" max="15876" width="14.296875" bestFit="1" customWidth="1"/>
    <col min="15877" max="15877" width="9.8984375" bestFit="1" customWidth="1"/>
    <col min="15878" max="15883" width="14.296875" bestFit="1" customWidth="1"/>
    <col min="15884" max="15884" width="9.8984375" bestFit="1" customWidth="1"/>
    <col min="15885" max="15887" width="14.296875" bestFit="1" customWidth="1"/>
    <col min="15888" max="15891" width="9.8984375" bestFit="1" customWidth="1"/>
    <col min="16129" max="16129" width="6.59765625" bestFit="1" customWidth="1"/>
    <col min="16130" max="16132" width="14.296875" bestFit="1" customWidth="1"/>
    <col min="16133" max="16133" width="9.8984375" bestFit="1" customWidth="1"/>
    <col min="16134" max="16139" width="14.296875" bestFit="1" customWidth="1"/>
    <col min="16140" max="16140" width="9.8984375" bestFit="1" customWidth="1"/>
    <col min="16141" max="16143" width="14.296875" bestFit="1" customWidth="1"/>
    <col min="16144" max="16147" width="9.8984375" bestFit="1" customWidth="1"/>
  </cols>
  <sheetData>
    <row r="1" spans="1:19" ht="15" customHeight="1">
      <c r="A1" s="70" t="s">
        <v>7139</v>
      </c>
      <c r="B1" s="71"/>
      <c r="C1" s="70" t="s">
        <v>7140</v>
      </c>
      <c r="D1" s="72"/>
      <c r="E1" s="71"/>
      <c r="F1" s="70" t="s">
        <v>7141</v>
      </c>
      <c r="G1" s="71"/>
      <c r="H1" s="70" t="s">
        <v>7142</v>
      </c>
      <c r="I1" s="71"/>
      <c r="J1" s="70" t="s">
        <v>7143</v>
      </c>
      <c r="K1" s="72"/>
      <c r="L1" s="71"/>
      <c r="M1" s="73" t="s">
        <v>7144</v>
      </c>
      <c r="N1" s="70" t="s">
        <v>7145</v>
      </c>
      <c r="O1" s="71"/>
      <c r="P1" s="73" t="s">
        <v>7146</v>
      </c>
      <c r="Q1" s="73" t="s">
        <v>7147</v>
      </c>
      <c r="R1" s="73" t="s">
        <v>7148</v>
      </c>
      <c r="S1" s="73" t="s">
        <v>7149</v>
      </c>
    </row>
    <row r="2" spans="1:19" ht="15" customHeight="1">
      <c r="A2" s="74"/>
      <c r="B2" s="75"/>
      <c r="C2" s="76"/>
      <c r="D2" s="77"/>
      <c r="E2" s="78"/>
      <c r="F2" s="76"/>
      <c r="G2" s="78"/>
      <c r="H2" s="76"/>
      <c r="I2" s="78"/>
      <c r="J2" s="76"/>
      <c r="K2" s="77"/>
      <c r="L2" s="78"/>
      <c r="M2" s="79"/>
      <c r="N2" s="76"/>
      <c r="O2" s="78"/>
      <c r="P2" s="79"/>
      <c r="Q2" s="79"/>
      <c r="R2" s="79"/>
      <c r="S2" s="79"/>
    </row>
    <row r="3" spans="1:19" ht="15" customHeight="1">
      <c r="A3" s="74"/>
      <c r="B3" s="75"/>
      <c r="C3" s="73" t="s">
        <v>7151</v>
      </c>
      <c r="D3" s="73" t="s">
        <v>7152</v>
      </c>
      <c r="E3" s="73" t="s">
        <v>7150</v>
      </c>
      <c r="F3" s="73" t="s">
        <v>7151</v>
      </c>
      <c r="G3" s="73" t="s">
        <v>7152</v>
      </c>
      <c r="H3" s="73" t="s">
        <v>7151</v>
      </c>
      <c r="I3" s="73" t="s">
        <v>7152</v>
      </c>
      <c r="J3" s="73" t="s">
        <v>7151</v>
      </c>
      <c r="K3" s="73" t="s">
        <v>7152</v>
      </c>
      <c r="L3" s="73" t="s">
        <v>7150</v>
      </c>
      <c r="M3" s="79"/>
      <c r="N3" s="73" t="s">
        <v>7151</v>
      </c>
      <c r="O3" s="73" t="s">
        <v>7152</v>
      </c>
      <c r="P3" s="79"/>
      <c r="Q3" s="79"/>
      <c r="R3" s="79"/>
      <c r="S3" s="79"/>
    </row>
    <row r="4" spans="1:19" ht="15" customHeight="1">
      <c r="A4" s="76"/>
      <c r="B4" s="78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</row>
    <row r="5" spans="1:19" ht="15.5">
      <c r="A5" s="81" t="s">
        <v>5992</v>
      </c>
      <c r="B5" s="82" t="s">
        <v>3512</v>
      </c>
      <c r="C5" s="83">
        <v>276407</v>
      </c>
      <c r="D5" s="83">
        <v>444432</v>
      </c>
      <c r="E5" s="84">
        <v>-37.81</v>
      </c>
      <c r="F5" s="83">
        <v>-409</v>
      </c>
      <c r="G5" s="83">
        <v>79092</v>
      </c>
      <c r="H5" s="83">
        <v>14007</v>
      </c>
      <c r="I5" s="83">
        <v>-3118</v>
      </c>
      <c r="J5" s="83">
        <v>14778</v>
      </c>
      <c r="K5" s="83">
        <v>64453</v>
      </c>
      <c r="L5" s="84">
        <v>-77.069999999999993</v>
      </c>
      <c r="M5" s="83">
        <v>420000</v>
      </c>
      <c r="N5" s="84">
        <v>0.35</v>
      </c>
      <c r="O5" s="84">
        <v>1.53</v>
      </c>
      <c r="P5" s="84">
        <v>17.510000000000002</v>
      </c>
      <c r="Q5" s="83">
        <v>68</v>
      </c>
      <c r="R5" s="84">
        <v>2.19</v>
      </c>
      <c r="S5" s="84">
        <v>168.69</v>
      </c>
    </row>
    <row r="6" spans="1:19" ht="15.5">
      <c r="A6" s="81" t="s">
        <v>5995</v>
      </c>
      <c r="B6" s="82" t="s">
        <v>3518</v>
      </c>
      <c r="C6" s="83">
        <v>105287</v>
      </c>
      <c r="D6" s="83">
        <v>168316</v>
      </c>
      <c r="E6" s="84">
        <v>-37.450000000000003</v>
      </c>
      <c r="F6" s="83">
        <v>-119108</v>
      </c>
      <c r="G6" s="83">
        <v>-32433</v>
      </c>
      <c r="H6" s="83">
        <v>-8529</v>
      </c>
      <c r="I6" s="83">
        <v>8209</v>
      </c>
      <c r="J6" s="83">
        <v>-75354</v>
      </c>
      <c r="K6" s="83">
        <v>-15907</v>
      </c>
      <c r="L6" s="84">
        <v>-373.72</v>
      </c>
      <c r="M6" s="83">
        <v>1045500</v>
      </c>
      <c r="N6" s="84">
        <v>-0.72</v>
      </c>
      <c r="O6" s="84">
        <v>-0.15</v>
      </c>
      <c r="P6" s="84">
        <v>8.19</v>
      </c>
      <c r="Q6" s="83">
        <v>40</v>
      </c>
      <c r="R6" s="84">
        <v>0.85</v>
      </c>
      <c r="S6" s="84">
        <v>17.61</v>
      </c>
    </row>
    <row r="7" spans="1:19" ht="15.5">
      <c r="A7" s="81" t="s">
        <v>6043</v>
      </c>
      <c r="B7" s="82" t="s">
        <v>3594</v>
      </c>
      <c r="C7" s="83">
        <v>425255</v>
      </c>
      <c r="D7" s="83">
        <v>570572</v>
      </c>
      <c r="E7" s="84">
        <v>-25.47</v>
      </c>
      <c r="F7" s="83">
        <v>-38282</v>
      </c>
      <c r="G7" s="83">
        <v>2572</v>
      </c>
      <c r="H7" s="83">
        <v>-5823</v>
      </c>
      <c r="I7" s="83">
        <v>34937</v>
      </c>
      <c r="J7" s="83">
        <v>-41274</v>
      </c>
      <c r="K7" s="83">
        <v>32321</v>
      </c>
      <c r="L7" s="84">
        <v>-227.7</v>
      </c>
      <c r="M7" s="83">
        <v>242969</v>
      </c>
      <c r="N7" s="84">
        <v>-1.7</v>
      </c>
      <c r="O7" s="84">
        <v>1.33</v>
      </c>
      <c r="P7" s="84">
        <v>17.440000000000001</v>
      </c>
      <c r="Q7" s="83">
        <v>40</v>
      </c>
      <c r="R7" s="84">
        <v>0.88</v>
      </c>
      <c r="S7" s="84">
        <v>52.83</v>
      </c>
    </row>
    <row r="8" spans="1:19" ht="15.5">
      <c r="A8" s="81" t="s">
        <v>6146</v>
      </c>
      <c r="B8" s="82" t="s">
        <v>3752</v>
      </c>
      <c r="C8" s="83">
        <v>0</v>
      </c>
      <c r="D8" s="83">
        <v>0</v>
      </c>
      <c r="E8" s="85" t="s">
        <v>6571</v>
      </c>
      <c r="F8" s="83">
        <v>-376569</v>
      </c>
      <c r="G8" s="83">
        <v>-473328</v>
      </c>
      <c r="H8" s="83">
        <v>-19140</v>
      </c>
      <c r="I8" s="83">
        <v>-10817</v>
      </c>
      <c r="J8" s="83">
        <v>-395758</v>
      </c>
      <c r="K8" s="83">
        <v>-484192</v>
      </c>
      <c r="L8" s="84">
        <v>18.260000000000002</v>
      </c>
      <c r="M8" s="83">
        <v>3529014</v>
      </c>
      <c r="N8" s="84">
        <v>-1.37</v>
      </c>
      <c r="O8" s="84">
        <v>-1.82</v>
      </c>
      <c r="P8" s="84">
        <v>3.2</v>
      </c>
      <c r="Q8" s="83">
        <v>46</v>
      </c>
      <c r="R8" s="84">
        <v>0.84</v>
      </c>
      <c r="S8" s="84">
        <v>81.98</v>
      </c>
    </row>
    <row r="9" spans="1:19" ht="15.5">
      <c r="A9" s="81" t="s">
        <v>6167</v>
      </c>
      <c r="B9" s="82" t="s">
        <v>3784</v>
      </c>
      <c r="C9" s="83">
        <v>45397</v>
      </c>
      <c r="D9" s="83">
        <v>15807</v>
      </c>
      <c r="E9" s="84">
        <v>187.2</v>
      </c>
      <c r="F9" s="83">
        <v>-151617</v>
      </c>
      <c r="G9" s="83">
        <v>-122455</v>
      </c>
      <c r="H9" s="83">
        <v>-2041</v>
      </c>
      <c r="I9" s="83">
        <v>-116</v>
      </c>
      <c r="J9" s="83">
        <v>-153671</v>
      </c>
      <c r="K9" s="83">
        <v>-122583</v>
      </c>
      <c r="L9" s="84">
        <v>-25.36</v>
      </c>
      <c r="M9" s="83">
        <v>620089</v>
      </c>
      <c r="N9" s="84">
        <v>-2.48</v>
      </c>
      <c r="O9" s="84">
        <v>-2.42</v>
      </c>
      <c r="P9" s="84">
        <v>4.55</v>
      </c>
      <c r="Q9" s="83">
        <v>51</v>
      </c>
      <c r="R9" s="84">
        <v>2.29</v>
      </c>
      <c r="S9" s="84">
        <v>185.08</v>
      </c>
    </row>
    <row r="10" spans="1:19" ht="15.5">
      <c r="A10" s="81" t="s">
        <v>6171</v>
      </c>
      <c r="B10" s="82" t="s">
        <v>3794</v>
      </c>
      <c r="C10" s="83">
        <v>248</v>
      </c>
      <c r="D10" s="83">
        <v>0</v>
      </c>
      <c r="E10" s="85" t="s">
        <v>6571</v>
      </c>
      <c r="F10" s="83">
        <v>-51095</v>
      </c>
      <c r="G10" s="83">
        <v>-52474</v>
      </c>
      <c r="H10" s="83">
        <v>6067</v>
      </c>
      <c r="I10" s="83">
        <v>1988</v>
      </c>
      <c r="J10" s="83">
        <v>-42859</v>
      </c>
      <c r="K10" s="83">
        <v>-48922</v>
      </c>
      <c r="L10" s="84">
        <v>12.39</v>
      </c>
      <c r="M10" s="83">
        <v>1030631</v>
      </c>
      <c r="N10" s="84">
        <v>-0.42</v>
      </c>
      <c r="O10" s="84">
        <v>-0.49</v>
      </c>
      <c r="P10" s="84">
        <v>7.2</v>
      </c>
      <c r="Q10" s="83">
        <v>83</v>
      </c>
      <c r="R10" s="84">
        <v>12.24</v>
      </c>
      <c r="S10" s="84">
        <v>1224.3800000000001</v>
      </c>
    </row>
    <row r="11" spans="1:19" ht="15.5">
      <c r="A11" s="81" t="s">
        <v>6130</v>
      </c>
      <c r="B11" s="82" t="s">
        <v>3730</v>
      </c>
      <c r="C11" s="83">
        <v>463602</v>
      </c>
      <c r="D11" s="83">
        <v>730540</v>
      </c>
      <c r="E11" s="84">
        <v>-36.54</v>
      </c>
      <c r="F11" s="83">
        <v>-100556</v>
      </c>
      <c r="G11" s="83">
        <v>-46316</v>
      </c>
      <c r="H11" s="83">
        <v>-12054</v>
      </c>
      <c r="I11" s="83">
        <v>-7320</v>
      </c>
      <c r="J11" s="83">
        <v>-112589</v>
      </c>
      <c r="K11" s="83">
        <v>-54414</v>
      </c>
      <c r="L11" s="84">
        <v>-106.91</v>
      </c>
      <c r="M11" s="83">
        <v>436970</v>
      </c>
      <c r="N11" s="84">
        <v>-0.78</v>
      </c>
      <c r="O11" s="84">
        <v>-0.38</v>
      </c>
      <c r="P11" s="84">
        <v>32.200000000000003</v>
      </c>
      <c r="Q11" s="83">
        <v>52</v>
      </c>
      <c r="R11" s="84">
        <v>1.75</v>
      </c>
      <c r="S11" s="84">
        <v>153.6</v>
      </c>
    </row>
  </sheetData>
  <mergeCells count="23">
    <mergeCell ref="I3:I4"/>
    <mergeCell ref="J3:J4"/>
    <mergeCell ref="K3:K4"/>
    <mergeCell ref="L3:L4"/>
    <mergeCell ref="N3:N4"/>
    <mergeCell ref="O3:O4"/>
    <mergeCell ref="C3:C4"/>
    <mergeCell ref="D3:D4"/>
    <mergeCell ref="E3:E4"/>
    <mergeCell ref="F3:F4"/>
    <mergeCell ref="G3:G4"/>
    <mergeCell ref="H3:H4"/>
    <mergeCell ref="M1:M4"/>
    <mergeCell ref="N1:O2"/>
    <mergeCell ref="P1:P4"/>
    <mergeCell ref="Q1:Q4"/>
    <mergeCell ref="R1:R4"/>
    <mergeCell ref="S1:S4"/>
    <mergeCell ref="A1:B4"/>
    <mergeCell ref="C1:E2"/>
    <mergeCell ref="F1:G2"/>
    <mergeCell ref="H1:I2"/>
    <mergeCell ref="J1:L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CED57-4D94-422A-8515-A0291CEE8F0E}">
  <sheetPr codeName="工作表11"/>
  <dimension ref="A1:AB1954"/>
  <sheetViews>
    <sheetView workbookViewId="0">
      <pane ySplit="1" topLeftCell="A1933" activePane="bottomLeft" state="frozen"/>
      <selection pane="bottomLeft" activeCell="A1948" sqref="A1948:S1954"/>
    </sheetView>
  </sheetViews>
  <sheetFormatPr defaultColWidth="9.8984375" defaultRowHeight="14.5" customHeight="1"/>
  <cols>
    <col min="1" max="2" width="9.8984375" style="2"/>
    <col min="3" max="4" width="11.5" style="2" bestFit="1" customWidth="1"/>
    <col min="5" max="5" width="10.09765625" style="2" bestFit="1" customWidth="1"/>
    <col min="6" max="7" width="11.5" style="2" bestFit="1" customWidth="1"/>
    <col min="8" max="9" width="11.19921875" style="2" bestFit="1" customWidth="1"/>
    <col min="10" max="11" width="11.5" style="2" bestFit="1" customWidth="1"/>
    <col min="12" max="12" width="10.09765625" style="2" bestFit="1" customWidth="1"/>
    <col min="13" max="13" width="11.5" style="2" bestFit="1" customWidth="1"/>
    <col min="14" max="18" width="10.09765625" style="2" bestFit="1" customWidth="1"/>
    <col min="19" max="19" width="10.296875" style="2" bestFit="1" customWidth="1"/>
    <col min="20" max="28" width="9.8984375" style="2"/>
  </cols>
  <sheetData>
    <row r="1" spans="1:28" ht="14.5" customHeight="1">
      <c r="A1" s="9"/>
      <c r="B1" s="10"/>
      <c r="C1" s="11" t="s">
        <v>6288</v>
      </c>
      <c r="D1" s="11"/>
      <c r="E1" s="29"/>
      <c r="F1" s="30" t="s">
        <v>6289</v>
      </c>
      <c r="G1" s="30"/>
      <c r="H1" s="31" t="s">
        <v>6290</v>
      </c>
      <c r="I1" s="32"/>
      <c r="J1" s="30" t="s">
        <v>6291</v>
      </c>
      <c r="K1" s="30"/>
      <c r="L1" s="30"/>
      <c r="M1" s="33" t="s">
        <v>6292</v>
      </c>
      <c r="N1" s="34" t="s">
        <v>6293</v>
      </c>
      <c r="O1" s="35"/>
      <c r="P1" s="36" t="s">
        <v>6294</v>
      </c>
      <c r="Q1" s="37" t="s">
        <v>6295</v>
      </c>
      <c r="R1" s="37" t="s">
        <v>6296</v>
      </c>
      <c r="S1" s="37" t="s">
        <v>6297</v>
      </c>
      <c r="T1" s="2" t="s">
        <v>23</v>
      </c>
      <c r="U1" s="2" t="s">
        <v>20</v>
      </c>
      <c r="V1" s="2" t="s">
        <v>24</v>
      </c>
      <c r="W1" s="2" t="s">
        <v>25</v>
      </c>
      <c r="X1" s="2" t="s">
        <v>19</v>
      </c>
      <c r="Y1" s="2" t="s">
        <v>7125</v>
      </c>
      <c r="Z1" s="2" t="s">
        <v>17</v>
      </c>
      <c r="AA1" s="2" t="s">
        <v>18</v>
      </c>
      <c r="AB1" s="2" t="e">
        <v>#N/A</v>
      </c>
    </row>
    <row r="2" spans="1:28" ht="14.5" customHeight="1">
      <c r="A2" s="12" t="s">
        <v>16</v>
      </c>
      <c r="B2" s="13"/>
      <c r="C2" s="14" t="s">
        <v>6298</v>
      </c>
      <c r="D2" s="14"/>
      <c r="E2" s="38"/>
      <c r="F2" s="39" t="s">
        <v>6299</v>
      </c>
      <c r="G2" s="40"/>
      <c r="H2" s="39" t="s">
        <v>6300</v>
      </c>
      <c r="I2" s="40"/>
      <c r="J2" s="41" t="s">
        <v>6301</v>
      </c>
      <c r="K2" s="41"/>
      <c r="L2" s="41"/>
      <c r="M2" s="42" t="s">
        <v>0</v>
      </c>
      <c r="N2" s="43" t="s">
        <v>6302</v>
      </c>
      <c r="O2" s="44"/>
      <c r="P2" s="45" t="s">
        <v>6303</v>
      </c>
      <c r="Q2" s="46" t="s">
        <v>20</v>
      </c>
      <c r="R2" s="46" t="s">
        <v>6304</v>
      </c>
      <c r="S2" s="46" t="s">
        <v>6304</v>
      </c>
    </row>
    <row r="3" spans="1:28" ht="14.5" customHeight="1">
      <c r="A3" s="12" t="s">
        <v>6305</v>
      </c>
      <c r="B3" s="13"/>
      <c r="C3" s="15" t="s">
        <v>7153</v>
      </c>
      <c r="D3" s="15" t="s">
        <v>7154</v>
      </c>
      <c r="E3" s="36" t="s">
        <v>6306</v>
      </c>
      <c r="F3" s="47" t="s">
        <v>7153</v>
      </c>
      <c r="G3" s="47" t="s">
        <v>7154</v>
      </c>
      <c r="H3" s="47" t="s">
        <v>7153</v>
      </c>
      <c r="I3" s="47" t="s">
        <v>7154</v>
      </c>
      <c r="J3" s="47" t="s">
        <v>7153</v>
      </c>
      <c r="K3" s="47" t="s">
        <v>7154</v>
      </c>
      <c r="L3" s="36" t="s">
        <v>6306</v>
      </c>
      <c r="M3" s="48" t="s">
        <v>6307</v>
      </c>
      <c r="N3" s="36" t="s">
        <v>7153</v>
      </c>
      <c r="O3" s="36" t="s">
        <v>7154</v>
      </c>
      <c r="P3" s="49" t="s">
        <v>6308</v>
      </c>
      <c r="Q3" s="50" t="s">
        <v>6309</v>
      </c>
      <c r="R3" s="46"/>
      <c r="S3" s="46" t="s">
        <v>6310</v>
      </c>
    </row>
    <row r="4" spans="1:28" ht="14.5" customHeight="1">
      <c r="A4" s="16"/>
      <c r="B4" s="17"/>
      <c r="C4" s="18" t="s">
        <v>7135</v>
      </c>
      <c r="D4" s="18" t="s">
        <v>7136</v>
      </c>
      <c r="E4" s="51" t="s">
        <v>6309</v>
      </c>
      <c r="F4" s="52" t="s">
        <v>7135</v>
      </c>
      <c r="G4" s="52" t="s">
        <v>7136</v>
      </c>
      <c r="H4" s="52" t="s">
        <v>7135</v>
      </c>
      <c r="I4" s="52" t="s">
        <v>7136</v>
      </c>
      <c r="J4" s="52" t="s">
        <v>7135</v>
      </c>
      <c r="K4" s="52" t="s">
        <v>7136</v>
      </c>
      <c r="L4" s="51" t="s">
        <v>6309</v>
      </c>
      <c r="M4" s="18" t="s">
        <v>6311</v>
      </c>
      <c r="N4" s="53" t="s">
        <v>7135</v>
      </c>
      <c r="O4" s="53" t="s">
        <v>7136</v>
      </c>
      <c r="P4" s="51" t="s">
        <v>6312</v>
      </c>
      <c r="Q4" s="54" t="s">
        <v>6313</v>
      </c>
      <c r="R4" s="55" t="s">
        <v>6314</v>
      </c>
      <c r="S4" s="55" t="s">
        <v>6315</v>
      </c>
    </row>
    <row r="5" spans="1:28" ht="14.5" customHeight="1">
      <c r="A5" s="19" t="s">
        <v>4667</v>
      </c>
      <c r="B5" s="3" t="s">
        <v>28</v>
      </c>
      <c r="C5" s="20">
        <v>122783014</v>
      </c>
      <c r="D5" s="20">
        <v>124594602</v>
      </c>
      <c r="E5" s="56">
        <v>-1.45</v>
      </c>
      <c r="F5" s="57">
        <v>30156721</v>
      </c>
      <c r="G5" s="57">
        <v>28180901</v>
      </c>
      <c r="H5" s="57">
        <v>2476698</v>
      </c>
      <c r="I5" s="57">
        <v>2363520</v>
      </c>
      <c r="J5" s="57">
        <v>24211081</v>
      </c>
      <c r="K5" s="57">
        <v>21180821</v>
      </c>
      <c r="L5" s="56">
        <v>14.31</v>
      </c>
      <c r="M5" s="20">
        <v>56656192</v>
      </c>
      <c r="N5" s="56">
        <v>4.43</v>
      </c>
      <c r="O5" s="56">
        <v>4.08</v>
      </c>
      <c r="P5" s="58">
        <v>34.229999999999997</v>
      </c>
      <c r="Q5" s="59">
        <v>52.705674042036101</v>
      </c>
      <c r="R5" s="59">
        <v>1.7757570885060301</v>
      </c>
      <c r="S5" s="59">
        <v>1.4336533517038399</v>
      </c>
      <c r="X5" s="2">
        <f t="shared" ref="X5:X68" si="0">IF(W5&lt;&gt;"",ROUND(W5/U5,2),(100-Q5)/100)</f>
        <v>0.47294325957963901</v>
      </c>
      <c r="Y5" s="2">
        <f>SUMIF(收盤價!A:A,A5,收盤價!C:C)</f>
        <v>43.7</v>
      </c>
      <c r="Z5" s="2">
        <f t="shared" ref="Z5:Z68" si="1">IF(W5&lt;&gt;"",U5-W5,M5*P5/10)</f>
        <v>193934145.21599999</v>
      </c>
      <c r="AA5" s="2">
        <f t="shared" ref="AA5:AA68" si="2">Y5*M5/10</f>
        <v>247587559.04000002</v>
      </c>
    </row>
    <row r="6" spans="1:28" ht="14.5" customHeight="1">
      <c r="A6" s="19" t="s">
        <v>4670</v>
      </c>
      <c r="B6" s="3" t="s">
        <v>30</v>
      </c>
      <c r="C6" s="20">
        <v>89347637</v>
      </c>
      <c r="D6" s="20">
        <v>82741004</v>
      </c>
      <c r="E6" s="56">
        <v>7.98</v>
      </c>
      <c r="F6" s="57">
        <v>22063176</v>
      </c>
      <c r="G6" s="57">
        <v>18153110</v>
      </c>
      <c r="H6" s="57">
        <v>6330006</v>
      </c>
      <c r="I6" s="57">
        <v>2217008</v>
      </c>
      <c r="J6" s="57">
        <v>17459673</v>
      </c>
      <c r="K6" s="57">
        <v>11117094</v>
      </c>
      <c r="L6" s="56">
        <v>57.05</v>
      </c>
      <c r="M6" s="20">
        <v>33614472</v>
      </c>
      <c r="N6" s="56">
        <v>5.56</v>
      </c>
      <c r="O6" s="56">
        <v>3.54</v>
      </c>
      <c r="P6" s="58">
        <v>43.45</v>
      </c>
      <c r="Q6" s="59">
        <v>49.134852370358999</v>
      </c>
      <c r="R6" s="59">
        <v>1.2005289953931799</v>
      </c>
      <c r="S6" s="59">
        <v>0.70136255944811599</v>
      </c>
      <c r="X6" s="2">
        <f t="shared" si="0"/>
        <v>0.50865147629641005</v>
      </c>
      <c r="Y6" s="2">
        <f>SUMIF(收盤價!A:A,A6,收盤價!C:C)</f>
        <v>47.95</v>
      </c>
      <c r="Z6" s="2">
        <f t="shared" si="1"/>
        <v>146054880.84</v>
      </c>
      <c r="AA6" s="2">
        <f t="shared" si="2"/>
        <v>161181393.24000001</v>
      </c>
    </row>
    <row r="7" spans="1:28" ht="14.5" customHeight="1">
      <c r="A7" s="19" t="s">
        <v>4671</v>
      </c>
      <c r="B7" s="3" t="s">
        <v>32</v>
      </c>
      <c r="C7" s="20">
        <v>1884002</v>
      </c>
      <c r="D7" s="20">
        <v>2092406</v>
      </c>
      <c r="E7" s="56">
        <v>-9.9600000000000009</v>
      </c>
      <c r="F7" s="57">
        <v>-434786</v>
      </c>
      <c r="G7" s="57">
        <v>-103601</v>
      </c>
      <c r="H7" s="57">
        <v>1420557</v>
      </c>
      <c r="I7" s="57">
        <v>531481</v>
      </c>
      <c r="J7" s="57">
        <v>1297473</v>
      </c>
      <c r="K7" s="57">
        <v>699755</v>
      </c>
      <c r="L7" s="56">
        <v>85.42</v>
      </c>
      <c r="M7" s="20">
        <v>7747805</v>
      </c>
      <c r="N7" s="56">
        <v>2.02</v>
      </c>
      <c r="O7" s="56">
        <v>1.0900000000000001</v>
      </c>
      <c r="P7" s="58">
        <v>35.4</v>
      </c>
      <c r="Q7" s="59">
        <v>58.9180487075702</v>
      </c>
      <c r="R7" s="59">
        <v>2.8800754500791799</v>
      </c>
      <c r="S7" s="59">
        <v>1.2010163601282</v>
      </c>
      <c r="X7" s="2">
        <f t="shared" si="0"/>
        <v>0.41081951292429797</v>
      </c>
      <c r="Y7" s="2">
        <f>SUMIF(收盤價!A:A,A7,收盤價!C:C)</f>
        <v>22.35</v>
      </c>
      <c r="Z7" s="2">
        <f t="shared" si="1"/>
        <v>27427229.699999999</v>
      </c>
      <c r="AA7" s="2">
        <f t="shared" si="2"/>
        <v>17316344.175000001</v>
      </c>
    </row>
    <row r="8" spans="1:28" ht="14.5" customHeight="1">
      <c r="A8" s="19" t="s">
        <v>4672</v>
      </c>
      <c r="B8" s="3" t="s">
        <v>34</v>
      </c>
      <c r="C8" s="20">
        <v>5005731</v>
      </c>
      <c r="D8" s="20">
        <v>4780994</v>
      </c>
      <c r="E8" s="56">
        <v>4.7</v>
      </c>
      <c r="F8" s="57">
        <v>170895</v>
      </c>
      <c r="G8" s="57">
        <v>182646</v>
      </c>
      <c r="H8" s="57">
        <v>1027783</v>
      </c>
      <c r="I8" s="57">
        <v>945220</v>
      </c>
      <c r="J8" s="57">
        <v>1135477</v>
      </c>
      <c r="K8" s="57">
        <v>1057293</v>
      </c>
      <c r="L8" s="56">
        <v>7.39</v>
      </c>
      <c r="M8" s="20">
        <v>6536092</v>
      </c>
      <c r="N8" s="56">
        <v>1.74</v>
      </c>
      <c r="O8" s="56">
        <v>1.62</v>
      </c>
      <c r="P8" s="58">
        <v>27.51</v>
      </c>
      <c r="Q8" s="59">
        <v>76.846032334166594</v>
      </c>
      <c r="R8" s="59">
        <v>1.1136285463903399</v>
      </c>
      <c r="S8" s="59">
        <v>0.40416623389095702</v>
      </c>
      <c r="X8" s="2">
        <f t="shared" si="0"/>
        <v>0.23153967665833405</v>
      </c>
      <c r="Y8" s="2">
        <f>SUMIF(收盤價!A:A,A8,收盤價!C:C)</f>
        <v>19.600000000000001</v>
      </c>
      <c r="Z8" s="2">
        <f t="shared" si="1"/>
        <v>17980789.092</v>
      </c>
      <c r="AA8" s="2">
        <f t="shared" si="2"/>
        <v>12810740.32</v>
      </c>
    </row>
    <row r="9" spans="1:28" ht="14.5" customHeight="1">
      <c r="A9" s="19" t="s">
        <v>4673</v>
      </c>
      <c r="B9" s="3" t="s">
        <v>36</v>
      </c>
      <c r="C9" s="20">
        <v>3731696</v>
      </c>
      <c r="D9" s="20">
        <v>3330601</v>
      </c>
      <c r="E9" s="56">
        <v>12.04</v>
      </c>
      <c r="F9" s="57">
        <v>77882</v>
      </c>
      <c r="G9" s="57">
        <v>-155142</v>
      </c>
      <c r="H9" s="57">
        <v>-23968</v>
      </c>
      <c r="I9" s="57">
        <v>-36520</v>
      </c>
      <c r="J9" s="57">
        <v>45905</v>
      </c>
      <c r="K9" s="57">
        <v>-176971</v>
      </c>
      <c r="L9" s="56"/>
      <c r="M9" s="20">
        <v>4047380</v>
      </c>
      <c r="N9" s="56">
        <v>0.11</v>
      </c>
      <c r="O9" s="56">
        <v>-0.44</v>
      </c>
      <c r="P9" s="58">
        <v>10.68</v>
      </c>
      <c r="Q9" s="59">
        <v>58.956645063083997</v>
      </c>
      <c r="R9" s="59">
        <v>3.1457859629182798</v>
      </c>
      <c r="S9" s="59">
        <v>0.77321627004862303</v>
      </c>
      <c r="X9" s="2">
        <f t="shared" si="0"/>
        <v>0.41043354936916004</v>
      </c>
      <c r="Y9" s="2">
        <f>SUMIF(收盤價!A:A,A9,收盤價!C:C)</f>
        <v>8.3800000000000008</v>
      </c>
      <c r="Z9" s="2">
        <f t="shared" si="1"/>
        <v>4322601.84</v>
      </c>
      <c r="AA9" s="2">
        <f t="shared" si="2"/>
        <v>3391704.4400000004</v>
      </c>
    </row>
    <row r="10" spans="1:28" ht="14.5" customHeight="1">
      <c r="A10" s="19" t="s">
        <v>4674</v>
      </c>
      <c r="B10" s="3" t="s">
        <v>38</v>
      </c>
      <c r="C10" s="20">
        <v>7822895</v>
      </c>
      <c r="D10" s="20">
        <v>6701130</v>
      </c>
      <c r="E10" s="56">
        <v>16.739999999999998</v>
      </c>
      <c r="F10" s="57">
        <v>2066501</v>
      </c>
      <c r="G10" s="57">
        <v>1754741</v>
      </c>
      <c r="H10" s="57">
        <v>22191</v>
      </c>
      <c r="I10" s="57">
        <v>4315</v>
      </c>
      <c r="J10" s="57">
        <v>963670</v>
      </c>
      <c r="K10" s="57">
        <v>840240</v>
      </c>
      <c r="L10" s="56">
        <v>14.69</v>
      </c>
      <c r="M10" s="20">
        <v>3419579</v>
      </c>
      <c r="N10" s="56">
        <v>2.82</v>
      </c>
      <c r="O10" s="56">
        <v>2.38</v>
      </c>
      <c r="P10" s="58">
        <v>19.940000000000001</v>
      </c>
      <c r="Q10" s="59">
        <v>60.926975915385697</v>
      </c>
      <c r="R10" s="59">
        <v>2.5182975329293602</v>
      </c>
      <c r="S10" s="59">
        <v>2.0944355204998399</v>
      </c>
      <c r="X10" s="2">
        <f t="shared" si="0"/>
        <v>0.39073024084614305</v>
      </c>
      <c r="Y10" s="2">
        <f>SUMIF(收盤價!A:A,A10,收盤價!C:C)</f>
        <v>20.100000000000001</v>
      </c>
      <c r="Z10" s="2">
        <f t="shared" si="1"/>
        <v>6818640.5260000005</v>
      </c>
      <c r="AA10" s="2">
        <f t="shared" si="2"/>
        <v>6873353.790000001</v>
      </c>
    </row>
    <row r="11" spans="1:28" ht="14.5" customHeight="1">
      <c r="A11" s="19" t="s">
        <v>4675</v>
      </c>
      <c r="B11" s="3" t="s">
        <v>40</v>
      </c>
      <c r="C11" s="20">
        <v>1584940</v>
      </c>
      <c r="D11" s="20">
        <v>1676187</v>
      </c>
      <c r="E11" s="56">
        <v>-5.44</v>
      </c>
      <c r="F11" s="57">
        <v>-8509</v>
      </c>
      <c r="G11" s="57">
        <v>40497</v>
      </c>
      <c r="H11" s="57">
        <v>51653</v>
      </c>
      <c r="I11" s="57">
        <v>30744</v>
      </c>
      <c r="J11" s="57">
        <v>33133</v>
      </c>
      <c r="K11" s="57">
        <v>65680</v>
      </c>
      <c r="L11" s="56">
        <v>-49.55</v>
      </c>
      <c r="M11" s="20">
        <v>5720008</v>
      </c>
      <c r="N11" s="56">
        <v>0.06</v>
      </c>
      <c r="O11" s="56">
        <v>0.12</v>
      </c>
      <c r="P11" s="58">
        <v>14.96</v>
      </c>
      <c r="Q11" s="59">
        <v>87.514070339170601</v>
      </c>
      <c r="R11" s="59">
        <v>3.0623089072099501</v>
      </c>
      <c r="S11" s="59">
        <v>1.3359167541996999</v>
      </c>
      <c r="X11" s="2">
        <f t="shared" si="0"/>
        <v>0.12485929660829399</v>
      </c>
      <c r="Y11" s="2">
        <f>SUMIF(收盤價!A:A,A11,收盤價!C:C)</f>
        <v>17.45</v>
      </c>
      <c r="Z11" s="2">
        <f t="shared" si="1"/>
        <v>8557131.9680000003</v>
      </c>
      <c r="AA11" s="2">
        <f t="shared" si="2"/>
        <v>9981413.959999999</v>
      </c>
    </row>
    <row r="12" spans="1:28" ht="14.5" customHeight="1">
      <c r="A12" s="19" t="s">
        <v>4676</v>
      </c>
      <c r="B12" s="3" t="s">
        <v>42</v>
      </c>
      <c r="C12" s="20">
        <v>20228119</v>
      </c>
      <c r="D12" s="20">
        <v>19436763</v>
      </c>
      <c r="E12" s="56">
        <v>4.07</v>
      </c>
      <c r="F12" s="57">
        <v>544606</v>
      </c>
      <c r="G12" s="57">
        <v>513149</v>
      </c>
      <c r="H12" s="57">
        <v>1184991</v>
      </c>
      <c r="I12" s="57">
        <v>479517</v>
      </c>
      <c r="J12" s="57">
        <v>1349985</v>
      </c>
      <c r="K12" s="57">
        <v>982564</v>
      </c>
      <c r="L12" s="56">
        <v>37.39</v>
      </c>
      <c r="M12" s="20">
        <v>5060629</v>
      </c>
      <c r="N12" s="56">
        <v>2.67</v>
      </c>
      <c r="O12" s="56">
        <v>1.94</v>
      </c>
      <c r="P12" s="58">
        <v>13.71</v>
      </c>
      <c r="Q12" s="59">
        <v>36.319258008991298</v>
      </c>
      <c r="R12" s="59">
        <v>0.89658568447960196</v>
      </c>
      <c r="S12" s="59">
        <v>0.68416837312259504</v>
      </c>
      <c r="X12" s="2">
        <f t="shared" si="0"/>
        <v>0.63680741991008705</v>
      </c>
      <c r="Y12" s="2">
        <f>SUMIF(收盤價!A:A,A12,收盤價!C:C)</f>
        <v>25.05</v>
      </c>
      <c r="Z12" s="2">
        <f t="shared" si="1"/>
        <v>6938122.3590000002</v>
      </c>
      <c r="AA12" s="2">
        <f t="shared" si="2"/>
        <v>12676875.645</v>
      </c>
    </row>
    <row r="13" spans="1:28" ht="14.5" customHeight="1">
      <c r="A13" s="19" t="s">
        <v>4677</v>
      </c>
      <c r="B13" s="3" t="s">
        <v>44</v>
      </c>
      <c r="C13" s="20">
        <v>6323237</v>
      </c>
      <c r="D13" s="20">
        <v>6081031</v>
      </c>
      <c r="E13" s="56">
        <v>3.98</v>
      </c>
      <c r="F13" s="57">
        <v>923530</v>
      </c>
      <c r="G13" s="57">
        <v>976596</v>
      </c>
      <c r="H13" s="57">
        <v>30952</v>
      </c>
      <c r="I13" s="57">
        <v>43426</v>
      </c>
      <c r="J13" s="57">
        <v>456880</v>
      </c>
      <c r="K13" s="57">
        <v>431907</v>
      </c>
      <c r="L13" s="56">
        <v>5.78</v>
      </c>
      <c r="M13" s="20">
        <v>2400000</v>
      </c>
      <c r="N13" s="56">
        <v>1.92</v>
      </c>
      <c r="O13" s="56">
        <v>1.82</v>
      </c>
      <c r="P13" s="58">
        <v>21.02</v>
      </c>
      <c r="Q13" s="59">
        <v>53.024012878054698</v>
      </c>
      <c r="R13" s="59">
        <v>2.4981535035598701</v>
      </c>
      <c r="S13" s="59">
        <v>1.1689619162990801</v>
      </c>
      <c r="X13" s="2">
        <f t="shared" si="0"/>
        <v>0.46975987121945301</v>
      </c>
      <c r="Y13" s="2">
        <f>SUMIF(收盤價!A:A,A13,收盤價!C:C)</f>
        <v>27.05</v>
      </c>
      <c r="Z13" s="2">
        <f t="shared" si="1"/>
        <v>5044800</v>
      </c>
      <c r="AA13" s="2">
        <f t="shared" si="2"/>
        <v>6492000</v>
      </c>
    </row>
    <row r="14" spans="1:28" ht="14.5" customHeight="1">
      <c r="A14" s="19" t="s">
        <v>4678</v>
      </c>
      <c r="B14" s="3" t="s">
        <v>46</v>
      </c>
      <c r="C14" s="20">
        <v>77769986</v>
      </c>
      <c r="D14" s="20">
        <v>72442933</v>
      </c>
      <c r="E14" s="56">
        <v>7.35</v>
      </c>
      <c r="F14" s="57">
        <v>3721214</v>
      </c>
      <c r="G14" s="57">
        <v>2272621</v>
      </c>
      <c r="H14" s="57">
        <v>131355</v>
      </c>
      <c r="I14" s="57">
        <v>758572</v>
      </c>
      <c r="J14" s="57">
        <v>2283601</v>
      </c>
      <c r="K14" s="57">
        <v>2009883</v>
      </c>
      <c r="L14" s="56">
        <v>13.62</v>
      </c>
      <c r="M14" s="20">
        <v>8273391</v>
      </c>
      <c r="N14" s="56">
        <v>2.93</v>
      </c>
      <c r="O14" s="56">
        <v>2.62</v>
      </c>
      <c r="P14" s="58">
        <v>23.31</v>
      </c>
      <c r="Q14" s="59">
        <v>38.534558140182902</v>
      </c>
      <c r="R14" s="59">
        <v>1.05524384338724</v>
      </c>
      <c r="S14" s="59">
        <v>0.44409099219252202</v>
      </c>
      <c r="X14" s="2">
        <f t="shared" si="0"/>
        <v>0.61465441859817094</v>
      </c>
      <c r="Y14" s="2">
        <f>SUMIF(收盤價!A:A,A14,收盤價!C:C)</f>
        <v>43.65</v>
      </c>
      <c r="Z14" s="2">
        <f t="shared" si="1"/>
        <v>19285274.420999996</v>
      </c>
      <c r="AA14" s="2">
        <f t="shared" si="2"/>
        <v>36113351.714999996</v>
      </c>
    </row>
    <row r="15" spans="1:28" ht="14.5" customHeight="1">
      <c r="A15" s="19" t="s">
        <v>5624</v>
      </c>
      <c r="B15" s="3" t="s">
        <v>48</v>
      </c>
      <c r="C15" s="20">
        <v>435368</v>
      </c>
      <c r="D15" s="20">
        <v>594238</v>
      </c>
      <c r="E15" s="56">
        <v>-26.74</v>
      </c>
      <c r="F15" s="57">
        <v>-37239</v>
      </c>
      <c r="G15" s="57">
        <v>-11774</v>
      </c>
      <c r="H15" s="57">
        <v>-13257</v>
      </c>
      <c r="I15" s="57">
        <v>-56523</v>
      </c>
      <c r="J15" s="57">
        <v>-43093</v>
      </c>
      <c r="K15" s="57">
        <v>-89579</v>
      </c>
      <c r="L15" s="56"/>
      <c r="M15" s="20">
        <v>566226</v>
      </c>
      <c r="N15" s="56">
        <v>-0.76</v>
      </c>
      <c r="O15" s="56">
        <v>-1.58</v>
      </c>
      <c r="P15" s="58">
        <v>9.9499999999999993</v>
      </c>
      <c r="Q15" s="59">
        <v>44.502852286173301</v>
      </c>
      <c r="R15" s="59">
        <v>1.88553552003684</v>
      </c>
      <c r="S15" s="59">
        <v>1.49292934105111</v>
      </c>
      <c r="X15" s="2">
        <f t="shared" si="0"/>
        <v>0.554971477138267</v>
      </c>
      <c r="Y15" s="2">
        <f>SUMIF(收盤價!A:A,A15,收盤價!C:C)</f>
        <v>6.26</v>
      </c>
      <c r="Z15" s="2">
        <f t="shared" si="1"/>
        <v>563394.86999999988</v>
      </c>
      <c r="AA15" s="2">
        <f t="shared" si="2"/>
        <v>354457.47599999997</v>
      </c>
    </row>
    <row r="16" spans="1:28" ht="14.5" customHeight="1">
      <c r="A16" s="19" t="s">
        <v>4679</v>
      </c>
      <c r="B16" s="3" t="s">
        <v>50</v>
      </c>
      <c r="C16" s="20">
        <v>21173634</v>
      </c>
      <c r="D16" s="20">
        <v>18947659</v>
      </c>
      <c r="E16" s="56">
        <v>11.75</v>
      </c>
      <c r="F16" s="57">
        <v>1459297</v>
      </c>
      <c r="G16" s="57">
        <v>1260649</v>
      </c>
      <c r="H16" s="57">
        <v>743733</v>
      </c>
      <c r="I16" s="57">
        <v>5566</v>
      </c>
      <c r="J16" s="57">
        <v>1463926</v>
      </c>
      <c r="K16" s="57">
        <v>950727</v>
      </c>
      <c r="L16" s="56">
        <v>53.98</v>
      </c>
      <c r="M16" s="20">
        <v>2679910</v>
      </c>
      <c r="N16" s="56">
        <v>5.46</v>
      </c>
      <c r="O16" s="56">
        <v>3.55</v>
      </c>
      <c r="P16" s="58">
        <v>29.56</v>
      </c>
      <c r="Q16" s="59">
        <v>42.478169725508302</v>
      </c>
      <c r="R16" s="59">
        <v>1.06141288566285</v>
      </c>
      <c r="S16" s="59">
        <v>0.468516677335651</v>
      </c>
      <c r="X16" s="2">
        <f t="shared" si="0"/>
        <v>0.57521830274491703</v>
      </c>
      <c r="Y16" s="2">
        <f>SUMIF(收盤價!A:A,A16,收盤價!C:C)</f>
        <v>66.2</v>
      </c>
      <c r="Z16" s="2">
        <f t="shared" si="1"/>
        <v>7921813.959999999</v>
      </c>
      <c r="AA16" s="2">
        <f t="shared" si="2"/>
        <v>17741004.199999999</v>
      </c>
    </row>
    <row r="17" spans="1:27" ht="14.5" customHeight="1">
      <c r="A17" s="19" t="s">
        <v>4680</v>
      </c>
      <c r="B17" s="3" t="s">
        <v>52</v>
      </c>
      <c r="C17" s="20">
        <v>447977703</v>
      </c>
      <c r="D17" s="20">
        <v>431445520</v>
      </c>
      <c r="E17" s="56">
        <v>3.83</v>
      </c>
      <c r="F17" s="57">
        <v>29627640</v>
      </c>
      <c r="G17" s="57">
        <v>26986409</v>
      </c>
      <c r="H17" s="57">
        <v>6769630</v>
      </c>
      <c r="I17" s="57">
        <v>8321741</v>
      </c>
      <c r="J17" s="57">
        <v>19007255</v>
      </c>
      <c r="K17" s="57">
        <v>17442022</v>
      </c>
      <c r="L17" s="56">
        <v>8.9700000000000006</v>
      </c>
      <c r="M17" s="20">
        <v>56820154</v>
      </c>
      <c r="N17" s="56">
        <v>3.35</v>
      </c>
      <c r="O17" s="56">
        <v>3.07</v>
      </c>
      <c r="P17" s="58">
        <v>19.079999999999998</v>
      </c>
      <c r="Q17" s="59">
        <v>22.7071204636167</v>
      </c>
      <c r="R17" s="59">
        <v>1.0686483079545599</v>
      </c>
      <c r="S17" s="59">
        <v>0.67504004536916395</v>
      </c>
      <c r="X17" s="2">
        <f t="shared" si="0"/>
        <v>0.77292879536383297</v>
      </c>
      <c r="Y17" s="2">
        <f>SUMIF(收盤價!A:A,A17,收盤價!C:C)</f>
        <v>74.2</v>
      </c>
      <c r="Z17" s="2">
        <f t="shared" si="1"/>
        <v>108412853.83199999</v>
      </c>
      <c r="AA17" s="2">
        <f t="shared" si="2"/>
        <v>421605542.68000001</v>
      </c>
    </row>
    <row r="18" spans="1:27" ht="14.5" customHeight="1">
      <c r="A18" s="19" t="s">
        <v>4681</v>
      </c>
      <c r="B18" s="3" t="s">
        <v>54</v>
      </c>
      <c r="C18" s="20">
        <v>4468238</v>
      </c>
      <c r="D18" s="20">
        <v>4321819</v>
      </c>
      <c r="E18" s="56">
        <v>3.39</v>
      </c>
      <c r="F18" s="57">
        <v>132034</v>
      </c>
      <c r="G18" s="57">
        <v>67034</v>
      </c>
      <c r="H18" s="57">
        <v>-61943</v>
      </c>
      <c r="I18" s="57">
        <v>-8740</v>
      </c>
      <c r="J18" s="57">
        <v>48069</v>
      </c>
      <c r="K18" s="57">
        <v>47898</v>
      </c>
      <c r="L18" s="56">
        <v>0.36</v>
      </c>
      <c r="M18" s="20">
        <v>4945134</v>
      </c>
      <c r="N18" s="56">
        <v>0.1</v>
      </c>
      <c r="O18" s="56">
        <v>0.1</v>
      </c>
      <c r="P18" s="58">
        <v>11.49</v>
      </c>
      <c r="Q18" s="59">
        <v>44.051862339180602</v>
      </c>
      <c r="R18" s="59">
        <v>0.65060991354577102</v>
      </c>
      <c r="S18" s="59">
        <v>0.40648460512222201</v>
      </c>
      <c r="X18" s="2">
        <f t="shared" si="0"/>
        <v>0.55948137660819397</v>
      </c>
      <c r="Y18" s="2">
        <f>SUMIF(收盤價!A:A,A18,收盤價!C:C)</f>
        <v>7.11</v>
      </c>
      <c r="Z18" s="2">
        <f t="shared" si="1"/>
        <v>5681958.966</v>
      </c>
      <c r="AA18" s="2">
        <f t="shared" si="2"/>
        <v>3515990.2740000002</v>
      </c>
    </row>
    <row r="19" spans="1:27" ht="14.5" customHeight="1">
      <c r="A19" s="19" t="s">
        <v>4682</v>
      </c>
      <c r="B19" s="3" t="s">
        <v>56</v>
      </c>
      <c r="C19" s="20">
        <v>8000584</v>
      </c>
      <c r="D19" s="20">
        <v>7901670</v>
      </c>
      <c r="E19" s="56">
        <v>1.25</v>
      </c>
      <c r="F19" s="57">
        <v>160207</v>
      </c>
      <c r="G19" s="57">
        <v>90336</v>
      </c>
      <c r="H19" s="57">
        <v>461429</v>
      </c>
      <c r="I19" s="57">
        <v>401124</v>
      </c>
      <c r="J19" s="57">
        <v>582073</v>
      </c>
      <c r="K19" s="57">
        <v>464443</v>
      </c>
      <c r="L19" s="56">
        <v>25.33</v>
      </c>
      <c r="M19" s="20">
        <v>4999990</v>
      </c>
      <c r="N19" s="56">
        <v>1.2</v>
      </c>
      <c r="O19" s="56">
        <v>0.98</v>
      </c>
      <c r="P19" s="58">
        <v>13.57</v>
      </c>
      <c r="Q19" s="59">
        <v>71.509804539801095</v>
      </c>
      <c r="R19" s="59">
        <v>2.09726430882254</v>
      </c>
      <c r="S19" s="59">
        <v>1.35506218871782</v>
      </c>
      <c r="X19" s="2">
        <f t="shared" si="0"/>
        <v>0.28490195460198903</v>
      </c>
      <c r="Y19" s="2">
        <f>SUMIF(收盤價!A:A,A19,收盤價!C:C)</f>
        <v>22.1</v>
      </c>
      <c r="Z19" s="2">
        <f t="shared" si="1"/>
        <v>6784986.4299999997</v>
      </c>
      <c r="AA19" s="2">
        <f t="shared" si="2"/>
        <v>11049977.9</v>
      </c>
    </row>
    <row r="20" spans="1:27" ht="14.5" customHeight="1">
      <c r="A20" s="19" t="s">
        <v>4683</v>
      </c>
      <c r="B20" s="3" t="s">
        <v>58</v>
      </c>
      <c r="C20" s="20">
        <v>12259254</v>
      </c>
      <c r="D20" s="20">
        <v>11709984</v>
      </c>
      <c r="E20" s="56">
        <v>4.6900000000000004</v>
      </c>
      <c r="F20" s="57">
        <v>33435</v>
      </c>
      <c r="G20" s="57">
        <v>-82697</v>
      </c>
      <c r="H20" s="57">
        <v>141775</v>
      </c>
      <c r="I20" s="57">
        <v>-1368</v>
      </c>
      <c r="J20" s="57">
        <v>203114</v>
      </c>
      <c r="K20" s="57">
        <v>-11233</v>
      </c>
      <c r="L20" s="56"/>
      <c r="M20" s="20">
        <v>3220139</v>
      </c>
      <c r="N20" s="56">
        <v>0.63</v>
      </c>
      <c r="O20" s="56">
        <v>-0.03</v>
      </c>
      <c r="P20" s="58">
        <v>12.21</v>
      </c>
      <c r="Q20" s="59">
        <v>43.985340088487099</v>
      </c>
      <c r="R20" s="59">
        <v>1.64577871720808</v>
      </c>
      <c r="S20" s="59">
        <v>0.87206852272525104</v>
      </c>
      <c r="X20" s="2">
        <f t="shared" si="0"/>
        <v>0.56014659911512898</v>
      </c>
      <c r="Y20" s="2">
        <f>SUMIF(收盤價!A:A,A20,收盤價!C:C)</f>
        <v>18.55</v>
      </c>
      <c r="Z20" s="2">
        <f t="shared" si="1"/>
        <v>3931789.7190000005</v>
      </c>
      <c r="AA20" s="2">
        <f t="shared" si="2"/>
        <v>5973357.8450000007</v>
      </c>
    </row>
    <row r="21" spans="1:27" ht="14.5" customHeight="1">
      <c r="A21" s="19" t="s">
        <v>4684</v>
      </c>
      <c r="B21" s="3" t="s">
        <v>60</v>
      </c>
      <c r="C21" s="20">
        <v>2982351</v>
      </c>
      <c r="D21" s="20">
        <v>2747263</v>
      </c>
      <c r="E21" s="56">
        <v>8.56</v>
      </c>
      <c r="F21" s="57">
        <v>181947</v>
      </c>
      <c r="G21" s="57">
        <v>110336</v>
      </c>
      <c r="H21" s="57">
        <v>171</v>
      </c>
      <c r="I21" s="57">
        <v>24000</v>
      </c>
      <c r="J21" s="57">
        <v>125748</v>
      </c>
      <c r="K21" s="57">
        <v>93389</v>
      </c>
      <c r="L21" s="56">
        <v>34.65</v>
      </c>
      <c r="M21" s="20">
        <v>1770779</v>
      </c>
      <c r="N21" s="56">
        <v>0.71</v>
      </c>
      <c r="O21" s="56">
        <v>0.53</v>
      </c>
      <c r="P21" s="58">
        <v>12.98</v>
      </c>
      <c r="Q21" s="59">
        <v>72.995775634305701</v>
      </c>
      <c r="R21" s="59">
        <v>4.0982408351274602</v>
      </c>
      <c r="S21" s="59">
        <v>2.8215879434394</v>
      </c>
      <c r="X21" s="2">
        <f t="shared" si="0"/>
        <v>0.27004224365694296</v>
      </c>
      <c r="Y21" s="2">
        <f>SUMIF(收盤價!A:A,A21,收盤價!C:C)</f>
        <v>10.55</v>
      </c>
      <c r="Z21" s="2">
        <f t="shared" si="1"/>
        <v>2298471.142</v>
      </c>
      <c r="AA21" s="2">
        <f t="shared" si="2"/>
        <v>1868171.8450000002</v>
      </c>
    </row>
    <row r="22" spans="1:27" ht="14.5" customHeight="1">
      <c r="A22" s="19" t="s">
        <v>4685</v>
      </c>
      <c r="B22" s="3" t="s">
        <v>62</v>
      </c>
      <c r="C22" s="20">
        <v>10646506</v>
      </c>
      <c r="D22" s="20">
        <v>11243509</v>
      </c>
      <c r="E22" s="56">
        <v>-5.31</v>
      </c>
      <c r="F22" s="57">
        <v>445828</v>
      </c>
      <c r="G22" s="57">
        <v>341768</v>
      </c>
      <c r="H22" s="57">
        <v>47347</v>
      </c>
      <c r="I22" s="57">
        <v>37489</v>
      </c>
      <c r="J22" s="57">
        <v>339004</v>
      </c>
      <c r="K22" s="57">
        <v>255632</v>
      </c>
      <c r="L22" s="56">
        <v>32.61</v>
      </c>
      <c r="M22" s="20">
        <v>2187030</v>
      </c>
      <c r="N22" s="56">
        <v>1.55</v>
      </c>
      <c r="O22" s="56">
        <v>1.17</v>
      </c>
      <c r="P22" s="58">
        <v>14.66</v>
      </c>
      <c r="Q22" s="59">
        <v>41.428471220254401</v>
      </c>
      <c r="R22" s="59">
        <v>1.8010161525116799</v>
      </c>
      <c r="S22" s="59">
        <v>0.88748624356579497</v>
      </c>
      <c r="X22" s="2">
        <f t="shared" si="0"/>
        <v>0.58571528779745596</v>
      </c>
      <c r="Y22" s="2">
        <f>SUMIF(收盤價!A:A,A22,收盤價!C:C)</f>
        <v>34.700000000000003</v>
      </c>
      <c r="Z22" s="2">
        <f t="shared" si="1"/>
        <v>3206185.98</v>
      </c>
      <c r="AA22" s="2">
        <f t="shared" si="2"/>
        <v>7588994.0999999996</v>
      </c>
    </row>
    <row r="23" spans="1:27" ht="14.5" customHeight="1">
      <c r="A23" s="19" t="s">
        <v>4686</v>
      </c>
      <c r="B23" s="3" t="s">
        <v>64</v>
      </c>
      <c r="C23" s="20">
        <v>31266232</v>
      </c>
      <c r="D23" s="20">
        <v>27340587</v>
      </c>
      <c r="E23" s="56">
        <v>14.36</v>
      </c>
      <c r="F23" s="57">
        <v>4423873</v>
      </c>
      <c r="G23" s="57">
        <v>3149836</v>
      </c>
      <c r="H23" s="57">
        <v>124661</v>
      </c>
      <c r="I23" s="57">
        <v>526396</v>
      </c>
      <c r="J23" s="57">
        <v>3416097</v>
      </c>
      <c r="K23" s="57">
        <v>2949089</v>
      </c>
      <c r="L23" s="56">
        <v>15.84</v>
      </c>
      <c r="M23" s="20">
        <v>9150897</v>
      </c>
      <c r="N23" s="56">
        <v>3.76</v>
      </c>
      <c r="O23" s="56">
        <v>3.25</v>
      </c>
      <c r="P23" s="58">
        <v>18.36</v>
      </c>
      <c r="Q23" s="59">
        <v>65.434532323012206</v>
      </c>
      <c r="R23" s="59">
        <v>2.4099173362224802</v>
      </c>
      <c r="S23" s="59">
        <v>1.4334602997650501</v>
      </c>
      <c r="X23" s="2">
        <f t="shared" si="0"/>
        <v>0.34565467676987793</v>
      </c>
      <c r="Y23" s="2">
        <f>SUMIF(收盤價!A:A,A23,收盤價!C:C)</f>
        <v>69.599999999999994</v>
      </c>
      <c r="Z23" s="2">
        <f t="shared" si="1"/>
        <v>16801046.891999997</v>
      </c>
      <c r="AA23" s="2">
        <f t="shared" si="2"/>
        <v>63690243.11999999</v>
      </c>
    </row>
    <row r="24" spans="1:27" ht="14.5" customHeight="1">
      <c r="A24" s="19" t="s">
        <v>4687</v>
      </c>
      <c r="B24" s="3" t="s">
        <v>66</v>
      </c>
      <c r="C24" s="20">
        <v>8271293</v>
      </c>
      <c r="D24" s="20">
        <v>5097818</v>
      </c>
      <c r="E24" s="56">
        <v>62.25</v>
      </c>
      <c r="F24" s="57">
        <v>955370</v>
      </c>
      <c r="G24" s="57">
        <v>300173</v>
      </c>
      <c r="H24" s="57">
        <v>2325703</v>
      </c>
      <c r="I24" s="57">
        <v>2170571</v>
      </c>
      <c r="J24" s="57">
        <v>2766816</v>
      </c>
      <c r="K24" s="57">
        <v>2476292</v>
      </c>
      <c r="L24" s="56">
        <v>11.73</v>
      </c>
      <c r="M24" s="20">
        <v>11047399</v>
      </c>
      <c r="N24" s="56">
        <v>2.5099999999999998</v>
      </c>
      <c r="O24" s="56">
        <v>2.2400000000000002</v>
      </c>
      <c r="P24" s="58">
        <v>24.57</v>
      </c>
      <c r="Q24" s="59">
        <v>58.004986707148802</v>
      </c>
      <c r="R24" s="59">
        <v>0.94720093413127204</v>
      </c>
      <c r="S24" s="59">
        <v>0.69057373290365298</v>
      </c>
      <c r="X24" s="2">
        <f t="shared" si="0"/>
        <v>0.41995013292851197</v>
      </c>
      <c r="Y24" s="2">
        <f>SUMIF(收盤價!A:A,A24,收盤價!C:C)</f>
        <v>36.950000000000003</v>
      </c>
      <c r="Z24" s="2">
        <f t="shared" si="1"/>
        <v>27143459.343000002</v>
      </c>
      <c r="AA24" s="2">
        <f t="shared" si="2"/>
        <v>40820139.305</v>
      </c>
    </row>
    <row r="25" spans="1:27" ht="14.5" customHeight="1">
      <c r="A25" s="19" t="s">
        <v>4688</v>
      </c>
      <c r="B25" s="3" t="s">
        <v>68</v>
      </c>
      <c r="C25" s="20">
        <v>8588903</v>
      </c>
      <c r="D25" s="20">
        <v>8116880</v>
      </c>
      <c r="E25" s="56">
        <v>5.82</v>
      </c>
      <c r="F25" s="57">
        <v>590284</v>
      </c>
      <c r="G25" s="57">
        <v>620351</v>
      </c>
      <c r="H25" s="57">
        <v>64678</v>
      </c>
      <c r="I25" s="57">
        <v>57185</v>
      </c>
      <c r="J25" s="57">
        <v>523633</v>
      </c>
      <c r="K25" s="57">
        <v>541703</v>
      </c>
      <c r="L25" s="56">
        <v>-3.34</v>
      </c>
      <c r="M25" s="20">
        <v>1745954</v>
      </c>
      <c r="N25" s="56">
        <v>3</v>
      </c>
      <c r="O25" s="56">
        <v>3.1</v>
      </c>
      <c r="P25" s="58">
        <v>20.83</v>
      </c>
      <c r="Q25" s="59">
        <v>48.7004293974733</v>
      </c>
      <c r="R25" s="59">
        <v>1.4595977297764999</v>
      </c>
      <c r="S25" s="59">
        <v>0.80091623369776699</v>
      </c>
      <c r="X25" s="2">
        <f t="shared" si="0"/>
        <v>0.51299570602526701</v>
      </c>
      <c r="Y25" s="2">
        <f>SUMIF(收盤價!A:A,A25,收盤價!C:C)</f>
        <v>41.85</v>
      </c>
      <c r="Z25" s="2">
        <f t="shared" si="1"/>
        <v>3636822.182</v>
      </c>
      <c r="AA25" s="2">
        <f t="shared" si="2"/>
        <v>7306817.4900000002</v>
      </c>
    </row>
    <row r="26" spans="1:27" ht="14.5" customHeight="1">
      <c r="A26" s="19" t="s">
        <v>4689</v>
      </c>
      <c r="B26" s="3" t="s">
        <v>70</v>
      </c>
      <c r="C26" s="20">
        <v>17150108</v>
      </c>
      <c r="D26" s="20">
        <v>16948746</v>
      </c>
      <c r="E26" s="56">
        <v>1.19</v>
      </c>
      <c r="F26" s="57">
        <v>1230776</v>
      </c>
      <c r="G26" s="57">
        <v>1111880</v>
      </c>
      <c r="H26" s="57">
        <v>19967</v>
      </c>
      <c r="I26" s="57">
        <v>44033</v>
      </c>
      <c r="J26" s="57">
        <v>974572</v>
      </c>
      <c r="K26" s="57">
        <v>906880</v>
      </c>
      <c r="L26" s="56">
        <v>7.46</v>
      </c>
      <c r="M26" s="20">
        <v>1599749</v>
      </c>
      <c r="N26" s="56">
        <v>6.09</v>
      </c>
      <c r="O26" s="56">
        <v>5.67</v>
      </c>
      <c r="P26" s="58">
        <v>25.38</v>
      </c>
      <c r="Q26" s="59">
        <v>69.916047996680106</v>
      </c>
      <c r="R26" s="59">
        <v>3.3740550098992399</v>
      </c>
      <c r="S26" s="59">
        <v>2.0406719038612602</v>
      </c>
      <c r="X26" s="2">
        <f t="shared" si="0"/>
        <v>0.30083952003319891</v>
      </c>
      <c r="Y26" s="2">
        <f>SUMIF(收盤價!A:A,A26,收盤價!C:C)</f>
        <v>121</v>
      </c>
      <c r="Z26" s="2">
        <f t="shared" si="1"/>
        <v>4060162.9619999998</v>
      </c>
      <c r="AA26" s="2">
        <f t="shared" si="2"/>
        <v>19356962.899999999</v>
      </c>
    </row>
    <row r="27" spans="1:27" ht="14.5" customHeight="1">
      <c r="A27" s="19" t="s">
        <v>4690</v>
      </c>
      <c r="B27" s="3" t="s">
        <v>72</v>
      </c>
      <c r="C27" s="20">
        <v>2247585</v>
      </c>
      <c r="D27" s="20">
        <v>2193118</v>
      </c>
      <c r="E27" s="56">
        <v>2.48</v>
      </c>
      <c r="F27" s="57">
        <v>178429</v>
      </c>
      <c r="G27" s="57">
        <v>164412</v>
      </c>
      <c r="H27" s="57">
        <v>16720</v>
      </c>
      <c r="I27" s="57">
        <v>53179</v>
      </c>
      <c r="J27" s="57">
        <v>156589</v>
      </c>
      <c r="K27" s="57">
        <v>174509</v>
      </c>
      <c r="L27" s="56">
        <v>-10.27</v>
      </c>
      <c r="M27" s="20">
        <v>905919</v>
      </c>
      <c r="N27" s="56">
        <v>1.73</v>
      </c>
      <c r="O27" s="56">
        <v>1.93</v>
      </c>
      <c r="P27" s="58">
        <v>17.809999999999999</v>
      </c>
      <c r="Q27" s="59">
        <v>64.768875208073595</v>
      </c>
      <c r="R27" s="59">
        <v>1.47378378681543</v>
      </c>
      <c r="S27" s="59">
        <v>0.89030618921738403</v>
      </c>
      <c r="X27" s="2">
        <f t="shared" si="0"/>
        <v>0.35231124791926405</v>
      </c>
      <c r="Y27" s="2">
        <f>SUMIF(收盤價!A:A,A27,收盤價!C:C)</f>
        <v>40.049999999999997</v>
      </c>
      <c r="Z27" s="2">
        <f t="shared" si="1"/>
        <v>1613441.7389999998</v>
      </c>
      <c r="AA27" s="2">
        <f t="shared" si="2"/>
        <v>3628205.5949999997</v>
      </c>
    </row>
    <row r="28" spans="1:27" ht="14.5" customHeight="1">
      <c r="A28" s="19" t="s">
        <v>4691</v>
      </c>
      <c r="B28" s="3" t="s">
        <v>74</v>
      </c>
      <c r="C28" s="20">
        <v>9145655</v>
      </c>
      <c r="D28" s="20">
        <v>8901634</v>
      </c>
      <c r="E28" s="56">
        <v>2.74</v>
      </c>
      <c r="F28" s="57">
        <v>475649</v>
      </c>
      <c r="G28" s="57">
        <v>223671</v>
      </c>
      <c r="H28" s="57">
        <v>491506</v>
      </c>
      <c r="I28" s="57">
        <v>579203</v>
      </c>
      <c r="J28" s="57">
        <v>846511</v>
      </c>
      <c r="K28" s="57">
        <v>696309</v>
      </c>
      <c r="L28" s="56">
        <v>21.57</v>
      </c>
      <c r="M28" s="20">
        <v>4018711</v>
      </c>
      <c r="N28" s="56">
        <v>2.11</v>
      </c>
      <c r="O28" s="56">
        <v>1.73</v>
      </c>
      <c r="P28" s="58">
        <v>44.5</v>
      </c>
      <c r="Q28" s="59">
        <v>78.9749206022815</v>
      </c>
      <c r="R28" s="59">
        <v>3.1644438398818902</v>
      </c>
      <c r="S28" s="59">
        <v>0.89403445074291299</v>
      </c>
      <c r="X28" s="2">
        <f t="shared" si="0"/>
        <v>0.21025079397718499</v>
      </c>
      <c r="Y28" s="2">
        <f>SUMIF(收盤價!A:A,A28,收盤價!C:C)</f>
        <v>32.549999999999997</v>
      </c>
      <c r="Z28" s="2">
        <f t="shared" si="1"/>
        <v>17883263.949999999</v>
      </c>
      <c r="AA28" s="2">
        <f t="shared" si="2"/>
        <v>13080904.304999998</v>
      </c>
    </row>
    <row r="29" spans="1:27" ht="14.5" customHeight="1">
      <c r="A29" s="19" t="s">
        <v>4692</v>
      </c>
      <c r="B29" s="3" t="s">
        <v>76</v>
      </c>
      <c r="C29" s="20">
        <v>61778</v>
      </c>
      <c r="D29" s="20">
        <v>57652</v>
      </c>
      <c r="E29" s="56">
        <v>7.16</v>
      </c>
      <c r="F29" s="57">
        <v>14993</v>
      </c>
      <c r="G29" s="57">
        <v>5661</v>
      </c>
      <c r="H29" s="57">
        <v>32471</v>
      </c>
      <c r="I29" s="57">
        <v>99923</v>
      </c>
      <c r="J29" s="57">
        <v>46889</v>
      </c>
      <c r="K29" s="57">
        <v>105973</v>
      </c>
      <c r="L29" s="56">
        <v>-55.75</v>
      </c>
      <c r="M29" s="20">
        <v>989553</v>
      </c>
      <c r="N29" s="56">
        <v>0.49</v>
      </c>
      <c r="O29" s="56">
        <v>1.1100000000000001</v>
      </c>
      <c r="P29" s="58">
        <v>26.99</v>
      </c>
      <c r="Q29" s="59">
        <v>61.419077908915</v>
      </c>
      <c r="R29" s="59">
        <v>2.04098206998572</v>
      </c>
      <c r="S29" s="59">
        <v>9.2608013670679404E-2</v>
      </c>
      <c r="X29" s="2">
        <f t="shared" si="0"/>
        <v>0.38580922091085001</v>
      </c>
      <c r="Y29" s="2">
        <f>SUMIF(收盤價!A:A,A29,收盤價!C:C)</f>
        <v>21.45</v>
      </c>
      <c r="Z29" s="2">
        <f t="shared" si="1"/>
        <v>2670803.5469999998</v>
      </c>
      <c r="AA29" s="2">
        <f t="shared" si="2"/>
        <v>2122591.1849999996</v>
      </c>
    </row>
    <row r="30" spans="1:27" ht="14.5" customHeight="1">
      <c r="A30" s="19" t="s">
        <v>4693</v>
      </c>
      <c r="B30" s="3" t="s">
        <v>78</v>
      </c>
      <c r="C30" s="20">
        <v>1864663</v>
      </c>
      <c r="D30" s="20">
        <v>1972592</v>
      </c>
      <c r="E30" s="56">
        <v>-5.47</v>
      </c>
      <c r="F30" s="57">
        <v>1000</v>
      </c>
      <c r="G30" s="57">
        <v>6671</v>
      </c>
      <c r="H30" s="57">
        <v>16698</v>
      </c>
      <c r="I30" s="57">
        <v>11232</v>
      </c>
      <c r="J30" s="57">
        <v>15779</v>
      </c>
      <c r="K30" s="57">
        <v>13267</v>
      </c>
      <c r="L30" s="56">
        <v>18.93</v>
      </c>
      <c r="M30" s="20">
        <v>1083425</v>
      </c>
      <c r="N30" s="56">
        <v>0.15</v>
      </c>
      <c r="O30" s="56">
        <v>0.12</v>
      </c>
      <c r="P30" s="58">
        <v>15.55</v>
      </c>
      <c r="Q30" s="59">
        <v>61.565383287008899</v>
      </c>
      <c r="R30" s="59">
        <v>1.4496612059963601</v>
      </c>
      <c r="S30" s="59">
        <v>0.95666211857879102</v>
      </c>
      <c r="X30" s="2">
        <f t="shared" si="0"/>
        <v>0.38434616712991099</v>
      </c>
      <c r="Y30" s="2">
        <f>SUMIF(收盤價!A:A,A30,收盤價!C:C)</f>
        <v>13.7</v>
      </c>
      <c r="Z30" s="2">
        <f t="shared" si="1"/>
        <v>1684725.875</v>
      </c>
      <c r="AA30" s="2">
        <f t="shared" si="2"/>
        <v>1484292.25</v>
      </c>
    </row>
    <row r="31" spans="1:27" ht="14.5" customHeight="1">
      <c r="A31" s="19" t="s">
        <v>4694</v>
      </c>
      <c r="B31" s="3" t="s">
        <v>80</v>
      </c>
      <c r="C31" s="20">
        <v>3520879</v>
      </c>
      <c r="D31" s="20">
        <v>3221239</v>
      </c>
      <c r="E31" s="56">
        <v>9.3000000000000007</v>
      </c>
      <c r="F31" s="57">
        <v>753151</v>
      </c>
      <c r="G31" s="57">
        <v>604384</v>
      </c>
      <c r="H31" s="57">
        <v>11076</v>
      </c>
      <c r="I31" s="57">
        <v>20661</v>
      </c>
      <c r="J31" s="57">
        <v>548142</v>
      </c>
      <c r="K31" s="57">
        <v>441633</v>
      </c>
      <c r="L31" s="56">
        <v>24.12</v>
      </c>
      <c r="M31" s="20">
        <v>338422</v>
      </c>
      <c r="N31" s="56">
        <v>16.2</v>
      </c>
      <c r="O31" s="56">
        <v>13.05</v>
      </c>
      <c r="P31" s="58">
        <v>59.89</v>
      </c>
      <c r="Q31" s="59">
        <v>64.413925263494093</v>
      </c>
      <c r="R31" s="59">
        <v>1.53434374808606</v>
      </c>
      <c r="S31" s="59">
        <v>1.2506955806567299</v>
      </c>
      <c r="X31" s="2">
        <f t="shared" si="0"/>
        <v>0.35586074736505907</v>
      </c>
      <c r="Y31" s="2">
        <f>SUMIF(收盤價!A:A,A31,收盤價!C:C)</f>
        <v>220.5</v>
      </c>
      <c r="Z31" s="2">
        <f t="shared" si="1"/>
        <v>2026809.3580000002</v>
      </c>
      <c r="AA31" s="2">
        <f t="shared" si="2"/>
        <v>7462205.0999999996</v>
      </c>
    </row>
    <row r="32" spans="1:27" ht="14.5" customHeight="1">
      <c r="A32" s="19" t="s">
        <v>4695</v>
      </c>
      <c r="B32" s="3" t="s">
        <v>336</v>
      </c>
      <c r="C32" s="20">
        <v>18343979</v>
      </c>
      <c r="D32" s="20">
        <v>18287354</v>
      </c>
      <c r="E32" s="56">
        <v>0.31</v>
      </c>
      <c r="F32" s="57">
        <v>1671088</v>
      </c>
      <c r="G32" s="57">
        <v>1670270</v>
      </c>
      <c r="H32" s="57">
        <v>-68619</v>
      </c>
      <c r="I32" s="57">
        <v>-154627</v>
      </c>
      <c r="J32" s="57">
        <v>964149</v>
      </c>
      <c r="K32" s="57">
        <v>1012724</v>
      </c>
      <c r="L32" s="56">
        <v>-4.8</v>
      </c>
      <c r="M32" s="20">
        <v>2941330</v>
      </c>
      <c r="N32" s="56">
        <v>3.9</v>
      </c>
      <c r="O32" s="56">
        <v>4.09</v>
      </c>
      <c r="P32" s="58">
        <v>24.67</v>
      </c>
      <c r="Q32" s="59">
        <v>25.577302239823599</v>
      </c>
      <c r="R32" s="59">
        <v>1.2947359180090201</v>
      </c>
      <c r="S32" s="59">
        <v>0.90221010868159801</v>
      </c>
      <c r="X32" s="2">
        <f t="shared" si="0"/>
        <v>0.74422697760176404</v>
      </c>
      <c r="Y32" s="2">
        <f>SUMIF(收盤價!A:A,A32,收盤價!C:C)</f>
        <v>50.9</v>
      </c>
      <c r="Z32" s="2">
        <f t="shared" si="1"/>
        <v>7256261.1100000013</v>
      </c>
      <c r="AA32" s="2">
        <f t="shared" si="2"/>
        <v>14971369.699999999</v>
      </c>
    </row>
    <row r="33" spans="1:27" ht="14.5" customHeight="1">
      <c r="A33" s="19" t="s">
        <v>4696</v>
      </c>
      <c r="B33" s="3" t="s">
        <v>388</v>
      </c>
      <c r="C33" s="20">
        <v>2906615</v>
      </c>
      <c r="D33" s="20">
        <v>3001462</v>
      </c>
      <c r="E33" s="56">
        <v>-3.16</v>
      </c>
      <c r="F33" s="57">
        <v>419758</v>
      </c>
      <c r="G33" s="57">
        <v>418502</v>
      </c>
      <c r="H33" s="57">
        <v>8789</v>
      </c>
      <c r="I33" s="57">
        <v>113088</v>
      </c>
      <c r="J33" s="57">
        <v>345503</v>
      </c>
      <c r="K33" s="57">
        <v>452741</v>
      </c>
      <c r="L33" s="56">
        <v>-23.69</v>
      </c>
      <c r="M33" s="20">
        <v>2000000</v>
      </c>
      <c r="N33" s="56">
        <v>1.73</v>
      </c>
      <c r="O33" s="56">
        <v>2.2599999999999998</v>
      </c>
      <c r="P33" s="58">
        <v>30.76</v>
      </c>
      <c r="Q33" s="59">
        <v>80.942179280775207</v>
      </c>
      <c r="R33" s="59">
        <v>3.6380807336048901</v>
      </c>
      <c r="S33" s="59">
        <v>3.1117208369090901</v>
      </c>
      <c r="X33" s="2">
        <f t="shared" si="0"/>
        <v>0.19057820719224794</v>
      </c>
      <c r="Y33" s="2">
        <f>SUMIF(收盤價!A:A,A33,收盤價!C:C)</f>
        <v>32.5</v>
      </c>
      <c r="Z33" s="2">
        <f t="shared" si="1"/>
        <v>6152000</v>
      </c>
      <c r="AA33" s="2">
        <f t="shared" si="2"/>
        <v>6500000</v>
      </c>
    </row>
    <row r="34" spans="1:27" ht="14.5" customHeight="1">
      <c r="A34" s="19" t="s">
        <v>4697</v>
      </c>
      <c r="B34" s="3" t="s">
        <v>82</v>
      </c>
      <c r="C34" s="20">
        <v>207848572</v>
      </c>
      <c r="D34" s="20">
        <v>230370027</v>
      </c>
      <c r="E34" s="56">
        <v>-9.7799999999999994</v>
      </c>
      <c r="F34" s="57">
        <v>20196366</v>
      </c>
      <c r="G34" s="57">
        <v>25341312</v>
      </c>
      <c r="H34" s="57">
        <v>22022786</v>
      </c>
      <c r="I34" s="57">
        <v>31751064</v>
      </c>
      <c r="J34" s="57">
        <v>37324162</v>
      </c>
      <c r="K34" s="57">
        <v>49549540</v>
      </c>
      <c r="L34" s="56">
        <v>-24.67</v>
      </c>
      <c r="M34" s="20">
        <v>63657408</v>
      </c>
      <c r="N34" s="56">
        <v>5.86</v>
      </c>
      <c r="O34" s="56">
        <v>7.78</v>
      </c>
      <c r="P34" s="58">
        <v>54.85</v>
      </c>
      <c r="Q34" s="59">
        <v>70.239746040599599</v>
      </c>
      <c r="R34" s="59">
        <v>1.96696030027</v>
      </c>
      <c r="S34" s="59">
        <v>0.57723943867804794</v>
      </c>
      <c r="X34" s="2">
        <f t="shared" si="0"/>
        <v>0.29760253959400401</v>
      </c>
      <c r="Y34" s="2">
        <f>SUMIF(收盤價!A:A,A34,收盤價!C:C)</f>
        <v>99.8</v>
      </c>
      <c r="Z34" s="2">
        <f t="shared" si="1"/>
        <v>349160882.88</v>
      </c>
      <c r="AA34" s="2">
        <f t="shared" si="2"/>
        <v>635300931.83999991</v>
      </c>
    </row>
    <row r="35" spans="1:27" ht="14.5" customHeight="1">
      <c r="A35" s="19" t="s">
        <v>4698</v>
      </c>
      <c r="B35" s="3" t="s">
        <v>84</v>
      </c>
      <c r="C35" s="20">
        <v>286303059</v>
      </c>
      <c r="D35" s="20">
        <v>333061560</v>
      </c>
      <c r="E35" s="56">
        <v>-14.04</v>
      </c>
      <c r="F35" s="57">
        <v>9885385</v>
      </c>
      <c r="G35" s="57">
        <v>29420773</v>
      </c>
      <c r="H35" s="57">
        <v>16803645</v>
      </c>
      <c r="I35" s="57">
        <v>32104413</v>
      </c>
      <c r="J35" s="57">
        <v>23076123</v>
      </c>
      <c r="K35" s="57">
        <v>52746021</v>
      </c>
      <c r="L35" s="56">
        <v>-56.25</v>
      </c>
      <c r="M35" s="20">
        <v>79308216</v>
      </c>
      <c r="N35" s="56">
        <v>2.91</v>
      </c>
      <c r="O35" s="56">
        <v>6.65</v>
      </c>
      <c r="P35" s="58">
        <v>43.45</v>
      </c>
      <c r="Q35" s="59">
        <v>62.120989510757802</v>
      </c>
      <c r="R35" s="59">
        <v>2.2447915283451199</v>
      </c>
      <c r="S35" s="59">
        <v>1.19591723277474</v>
      </c>
      <c r="X35" s="2">
        <f t="shared" si="0"/>
        <v>0.37879010489242199</v>
      </c>
      <c r="Y35" s="2">
        <f>SUMIF(收盤價!A:A,A35,收盤價!C:C)</f>
        <v>72.8</v>
      </c>
      <c r="Z35" s="2">
        <f t="shared" si="1"/>
        <v>344594198.52000004</v>
      </c>
      <c r="AA35" s="2">
        <f t="shared" si="2"/>
        <v>577363812.48000002</v>
      </c>
    </row>
    <row r="36" spans="1:27" ht="14.5" customHeight="1">
      <c r="A36" s="21" t="s">
        <v>4699</v>
      </c>
      <c r="B36" s="22" t="s">
        <v>86</v>
      </c>
      <c r="C36" s="23">
        <v>55656741</v>
      </c>
      <c r="D36" s="23">
        <v>60892513</v>
      </c>
      <c r="E36" s="60">
        <v>-8.6</v>
      </c>
      <c r="F36" s="61">
        <v>2931733</v>
      </c>
      <c r="G36" s="61">
        <v>1932799</v>
      </c>
      <c r="H36" s="61">
        <v>429637</v>
      </c>
      <c r="I36" s="61">
        <v>589628</v>
      </c>
      <c r="J36" s="61">
        <v>1281364</v>
      </c>
      <c r="K36" s="61">
        <v>539935</v>
      </c>
      <c r="L36" s="60">
        <v>137.32</v>
      </c>
      <c r="M36" s="23">
        <v>11887635</v>
      </c>
      <c r="N36" s="60">
        <v>1.19</v>
      </c>
      <c r="O36" s="60">
        <v>0.5</v>
      </c>
      <c r="P36" s="62">
        <v>17.399999999999999</v>
      </c>
      <c r="Q36" s="63">
        <v>26.1243229440975</v>
      </c>
      <c r="R36" s="63">
        <v>2.2177714746950001</v>
      </c>
      <c r="S36" s="63">
        <v>1.71025943334625</v>
      </c>
      <c r="X36" s="2">
        <f t="shared" si="0"/>
        <v>0.738756770559025</v>
      </c>
      <c r="Y36" s="2">
        <f>SUMIF(收盤價!A:A,A36,收盤價!C:C)</f>
        <v>13.85</v>
      </c>
      <c r="Z36" s="2">
        <f t="shared" si="1"/>
        <v>20684484.899999999</v>
      </c>
      <c r="AA36" s="2">
        <f t="shared" si="2"/>
        <v>16464374.475</v>
      </c>
    </row>
    <row r="37" spans="1:27" ht="14.5" customHeight="1">
      <c r="A37" s="24" t="s">
        <v>4700</v>
      </c>
      <c r="B37" s="25" t="s">
        <v>88</v>
      </c>
      <c r="C37" s="26">
        <v>15117855</v>
      </c>
      <c r="D37" s="26">
        <v>15192621</v>
      </c>
      <c r="E37" s="64">
        <v>-0.49</v>
      </c>
      <c r="F37" s="65">
        <v>773899</v>
      </c>
      <c r="G37" s="65">
        <v>1572923</v>
      </c>
      <c r="H37" s="65">
        <v>80109</v>
      </c>
      <c r="I37" s="65">
        <v>81429</v>
      </c>
      <c r="J37" s="65">
        <v>642677</v>
      </c>
      <c r="K37" s="65">
        <v>1276156</v>
      </c>
      <c r="L37" s="64">
        <v>-49.64</v>
      </c>
      <c r="M37" s="26">
        <v>5270299</v>
      </c>
      <c r="N37" s="64">
        <v>1.22</v>
      </c>
      <c r="O37" s="64">
        <v>2.42</v>
      </c>
      <c r="P37" s="66">
        <v>15.66</v>
      </c>
      <c r="Q37" s="67">
        <v>66.909870245741004</v>
      </c>
      <c r="R37" s="67">
        <v>2.87703904019765</v>
      </c>
      <c r="S37" s="67">
        <v>1.76747198836174</v>
      </c>
      <c r="X37" s="2">
        <f t="shared" si="0"/>
        <v>0.33090129754258996</v>
      </c>
      <c r="Y37" s="2">
        <f>SUMIF(收盤價!A:A,A37,收盤價!C:C)</f>
        <v>20.8</v>
      </c>
      <c r="Z37" s="2">
        <f t="shared" si="1"/>
        <v>8253288.2340000002</v>
      </c>
      <c r="AA37" s="2">
        <f t="shared" si="2"/>
        <v>10962221.92</v>
      </c>
    </row>
    <row r="38" spans="1:27" ht="14.5" customHeight="1">
      <c r="A38" s="19" t="s">
        <v>4701</v>
      </c>
      <c r="B38" s="3" t="s">
        <v>90</v>
      </c>
      <c r="C38" s="20">
        <v>10271411</v>
      </c>
      <c r="D38" s="20">
        <v>9492260</v>
      </c>
      <c r="E38" s="56">
        <v>8.2100000000000009</v>
      </c>
      <c r="F38" s="57">
        <v>651090</v>
      </c>
      <c r="G38" s="57">
        <v>380677</v>
      </c>
      <c r="H38" s="57">
        <v>-10444</v>
      </c>
      <c r="I38" s="57">
        <v>2864</v>
      </c>
      <c r="J38" s="57">
        <v>430420</v>
      </c>
      <c r="K38" s="57">
        <v>302933</v>
      </c>
      <c r="L38" s="56">
        <v>42.08</v>
      </c>
      <c r="M38" s="20">
        <v>3978181</v>
      </c>
      <c r="N38" s="56">
        <v>1.08</v>
      </c>
      <c r="O38" s="56">
        <v>0.76</v>
      </c>
      <c r="P38" s="58">
        <v>20.77</v>
      </c>
      <c r="Q38" s="59">
        <v>54.598614131765103</v>
      </c>
      <c r="R38" s="59">
        <v>2.1676322234760002</v>
      </c>
      <c r="S38" s="59">
        <v>1.34364635712689</v>
      </c>
      <c r="X38" s="2">
        <f t="shared" si="0"/>
        <v>0.45401385868234895</v>
      </c>
      <c r="Y38" s="2">
        <f>SUMIF(收盤價!A:A,A38,收盤價!C:C)</f>
        <v>23.65</v>
      </c>
      <c r="Z38" s="2">
        <f t="shared" si="1"/>
        <v>8262681.9370000008</v>
      </c>
      <c r="AA38" s="2">
        <f t="shared" si="2"/>
        <v>9408398.0649999995</v>
      </c>
    </row>
    <row r="39" spans="1:27" ht="14.5" customHeight="1">
      <c r="A39" s="19" t="s">
        <v>4702</v>
      </c>
      <c r="B39" s="3" t="s">
        <v>92</v>
      </c>
      <c r="C39" s="20">
        <v>6791157</v>
      </c>
      <c r="D39" s="20">
        <v>6375134</v>
      </c>
      <c r="E39" s="56">
        <v>6.53</v>
      </c>
      <c r="F39" s="57">
        <v>798407</v>
      </c>
      <c r="G39" s="57">
        <v>71982</v>
      </c>
      <c r="H39" s="57">
        <v>186434</v>
      </c>
      <c r="I39" s="57">
        <v>244881</v>
      </c>
      <c r="J39" s="57">
        <v>821021</v>
      </c>
      <c r="K39" s="57">
        <v>286826</v>
      </c>
      <c r="L39" s="56">
        <v>186.24</v>
      </c>
      <c r="M39" s="20">
        <v>5543827</v>
      </c>
      <c r="N39" s="56">
        <v>1.48</v>
      </c>
      <c r="O39" s="56">
        <v>0.52</v>
      </c>
      <c r="P39" s="58">
        <v>18.45</v>
      </c>
      <c r="Q39" s="59">
        <v>60.448886081153901</v>
      </c>
      <c r="R39" s="59">
        <v>2.0003166212384</v>
      </c>
      <c r="S39" s="59">
        <v>1.7566049133785799</v>
      </c>
      <c r="X39" s="2">
        <f t="shared" si="0"/>
        <v>0.39551113918846098</v>
      </c>
      <c r="Y39" s="2">
        <f>SUMIF(收盤價!A:A,A39,收盤價!C:C)</f>
        <v>15.8</v>
      </c>
      <c r="Z39" s="2">
        <f t="shared" si="1"/>
        <v>10228360.814999999</v>
      </c>
      <c r="AA39" s="2">
        <f t="shared" si="2"/>
        <v>8759246.6600000001</v>
      </c>
    </row>
    <row r="40" spans="1:27" ht="14.5" customHeight="1">
      <c r="A40" s="19" t="s">
        <v>4703</v>
      </c>
      <c r="B40" s="3" t="s">
        <v>94</v>
      </c>
      <c r="C40" s="20">
        <v>17672204</v>
      </c>
      <c r="D40" s="20">
        <v>21683702</v>
      </c>
      <c r="E40" s="56">
        <v>-18.5</v>
      </c>
      <c r="F40" s="57">
        <v>514665</v>
      </c>
      <c r="G40" s="57">
        <v>277618</v>
      </c>
      <c r="H40" s="57">
        <v>43539</v>
      </c>
      <c r="I40" s="57">
        <v>53634</v>
      </c>
      <c r="J40" s="57">
        <v>397977</v>
      </c>
      <c r="K40" s="57">
        <v>207973</v>
      </c>
      <c r="L40" s="56">
        <v>91.36</v>
      </c>
      <c r="M40" s="20">
        <v>3342048</v>
      </c>
      <c r="N40" s="56">
        <v>1.19</v>
      </c>
      <c r="O40" s="56">
        <v>0.62</v>
      </c>
      <c r="P40" s="58">
        <v>12.87</v>
      </c>
      <c r="Q40" s="59">
        <v>53.715204526917198</v>
      </c>
      <c r="R40" s="59">
        <v>2.1071192533968999</v>
      </c>
      <c r="S40" s="59">
        <v>1.72126007265565</v>
      </c>
      <c r="X40" s="2">
        <f t="shared" si="0"/>
        <v>0.46284795473082802</v>
      </c>
      <c r="Y40" s="2">
        <f>SUMIF(收盤價!A:A,A40,收盤價!C:C)</f>
        <v>11.4</v>
      </c>
      <c r="Z40" s="2">
        <f t="shared" si="1"/>
        <v>4301215.7759999996</v>
      </c>
      <c r="AA40" s="2">
        <f t="shared" si="2"/>
        <v>3809934.72</v>
      </c>
    </row>
    <row r="41" spans="1:27" ht="14.5" customHeight="1">
      <c r="A41" s="19" t="s">
        <v>4704</v>
      </c>
      <c r="B41" s="3" t="s">
        <v>96</v>
      </c>
      <c r="C41" s="20">
        <v>12219389</v>
      </c>
      <c r="D41" s="20">
        <v>15382654</v>
      </c>
      <c r="E41" s="56">
        <v>-20.56</v>
      </c>
      <c r="F41" s="57">
        <v>1070680</v>
      </c>
      <c r="G41" s="57">
        <v>1534999</v>
      </c>
      <c r="H41" s="57">
        <v>-35920</v>
      </c>
      <c r="I41" s="57">
        <v>12666</v>
      </c>
      <c r="J41" s="57">
        <v>882065</v>
      </c>
      <c r="K41" s="57">
        <v>1216401</v>
      </c>
      <c r="L41" s="56">
        <v>-27.49</v>
      </c>
      <c r="M41" s="20">
        <v>5278698</v>
      </c>
      <c r="N41" s="56">
        <v>1.67</v>
      </c>
      <c r="O41" s="56">
        <v>2.2999999999999998</v>
      </c>
      <c r="P41" s="58">
        <v>13.3</v>
      </c>
      <c r="Q41" s="59">
        <v>75.470699593802607</v>
      </c>
      <c r="R41" s="59">
        <v>1.7802354158582301</v>
      </c>
      <c r="S41" s="59">
        <v>1.4031140032304199</v>
      </c>
      <c r="X41" s="2">
        <f t="shared" si="0"/>
        <v>0.24529300406197393</v>
      </c>
      <c r="Y41" s="2">
        <f>SUMIF(收盤價!A:A,A41,收盤價!C:C)</f>
        <v>20.9</v>
      </c>
      <c r="Z41" s="2">
        <f t="shared" si="1"/>
        <v>7020668.3400000008</v>
      </c>
      <c r="AA41" s="2">
        <f t="shared" si="2"/>
        <v>11032478.819999998</v>
      </c>
    </row>
    <row r="42" spans="1:27" ht="14.5" customHeight="1">
      <c r="A42" s="19" t="s">
        <v>4705</v>
      </c>
      <c r="B42" s="3" t="s">
        <v>98</v>
      </c>
      <c r="C42" s="20">
        <v>20468229</v>
      </c>
      <c r="D42" s="20">
        <v>24741138</v>
      </c>
      <c r="E42" s="56">
        <v>-17.27</v>
      </c>
      <c r="F42" s="57">
        <v>1370211</v>
      </c>
      <c r="G42" s="57">
        <v>2738838</v>
      </c>
      <c r="H42" s="57">
        <v>1370666</v>
      </c>
      <c r="I42" s="57">
        <v>1318110</v>
      </c>
      <c r="J42" s="57">
        <v>2070125</v>
      </c>
      <c r="K42" s="57">
        <v>2960106</v>
      </c>
      <c r="L42" s="56">
        <v>-30.07</v>
      </c>
      <c r="M42" s="20">
        <v>9266203</v>
      </c>
      <c r="N42" s="56">
        <v>2.27</v>
      </c>
      <c r="O42" s="56">
        <v>3.26</v>
      </c>
      <c r="P42" s="58">
        <v>26.36</v>
      </c>
      <c r="Q42" s="59">
        <v>77.394248254492794</v>
      </c>
      <c r="R42" s="59">
        <v>4.6152871278011496</v>
      </c>
      <c r="S42" s="59">
        <v>2.41691986316077</v>
      </c>
      <c r="X42" s="2">
        <f t="shared" si="0"/>
        <v>0.22605751745507205</v>
      </c>
      <c r="Y42" s="2">
        <f>SUMIF(收盤價!A:A,A42,收盤價!C:C)</f>
        <v>18.600000000000001</v>
      </c>
      <c r="Z42" s="2">
        <f t="shared" si="1"/>
        <v>24425711.107999999</v>
      </c>
      <c r="AA42" s="2">
        <f t="shared" si="2"/>
        <v>17235137.580000002</v>
      </c>
    </row>
    <row r="43" spans="1:27" ht="14.5" customHeight="1">
      <c r="A43" s="19" t="s">
        <v>4708</v>
      </c>
      <c r="B43" s="3" t="s">
        <v>100</v>
      </c>
      <c r="C43" s="20">
        <v>62714942</v>
      </c>
      <c r="D43" s="20">
        <v>61258498</v>
      </c>
      <c r="E43" s="56">
        <v>2.38</v>
      </c>
      <c r="F43" s="57">
        <v>-354188</v>
      </c>
      <c r="G43" s="57">
        <v>1078286</v>
      </c>
      <c r="H43" s="57">
        <v>175555</v>
      </c>
      <c r="I43" s="57">
        <v>-129407</v>
      </c>
      <c r="J43" s="57">
        <v>-140376</v>
      </c>
      <c r="K43" s="57">
        <v>753610</v>
      </c>
      <c r="L43" s="56"/>
      <c r="M43" s="20">
        <v>13323476</v>
      </c>
      <c r="N43" s="56">
        <v>-0.11</v>
      </c>
      <c r="O43" s="56">
        <v>0.57999999999999996</v>
      </c>
      <c r="P43" s="58">
        <v>15.44</v>
      </c>
      <c r="Q43" s="59">
        <v>45.555987702193697</v>
      </c>
      <c r="R43" s="59">
        <v>1.75575399312567</v>
      </c>
      <c r="S43" s="59">
        <v>0.87281150740364899</v>
      </c>
      <c r="X43" s="2">
        <f t="shared" si="0"/>
        <v>0.54444012297806299</v>
      </c>
      <c r="Y43" s="2">
        <f>SUMIF(收盤價!A:A,A43,收盤價!C:C)</f>
        <v>11.1</v>
      </c>
      <c r="Z43" s="2">
        <f t="shared" si="1"/>
        <v>20571446.943999998</v>
      </c>
      <c r="AA43" s="2">
        <f t="shared" si="2"/>
        <v>14789058.359999999</v>
      </c>
    </row>
    <row r="44" spans="1:27" ht="14.5" customHeight="1">
      <c r="A44" s="19" t="s">
        <v>4709</v>
      </c>
      <c r="B44" s="3" t="s">
        <v>102</v>
      </c>
      <c r="C44" s="20">
        <v>29624094</v>
      </c>
      <c r="D44" s="20">
        <v>38503121</v>
      </c>
      <c r="E44" s="56">
        <v>-23.06</v>
      </c>
      <c r="F44" s="57">
        <v>-409020</v>
      </c>
      <c r="G44" s="57">
        <v>3075082</v>
      </c>
      <c r="H44" s="57">
        <v>2272492</v>
      </c>
      <c r="I44" s="57">
        <v>1601868</v>
      </c>
      <c r="J44" s="57">
        <v>1738449</v>
      </c>
      <c r="K44" s="57">
        <v>4290269</v>
      </c>
      <c r="L44" s="56">
        <v>-59.48</v>
      </c>
      <c r="M44" s="20">
        <v>28348502</v>
      </c>
      <c r="N44" s="56">
        <v>0.61</v>
      </c>
      <c r="O44" s="56">
        <v>1.51</v>
      </c>
      <c r="P44" s="58">
        <v>23.68</v>
      </c>
      <c r="Q44" s="59">
        <v>69.573773778360206</v>
      </c>
      <c r="R44" s="59">
        <v>2.7440298950536399</v>
      </c>
      <c r="S44" s="59">
        <v>1.3564859996204299</v>
      </c>
      <c r="X44" s="2">
        <f t="shared" si="0"/>
        <v>0.30426226221639796</v>
      </c>
      <c r="Y44" s="2">
        <f>SUMIF(收盤價!A:A,A44,收盤價!C:C)</f>
        <v>9.8000000000000007</v>
      </c>
      <c r="Z44" s="2">
        <f t="shared" si="1"/>
        <v>67129252.736000001</v>
      </c>
      <c r="AA44" s="2">
        <f t="shared" si="2"/>
        <v>27781531.960000001</v>
      </c>
    </row>
    <row r="45" spans="1:27" ht="14.5" customHeight="1">
      <c r="A45" s="19" t="s">
        <v>4710</v>
      </c>
      <c r="B45" s="3" t="s">
        <v>104</v>
      </c>
      <c r="C45" s="20">
        <v>2440599</v>
      </c>
      <c r="D45" s="20">
        <v>2543342</v>
      </c>
      <c r="E45" s="56">
        <v>-4.04</v>
      </c>
      <c r="F45" s="57">
        <v>41698</v>
      </c>
      <c r="G45" s="57">
        <v>-8894</v>
      </c>
      <c r="H45" s="57">
        <v>692858</v>
      </c>
      <c r="I45" s="57">
        <v>252127</v>
      </c>
      <c r="J45" s="57">
        <v>696250</v>
      </c>
      <c r="K45" s="57">
        <v>229468</v>
      </c>
      <c r="L45" s="56">
        <v>203.42</v>
      </c>
      <c r="M45" s="20">
        <v>1980000</v>
      </c>
      <c r="N45" s="56">
        <v>3.65</v>
      </c>
      <c r="O45" s="56">
        <v>1.2</v>
      </c>
      <c r="P45" s="58">
        <v>43.86</v>
      </c>
      <c r="Q45" s="59">
        <v>84.342932056651506</v>
      </c>
      <c r="R45" s="59">
        <v>5.31581764674441</v>
      </c>
      <c r="S45" s="59">
        <v>0.79894152861315604</v>
      </c>
      <c r="X45" s="2">
        <f t="shared" si="0"/>
        <v>0.15657067943348493</v>
      </c>
      <c r="Y45" s="2">
        <f>SUMIF(收盤價!A:A,A45,收盤價!C:C)</f>
        <v>47.35</v>
      </c>
      <c r="Z45" s="2">
        <f t="shared" si="1"/>
        <v>8684280</v>
      </c>
      <c r="AA45" s="2">
        <f t="shared" si="2"/>
        <v>9375300</v>
      </c>
    </row>
    <row r="46" spans="1:27" ht="14.5" customHeight="1">
      <c r="A46" s="19" t="s">
        <v>4711</v>
      </c>
      <c r="B46" s="3" t="s">
        <v>110</v>
      </c>
      <c r="C46" s="20">
        <v>4656690</v>
      </c>
      <c r="D46" s="20">
        <v>4776323</v>
      </c>
      <c r="E46" s="56">
        <v>-2.5</v>
      </c>
      <c r="F46" s="57">
        <v>-112859</v>
      </c>
      <c r="G46" s="57">
        <v>-141807</v>
      </c>
      <c r="H46" s="57">
        <v>248322</v>
      </c>
      <c r="I46" s="57">
        <v>137385</v>
      </c>
      <c r="J46" s="57">
        <v>117087</v>
      </c>
      <c r="K46" s="57">
        <v>-71794</v>
      </c>
      <c r="L46" s="56"/>
      <c r="M46" s="20">
        <v>2272283</v>
      </c>
      <c r="N46" s="56">
        <v>0.53</v>
      </c>
      <c r="O46" s="56">
        <v>-0.33</v>
      </c>
      <c r="P46" s="58">
        <v>24.14</v>
      </c>
      <c r="Q46" s="59">
        <v>46.023612272327398</v>
      </c>
      <c r="R46" s="59">
        <v>1.73755296684502</v>
      </c>
      <c r="S46" s="59">
        <v>1.1548189654285199</v>
      </c>
      <c r="X46" s="2">
        <f t="shared" si="0"/>
        <v>0.53976387727672603</v>
      </c>
      <c r="Y46" s="2">
        <f>SUMIF(收盤價!A:A,A46,收盤價!C:C)</f>
        <v>39.950000000000003</v>
      </c>
      <c r="Z46" s="2">
        <f t="shared" si="1"/>
        <v>5485291.1620000005</v>
      </c>
      <c r="AA46" s="2">
        <f t="shared" si="2"/>
        <v>9077770.5850000009</v>
      </c>
    </row>
    <row r="47" spans="1:27" ht="14.5" customHeight="1">
      <c r="A47" s="19" t="s">
        <v>4712</v>
      </c>
      <c r="B47" s="3" t="s">
        <v>112</v>
      </c>
      <c r="C47" s="20">
        <v>3639735</v>
      </c>
      <c r="D47" s="20">
        <v>3759197</v>
      </c>
      <c r="E47" s="56">
        <v>-3.18</v>
      </c>
      <c r="F47" s="57">
        <v>451014</v>
      </c>
      <c r="G47" s="57">
        <v>473031</v>
      </c>
      <c r="H47" s="57">
        <v>8654</v>
      </c>
      <c r="I47" s="57">
        <v>32441</v>
      </c>
      <c r="J47" s="57">
        <v>289074</v>
      </c>
      <c r="K47" s="57">
        <v>301630</v>
      </c>
      <c r="L47" s="56">
        <v>-4.16</v>
      </c>
      <c r="M47" s="20">
        <v>912745</v>
      </c>
      <c r="N47" s="56">
        <v>3.18</v>
      </c>
      <c r="O47" s="56">
        <v>3.32</v>
      </c>
      <c r="P47" s="58">
        <v>22.45</v>
      </c>
      <c r="Q47" s="59">
        <v>39.442469657605599</v>
      </c>
      <c r="R47" s="59">
        <v>4.0786809686935301</v>
      </c>
      <c r="S47" s="59">
        <v>3.16633212763921</v>
      </c>
      <c r="X47" s="2">
        <f t="shared" si="0"/>
        <v>0.60557530342394406</v>
      </c>
      <c r="Y47" s="2">
        <f>SUMIF(收盤價!A:A,A47,收盤價!C:C)</f>
        <v>34</v>
      </c>
      <c r="Z47" s="2">
        <f t="shared" si="1"/>
        <v>2049112.5249999999</v>
      </c>
      <c r="AA47" s="2">
        <f t="shared" si="2"/>
        <v>3103333</v>
      </c>
    </row>
    <row r="48" spans="1:27" ht="14.5" customHeight="1">
      <c r="A48" s="19" t="s">
        <v>4713</v>
      </c>
      <c r="B48" s="3" t="s">
        <v>114</v>
      </c>
      <c r="C48" s="20">
        <v>1136341</v>
      </c>
      <c r="D48" s="20">
        <v>1137469</v>
      </c>
      <c r="E48" s="56">
        <v>-0.1</v>
      </c>
      <c r="F48" s="57">
        <v>9832</v>
      </c>
      <c r="G48" s="57">
        <v>1572</v>
      </c>
      <c r="H48" s="57">
        <v>453</v>
      </c>
      <c r="I48" s="57">
        <v>6702</v>
      </c>
      <c r="J48" s="57">
        <v>3194</v>
      </c>
      <c r="K48" s="57">
        <v>1195</v>
      </c>
      <c r="L48" s="56">
        <v>167.28</v>
      </c>
      <c r="M48" s="20">
        <v>751219</v>
      </c>
      <c r="N48" s="56">
        <v>0.04</v>
      </c>
      <c r="O48" s="56">
        <v>0.02</v>
      </c>
      <c r="P48" s="58">
        <v>12.96</v>
      </c>
      <c r="Q48" s="59">
        <v>79.567062485287593</v>
      </c>
      <c r="R48" s="59">
        <v>3.54004712762142</v>
      </c>
      <c r="S48" s="59">
        <v>2.4807562212546501</v>
      </c>
      <c r="X48" s="2">
        <f t="shared" si="0"/>
        <v>0.20432937514712407</v>
      </c>
      <c r="Y48" s="2">
        <f>SUMIF(收盤價!A:A,A48,收盤價!C:C)</f>
        <v>9.65</v>
      </c>
      <c r="Z48" s="2">
        <f t="shared" si="1"/>
        <v>973579.82400000002</v>
      </c>
      <c r="AA48" s="2">
        <f t="shared" si="2"/>
        <v>724926.33500000008</v>
      </c>
    </row>
    <row r="49" spans="1:27" ht="14.5" customHeight="1">
      <c r="A49" s="19" t="s">
        <v>4714</v>
      </c>
      <c r="B49" s="3" t="s">
        <v>116</v>
      </c>
      <c r="C49" s="20">
        <v>772775</v>
      </c>
      <c r="D49" s="20">
        <v>914449</v>
      </c>
      <c r="E49" s="56">
        <v>-15.49</v>
      </c>
      <c r="F49" s="57">
        <v>33574</v>
      </c>
      <c r="G49" s="57">
        <v>48815</v>
      </c>
      <c r="H49" s="57">
        <v>10393</v>
      </c>
      <c r="I49" s="57">
        <v>24520</v>
      </c>
      <c r="J49" s="57">
        <v>36247</v>
      </c>
      <c r="K49" s="57">
        <v>59853</v>
      </c>
      <c r="L49" s="56">
        <v>-39.44</v>
      </c>
      <c r="M49" s="20">
        <v>852812</v>
      </c>
      <c r="N49" s="56">
        <v>0.43</v>
      </c>
      <c r="O49" s="56">
        <v>0.7</v>
      </c>
      <c r="P49" s="58">
        <v>19.97</v>
      </c>
      <c r="Q49" s="59">
        <v>90.875194923740295</v>
      </c>
      <c r="R49" s="59">
        <v>18.8099033406817</v>
      </c>
      <c r="S49" s="59">
        <v>10.2964007122266</v>
      </c>
      <c r="X49" s="2">
        <f t="shared" si="0"/>
        <v>9.1248050762597052E-2</v>
      </c>
      <c r="Y49" s="2">
        <f>SUMIF(收盤價!A:A,A49,收盤價!C:C)</f>
        <v>16.899999999999999</v>
      </c>
      <c r="Z49" s="2">
        <f t="shared" si="1"/>
        <v>1703065.564</v>
      </c>
      <c r="AA49" s="2">
        <f t="shared" si="2"/>
        <v>1441252.2799999998</v>
      </c>
    </row>
    <row r="50" spans="1:27" ht="14.5" customHeight="1">
      <c r="A50" s="19" t="s">
        <v>4715</v>
      </c>
      <c r="B50" s="3" t="s">
        <v>118</v>
      </c>
      <c r="C50" s="20">
        <v>315499063</v>
      </c>
      <c r="D50" s="20">
        <v>399074240</v>
      </c>
      <c r="E50" s="56">
        <v>-20.94</v>
      </c>
      <c r="F50" s="57">
        <v>16489956</v>
      </c>
      <c r="G50" s="57">
        <v>36775468</v>
      </c>
      <c r="H50" s="57">
        <v>20617514</v>
      </c>
      <c r="I50" s="57">
        <v>25189824</v>
      </c>
      <c r="J50" s="57">
        <v>29702242</v>
      </c>
      <c r="K50" s="57">
        <v>48769317</v>
      </c>
      <c r="L50" s="56">
        <v>-39.1</v>
      </c>
      <c r="M50" s="20">
        <v>58611863</v>
      </c>
      <c r="N50" s="56">
        <v>4.8899999999999997</v>
      </c>
      <c r="O50" s="56">
        <v>8.1199999999999992</v>
      </c>
      <c r="P50" s="58">
        <v>60.95</v>
      </c>
      <c r="Q50" s="59">
        <v>64.756208800932299</v>
      </c>
      <c r="R50" s="59">
        <v>2.59584191091403</v>
      </c>
      <c r="S50" s="59">
        <v>0.77831733812721804</v>
      </c>
      <c r="X50" s="2">
        <f t="shared" si="0"/>
        <v>0.35243791199067703</v>
      </c>
      <c r="Y50" s="2">
        <f>SUMIF(收盤價!A:A,A50,收盤價!C:C)</f>
        <v>87.5</v>
      </c>
      <c r="Z50" s="2">
        <f t="shared" si="1"/>
        <v>357239304.98500001</v>
      </c>
      <c r="AA50" s="2">
        <f t="shared" si="2"/>
        <v>512853801.25</v>
      </c>
    </row>
    <row r="51" spans="1:27" ht="14.5" customHeight="1">
      <c r="A51" s="19" t="s">
        <v>4716</v>
      </c>
      <c r="B51" s="3" t="s">
        <v>120</v>
      </c>
      <c r="C51" s="20">
        <v>1258400</v>
      </c>
      <c r="D51" s="20">
        <v>1464797</v>
      </c>
      <c r="E51" s="56">
        <v>-14.09</v>
      </c>
      <c r="F51" s="57">
        <v>-662961</v>
      </c>
      <c r="G51" s="57">
        <v>-1820362</v>
      </c>
      <c r="H51" s="57">
        <v>20935</v>
      </c>
      <c r="I51" s="57">
        <v>-58491</v>
      </c>
      <c r="J51" s="57">
        <v>-642026</v>
      </c>
      <c r="K51" s="57">
        <v>-1888426</v>
      </c>
      <c r="L51" s="56"/>
      <c r="M51" s="20">
        <v>2689547</v>
      </c>
      <c r="N51" s="56">
        <v>-2.39</v>
      </c>
      <c r="O51" s="56">
        <v>-7.02</v>
      </c>
      <c r="P51" s="58">
        <v>26.01</v>
      </c>
      <c r="Q51" s="59">
        <v>92.217756200745796</v>
      </c>
      <c r="R51" s="59">
        <v>6.0708440120054696</v>
      </c>
      <c r="S51" s="59">
        <v>3.0796780144095899</v>
      </c>
      <c r="X51" s="2">
        <f t="shared" si="0"/>
        <v>7.7822437992542029E-2</v>
      </c>
      <c r="Y51" s="2">
        <f>SUMIF(收盤價!A:A,A51,收盤價!C:C)</f>
        <v>6.13</v>
      </c>
      <c r="Z51" s="2">
        <f t="shared" si="1"/>
        <v>6995511.7469999995</v>
      </c>
      <c r="AA51" s="2">
        <f t="shared" si="2"/>
        <v>1648692.311</v>
      </c>
    </row>
    <row r="52" spans="1:27" ht="14.5" customHeight="1">
      <c r="A52" s="19" t="s">
        <v>4718</v>
      </c>
      <c r="B52" s="3" t="s">
        <v>128</v>
      </c>
      <c r="C52" s="20">
        <v>3021131</v>
      </c>
      <c r="D52" s="20">
        <v>2902091</v>
      </c>
      <c r="E52" s="56">
        <v>4.0999999999999996</v>
      </c>
      <c r="F52" s="57">
        <v>360007</v>
      </c>
      <c r="G52" s="57">
        <v>218009</v>
      </c>
      <c r="H52" s="57">
        <v>4696</v>
      </c>
      <c r="I52" s="57">
        <v>-12296</v>
      </c>
      <c r="J52" s="57">
        <v>281172</v>
      </c>
      <c r="K52" s="57">
        <v>150847</v>
      </c>
      <c r="L52" s="56">
        <v>86.4</v>
      </c>
      <c r="M52" s="20">
        <v>494000</v>
      </c>
      <c r="N52" s="56">
        <v>5.69</v>
      </c>
      <c r="O52" s="56">
        <v>3.68</v>
      </c>
      <c r="P52" s="58">
        <v>24.77</v>
      </c>
      <c r="Q52" s="59">
        <v>57.0498676698517</v>
      </c>
      <c r="R52" s="59">
        <v>1.7751570442387501</v>
      </c>
      <c r="S52" s="59">
        <v>0.81190502615554205</v>
      </c>
      <c r="X52" s="2">
        <f t="shared" si="0"/>
        <v>0.429501323301483</v>
      </c>
      <c r="Y52" s="2">
        <f>SUMIF(收盤價!A:A,A52,收盤價!C:C)</f>
        <v>61.7</v>
      </c>
      <c r="Z52" s="2">
        <f t="shared" si="1"/>
        <v>1223638</v>
      </c>
      <c r="AA52" s="2">
        <f t="shared" si="2"/>
        <v>3047980</v>
      </c>
    </row>
    <row r="53" spans="1:27" ht="14.5" customHeight="1">
      <c r="A53" s="19" t="s">
        <v>4719</v>
      </c>
      <c r="B53" s="3" t="s">
        <v>1319</v>
      </c>
      <c r="C53" s="20">
        <v>16177441</v>
      </c>
      <c r="D53" s="20">
        <v>19810468</v>
      </c>
      <c r="E53" s="56">
        <v>-18.34</v>
      </c>
      <c r="F53" s="57">
        <v>207960</v>
      </c>
      <c r="G53" s="57">
        <v>579503</v>
      </c>
      <c r="H53" s="57">
        <v>-649135</v>
      </c>
      <c r="I53" s="57">
        <v>220239</v>
      </c>
      <c r="J53" s="57">
        <v>-509016</v>
      </c>
      <c r="K53" s="57">
        <v>543593</v>
      </c>
      <c r="L53" s="56"/>
      <c r="M53" s="20">
        <v>5718342</v>
      </c>
      <c r="N53" s="56">
        <v>-0.99</v>
      </c>
      <c r="O53" s="56">
        <v>1.1100000000000001</v>
      </c>
      <c r="P53" s="58">
        <v>16.63</v>
      </c>
      <c r="Q53" s="59">
        <v>27.124049175550301</v>
      </c>
      <c r="R53" s="59">
        <v>0.91186907628388703</v>
      </c>
      <c r="S53" s="59">
        <v>0.37976970346613897</v>
      </c>
      <c r="X53" s="2">
        <f t="shared" si="0"/>
        <v>0.72875950824449698</v>
      </c>
      <c r="Y53" s="2">
        <f>SUMIF(收盤價!A:A,A53,收盤價!C:C)</f>
        <v>12.6</v>
      </c>
      <c r="Z53" s="2">
        <f t="shared" si="1"/>
        <v>9509602.7459999993</v>
      </c>
      <c r="AA53" s="2">
        <f t="shared" si="2"/>
        <v>7205110.9199999999</v>
      </c>
    </row>
    <row r="54" spans="1:27" ht="14.5" customHeight="1">
      <c r="A54" s="19" t="s">
        <v>4720</v>
      </c>
      <c r="B54" s="3" t="s">
        <v>130</v>
      </c>
      <c r="C54" s="20">
        <v>250146590</v>
      </c>
      <c r="D54" s="20">
        <v>228661933</v>
      </c>
      <c r="E54" s="56">
        <v>9.4</v>
      </c>
      <c r="F54" s="57">
        <v>13762994</v>
      </c>
      <c r="G54" s="57">
        <v>14783942</v>
      </c>
      <c r="H54" s="57">
        <v>5367261</v>
      </c>
      <c r="I54" s="57">
        <v>6271188</v>
      </c>
      <c r="J54" s="57">
        <v>10732669</v>
      </c>
      <c r="K54" s="57">
        <v>12028294</v>
      </c>
      <c r="L54" s="56">
        <v>-10.77</v>
      </c>
      <c r="M54" s="20">
        <v>53528751</v>
      </c>
      <c r="N54" s="56">
        <v>2.15</v>
      </c>
      <c r="O54" s="56">
        <v>2.41</v>
      </c>
      <c r="P54" s="58">
        <v>38.21</v>
      </c>
      <c r="Q54" s="59">
        <v>35.5024293261895</v>
      </c>
      <c r="R54" s="59">
        <v>1.0358526108996999</v>
      </c>
      <c r="S54" s="59">
        <v>0.709360697737771</v>
      </c>
      <c r="X54" s="2">
        <f t="shared" si="0"/>
        <v>0.644975706738105</v>
      </c>
      <c r="Y54" s="2">
        <f>SUMIF(收盤價!A:A,A54,收盤價!C:C)</f>
        <v>29.85</v>
      </c>
      <c r="Z54" s="2">
        <f t="shared" si="1"/>
        <v>204533357.57100001</v>
      </c>
      <c r="AA54" s="2">
        <f t="shared" si="2"/>
        <v>159783321.73500001</v>
      </c>
    </row>
    <row r="55" spans="1:27" ht="14.5" customHeight="1">
      <c r="A55" s="19" t="s">
        <v>4721</v>
      </c>
      <c r="B55" s="3" t="s">
        <v>132</v>
      </c>
      <c r="C55" s="20">
        <v>37989046</v>
      </c>
      <c r="D55" s="20">
        <v>42493927</v>
      </c>
      <c r="E55" s="56">
        <v>-10.6</v>
      </c>
      <c r="F55" s="57">
        <v>2757019</v>
      </c>
      <c r="G55" s="57">
        <v>3635708</v>
      </c>
      <c r="H55" s="57" t="s">
        <v>6316</v>
      </c>
      <c r="I55" s="57" t="s">
        <v>6316</v>
      </c>
      <c r="J55" s="57">
        <v>1792579</v>
      </c>
      <c r="K55" s="57">
        <v>2457937</v>
      </c>
      <c r="L55" s="56">
        <v>-27.07</v>
      </c>
      <c r="M55" s="20">
        <v>16184093</v>
      </c>
      <c r="N55" s="56">
        <v>1.1100000000000001</v>
      </c>
      <c r="O55" s="56">
        <v>1.52</v>
      </c>
      <c r="P55" s="58">
        <v>18.48</v>
      </c>
      <c r="Q55" s="59">
        <v>18.973630020866398</v>
      </c>
      <c r="R55" s="59">
        <v>0.92905032647860897</v>
      </c>
      <c r="S55" s="59">
        <v>0</v>
      </c>
      <c r="X55" s="2">
        <f t="shared" si="0"/>
        <v>0.81026369979133606</v>
      </c>
      <c r="Y55" s="2">
        <f>SUMIF(收盤價!A:A,A55,收盤價!C:C)</f>
        <v>12.05</v>
      </c>
      <c r="Z55" s="2">
        <f t="shared" si="1"/>
        <v>29908203.864</v>
      </c>
      <c r="AA55" s="2">
        <f t="shared" si="2"/>
        <v>19501832.065000001</v>
      </c>
    </row>
    <row r="56" spans="1:27" ht="14.5" customHeight="1">
      <c r="A56" s="19" t="s">
        <v>4722</v>
      </c>
      <c r="B56" s="3" t="s">
        <v>134</v>
      </c>
      <c r="C56" s="20">
        <v>398105</v>
      </c>
      <c r="D56" s="20">
        <v>505982</v>
      </c>
      <c r="E56" s="56">
        <v>-21.32</v>
      </c>
      <c r="F56" s="57">
        <v>75714</v>
      </c>
      <c r="G56" s="57">
        <v>119370</v>
      </c>
      <c r="H56" s="57">
        <v>7127</v>
      </c>
      <c r="I56" s="57">
        <v>17198</v>
      </c>
      <c r="J56" s="57">
        <v>65066</v>
      </c>
      <c r="K56" s="57">
        <v>103812</v>
      </c>
      <c r="L56" s="56">
        <v>-37.32</v>
      </c>
      <c r="M56" s="20">
        <v>630000</v>
      </c>
      <c r="N56" s="56">
        <v>0.94</v>
      </c>
      <c r="O56" s="56">
        <v>1.44</v>
      </c>
      <c r="P56" s="58">
        <v>17.34</v>
      </c>
      <c r="Q56" s="59">
        <v>79.702523073689903</v>
      </c>
      <c r="R56" s="59">
        <v>10.9546667561807</v>
      </c>
      <c r="S56" s="59">
        <v>8.1944579647874303</v>
      </c>
      <c r="X56" s="2">
        <f t="shared" si="0"/>
        <v>0.20297476926310096</v>
      </c>
      <c r="Y56" s="2">
        <f>SUMIF(收盤價!A:A,A56,收盤價!C:C)</f>
        <v>32.65</v>
      </c>
      <c r="Z56" s="2">
        <f t="shared" si="1"/>
        <v>1092420</v>
      </c>
      <c r="AA56" s="2">
        <f t="shared" si="2"/>
        <v>2056950</v>
      </c>
    </row>
    <row r="57" spans="1:27" ht="14.5" customHeight="1">
      <c r="A57" s="19" t="s">
        <v>4723</v>
      </c>
      <c r="B57" s="3" t="s">
        <v>136</v>
      </c>
      <c r="C57" s="20">
        <v>2947365</v>
      </c>
      <c r="D57" s="20">
        <v>3651036</v>
      </c>
      <c r="E57" s="56">
        <v>-19.27</v>
      </c>
      <c r="F57" s="57">
        <v>58659</v>
      </c>
      <c r="G57" s="57">
        <v>198542</v>
      </c>
      <c r="H57" s="57">
        <v>10664</v>
      </c>
      <c r="I57" s="57">
        <v>7516</v>
      </c>
      <c r="J57" s="57">
        <v>68560</v>
      </c>
      <c r="K57" s="57">
        <v>242384</v>
      </c>
      <c r="L57" s="56">
        <v>-71.709999999999994</v>
      </c>
      <c r="M57" s="20">
        <v>1321124</v>
      </c>
      <c r="N57" s="56">
        <v>0.52</v>
      </c>
      <c r="O57" s="56">
        <v>1.83</v>
      </c>
      <c r="P57" s="58">
        <v>9.08</v>
      </c>
      <c r="Q57" s="59">
        <v>43.604118693740801</v>
      </c>
      <c r="R57" s="59">
        <v>0.93351820451226997</v>
      </c>
      <c r="S57" s="59">
        <v>0.26164452922613202</v>
      </c>
      <c r="X57" s="2">
        <f t="shared" si="0"/>
        <v>0.56395881306259199</v>
      </c>
      <c r="Y57" s="2">
        <f>SUMIF(收盤價!A:A,A57,收盤價!C:C)</f>
        <v>9.4700000000000006</v>
      </c>
      <c r="Z57" s="2">
        <f t="shared" si="1"/>
        <v>1199580.5919999999</v>
      </c>
      <c r="AA57" s="2">
        <f t="shared" si="2"/>
        <v>1251104.4280000001</v>
      </c>
    </row>
    <row r="58" spans="1:27" ht="14.5" customHeight="1">
      <c r="A58" s="19" t="s">
        <v>4724</v>
      </c>
      <c r="B58" s="3" t="s">
        <v>138</v>
      </c>
      <c r="C58" s="20">
        <v>790778</v>
      </c>
      <c r="D58" s="20">
        <v>974924</v>
      </c>
      <c r="E58" s="56">
        <v>-18.89</v>
      </c>
      <c r="F58" s="57">
        <v>-64766</v>
      </c>
      <c r="G58" s="57">
        <v>6376</v>
      </c>
      <c r="H58" s="57">
        <v>93971</v>
      </c>
      <c r="I58" s="57">
        <v>27546</v>
      </c>
      <c r="J58" s="57">
        <v>36405</v>
      </c>
      <c r="K58" s="57">
        <v>38482</v>
      </c>
      <c r="L58" s="56">
        <v>-5.4</v>
      </c>
      <c r="M58" s="20">
        <v>2200000</v>
      </c>
      <c r="N58" s="56">
        <v>0.17</v>
      </c>
      <c r="O58" s="56">
        <v>0.17</v>
      </c>
      <c r="P58" s="58">
        <v>14.08</v>
      </c>
      <c r="Q58" s="59">
        <v>67.718770999204693</v>
      </c>
      <c r="R58" s="59">
        <v>1.5092572879610699</v>
      </c>
      <c r="S58" s="59">
        <v>0.36293162290599701</v>
      </c>
      <c r="X58" s="2">
        <f t="shared" si="0"/>
        <v>0.32281229000795308</v>
      </c>
      <c r="Y58" s="2">
        <f>SUMIF(收盤價!A:A,A58,收盤價!C:C)</f>
        <v>7.18</v>
      </c>
      <c r="Z58" s="2">
        <f t="shared" si="1"/>
        <v>3097600</v>
      </c>
      <c r="AA58" s="2">
        <f t="shared" si="2"/>
        <v>1579600</v>
      </c>
    </row>
    <row r="59" spans="1:27" ht="14.5" customHeight="1">
      <c r="A59" s="19" t="s">
        <v>4725</v>
      </c>
      <c r="B59" s="3" t="s">
        <v>140</v>
      </c>
      <c r="C59" s="20">
        <v>258885</v>
      </c>
      <c r="D59" s="20">
        <v>271003</v>
      </c>
      <c r="E59" s="56">
        <v>-4.47</v>
      </c>
      <c r="F59" s="57">
        <v>-44919</v>
      </c>
      <c r="G59" s="57">
        <v>-159774</v>
      </c>
      <c r="H59" s="57">
        <v>-121447</v>
      </c>
      <c r="I59" s="57">
        <v>400504</v>
      </c>
      <c r="J59" s="57">
        <v>-133726</v>
      </c>
      <c r="K59" s="57">
        <v>250066</v>
      </c>
      <c r="L59" s="56"/>
      <c r="M59" s="20">
        <v>1853422</v>
      </c>
      <c r="N59" s="56">
        <v>-0.72</v>
      </c>
      <c r="O59" s="56">
        <v>1.35</v>
      </c>
      <c r="P59" s="58">
        <v>21.09</v>
      </c>
      <c r="Q59" s="59">
        <v>54.704657518906203</v>
      </c>
      <c r="R59" s="59">
        <v>1.1540483420857499</v>
      </c>
      <c r="S59" s="59">
        <v>0.131484419318977</v>
      </c>
      <c r="X59" s="2">
        <f t="shared" si="0"/>
        <v>0.45295342481093798</v>
      </c>
      <c r="Y59" s="2">
        <f>SUMIF(收盤價!A:A,A59,收盤價!C:C)</f>
        <v>13.45</v>
      </c>
      <c r="Z59" s="2">
        <f t="shared" si="1"/>
        <v>3908866.9979999997</v>
      </c>
      <c r="AA59" s="2">
        <f t="shared" si="2"/>
        <v>2492852.59</v>
      </c>
    </row>
    <row r="60" spans="1:27" ht="14.5" customHeight="1">
      <c r="A60" s="19" t="s">
        <v>4726</v>
      </c>
      <c r="B60" s="3" t="s">
        <v>142</v>
      </c>
      <c r="C60" s="20">
        <v>1405652</v>
      </c>
      <c r="D60" s="20">
        <v>1499660</v>
      </c>
      <c r="E60" s="56">
        <v>-6.27</v>
      </c>
      <c r="F60" s="57">
        <v>-276527</v>
      </c>
      <c r="G60" s="57">
        <v>-387051</v>
      </c>
      <c r="H60" s="57">
        <v>625441</v>
      </c>
      <c r="I60" s="57">
        <v>170156</v>
      </c>
      <c r="J60" s="57">
        <v>317339</v>
      </c>
      <c r="K60" s="57">
        <v>-233568</v>
      </c>
      <c r="L60" s="56"/>
      <c r="M60" s="20">
        <v>1899419</v>
      </c>
      <c r="N60" s="56">
        <v>1.18</v>
      </c>
      <c r="O60" s="56">
        <v>-0.86</v>
      </c>
      <c r="P60" s="58">
        <v>16.510000000000002</v>
      </c>
      <c r="Q60" s="59">
        <v>71.515142391099303</v>
      </c>
      <c r="R60" s="59">
        <v>2.54527443219476</v>
      </c>
      <c r="S60" s="59">
        <v>1.0838680219485599</v>
      </c>
      <c r="X60" s="2">
        <f t="shared" si="0"/>
        <v>0.28484857608900699</v>
      </c>
      <c r="Y60" s="2">
        <f>SUMIF(收盤價!A:A,A60,收盤價!C:C)</f>
        <v>9.99</v>
      </c>
      <c r="Z60" s="2">
        <f t="shared" si="1"/>
        <v>3135940.7690000003</v>
      </c>
      <c r="AA60" s="2">
        <f t="shared" si="2"/>
        <v>1897519.5809999998</v>
      </c>
    </row>
    <row r="61" spans="1:27" ht="14.5" customHeight="1">
      <c r="A61" s="19" t="s">
        <v>5625</v>
      </c>
      <c r="B61" s="3" t="s">
        <v>144</v>
      </c>
      <c r="C61" s="20">
        <v>211540</v>
      </c>
      <c r="D61" s="20">
        <v>653059</v>
      </c>
      <c r="E61" s="56">
        <v>-67.61</v>
      </c>
      <c r="F61" s="57">
        <v>-192441</v>
      </c>
      <c r="G61" s="57">
        <v>-202238</v>
      </c>
      <c r="H61" s="57">
        <v>-21698</v>
      </c>
      <c r="I61" s="57">
        <v>-15537</v>
      </c>
      <c r="J61" s="57">
        <v>-214073</v>
      </c>
      <c r="K61" s="57">
        <v>-217904</v>
      </c>
      <c r="L61" s="56"/>
      <c r="M61" s="20">
        <v>568343</v>
      </c>
      <c r="N61" s="56">
        <v>-3.94</v>
      </c>
      <c r="O61" s="56">
        <v>-4.01</v>
      </c>
      <c r="P61" s="58">
        <v>11.7</v>
      </c>
      <c r="Q61" s="59">
        <v>25.864904359609</v>
      </c>
      <c r="R61" s="59">
        <v>1.42624411745552</v>
      </c>
      <c r="S61" s="59">
        <v>0.70951112756338397</v>
      </c>
      <c r="X61" s="2">
        <f t="shared" si="0"/>
        <v>0.74135095640391002</v>
      </c>
      <c r="Y61" s="2">
        <f>SUMIF(收盤價!A:A,A61,收盤價!C:C)</f>
        <v>6.05</v>
      </c>
      <c r="Z61" s="2">
        <f t="shared" si="1"/>
        <v>664961.30999999994</v>
      </c>
      <c r="AA61" s="2">
        <f t="shared" si="2"/>
        <v>343847.51500000001</v>
      </c>
    </row>
    <row r="62" spans="1:27" ht="14.5" customHeight="1">
      <c r="A62" s="19" t="s">
        <v>4727</v>
      </c>
      <c r="B62" s="3" t="s">
        <v>146</v>
      </c>
      <c r="C62" s="20">
        <v>2083581</v>
      </c>
      <c r="D62" s="20">
        <v>1605981</v>
      </c>
      <c r="E62" s="56">
        <v>29.74</v>
      </c>
      <c r="F62" s="57">
        <v>113409</v>
      </c>
      <c r="G62" s="57">
        <v>-23768</v>
      </c>
      <c r="H62" s="57">
        <v>264383</v>
      </c>
      <c r="I62" s="57">
        <v>303224</v>
      </c>
      <c r="J62" s="57">
        <v>387431</v>
      </c>
      <c r="K62" s="57">
        <v>282546</v>
      </c>
      <c r="L62" s="56">
        <v>37.119999999999997</v>
      </c>
      <c r="M62" s="20">
        <v>3000413</v>
      </c>
      <c r="N62" s="56">
        <v>1.29</v>
      </c>
      <c r="O62" s="56">
        <v>0.94</v>
      </c>
      <c r="P62" s="58">
        <v>29.09</v>
      </c>
      <c r="Q62" s="59">
        <v>67.378031245928895</v>
      </c>
      <c r="R62" s="59">
        <v>0.81001636481778105</v>
      </c>
      <c r="S62" s="59">
        <v>0.287578916124961</v>
      </c>
      <c r="X62" s="2">
        <f t="shared" si="0"/>
        <v>0.32621968754071107</v>
      </c>
      <c r="Y62" s="2">
        <f>SUMIF(收盤價!A:A,A62,收盤價!C:C)</f>
        <v>41.7</v>
      </c>
      <c r="Z62" s="2">
        <f t="shared" si="1"/>
        <v>8728201.4169999994</v>
      </c>
      <c r="AA62" s="2">
        <f t="shared" si="2"/>
        <v>12511722.210000001</v>
      </c>
    </row>
    <row r="63" spans="1:27" ht="14.5" customHeight="1">
      <c r="A63" s="19" t="s">
        <v>4728</v>
      </c>
      <c r="B63" s="3" t="s">
        <v>148</v>
      </c>
      <c r="C63" s="20">
        <v>455091</v>
      </c>
      <c r="D63" s="20">
        <v>761087</v>
      </c>
      <c r="E63" s="56">
        <v>-40.21</v>
      </c>
      <c r="F63" s="57">
        <v>-80353</v>
      </c>
      <c r="G63" s="57">
        <v>34061</v>
      </c>
      <c r="H63" s="57">
        <v>38039</v>
      </c>
      <c r="I63" s="57">
        <v>75956</v>
      </c>
      <c r="J63" s="57">
        <v>-36183</v>
      </c>
      <c r="K63" s="57">
        <v>102668</v>
      </c>
      <c r="L63" s="56"/>
      <c r="M63" s="20">
        <v>1384000</v>
      </c>
      <c r="N63" s="56">
        <v>-0.26</v>
      </c>
      <c r="O63" s="56">
        <v>0.64</v>
      </c>
      <c r="P63" s="58">
        <v>17.03</v>
      </c>
      <c r="Q63" s="59">
        <v>91.441356516072005</v>
      </c>
      <c r="R63" s="59">
        <v>55.182033977193399</v>
      </c>
      <c r="S63" s="59">
        <v>14.825599255294399</v>
      </c>
      <c r="X63" s="2">
        <f t="shared" si="0"/>
        <v>8.558643483927994E-2</v>
      </c>
      <c r="Y63" s="2">
        <f>SUMIF(收盤價!A:A,A63,收盤價!C:C)</f>
        <v>10.35</v>
      </c>
      <c r="Z63" s="2">
        <f t="shared" si="1"/>
        <v>2356952</v>
      </c>
      <c r="AA63" s="2">
        <f t="shared" si="2"/>
        <v>1432440</v>
      </c>
    </row>
    <row r="64" spans="1:27" ht="14.5" customHeight="1">
      <c r="A64" s="19" t="s">
        <v>4729</v>
      </c>
      <c r="B64" s="3" t="s">
        <v>152</v>
      </c>
      <c r="C64" s="20">
        <v>36762189</v>
      </c>
      <c r="D64" s="20">
        <v>35759528</v>
      </c>
      <c r="E64" s="56">
        <v>2.8</v>
      </c>
      <c r="F64" s="57">
        <v>1067310</v>
      </c>
      <c r="G64" s="57">
        <v>884133</v>
      </c>
      <c r="H64" s="57">
        <v>4096648</v>
      </c>
      <c r="I64" s="57">
        <v>3645274</v>
      </c>
      <c r="J64" s="57">
        <v>5188729</v>
      </c>
      <c r="K64" s="57">
        <v>4737406</v>
      </c>
      <c r="L64" s="56">
        <v>9.5299999999999994</v>
      </c>
      <c r="M64" s="20">
        <v>16846646</v>
      </c>
      <c r="N64" s="56">
        <v>3.08</v>
      </c>
      <c r="O64" s="56">
        <v>2.82</v>
      </c>
      <c r="P64" s="58">
        <v>38.17</v>
      </c>
      <c r="Q64" s="59">
        <v>79.516790057605505</v>
      </c>
      <c r="R64" s="59">
        <v>2.0645141021484799</v>
      </c>
      <c r="S64" s="59">
        <v>0.822210014441072</v>
      </c>
      <c r="X64" s="2">
        <f t="shared" si="0"/>
        <v>0.20483209942394495</v>
      </c>
      <c r="Y64" s="2">
        <f>SUMIF(收盤價!A:A,A64,收盤價!C:C)</f>
        <v>34.200000000000003</v>
      </c>
      <c r="Z64" s="2">
        <f t="shared" si="1"/>
        <v>64303647.782000005</v>
      </c>
      <c r="AA64" s="2">
        <f t="shared" si="2"/>
        <v>57615529.320000008</v>
      </c>
    </row>
    <row r="65" spans="1:27" ht="14.5" customHeight="1">
      <c r="A65" s="19" t="s">
        <v>4730</v>
      </c>
      <c r="B65" s="3" t="s">
        <v>162</v>
      </c>
      <c r="C65" s="20">
        <v>173008</v>
      </c>
      <c r="D65" s="20">
        <v>264022</v>
      </c>
      <c r="E65" s="56">
        <v>-34.47</v>
      </c>
      <c r="F65" s="57">
        <v>-49632</v>
      </c>
      <c r="G65" s="57">
        <v>-69452</v>
      </c>
      <c r="H65" s="57">
        <v>1118436</v>
      </c>
      <c r="I65" s="57">
        <v>-1882</v>
      </c>
      <c r="J65" s="57">
        <v>961983</v>
      </c>
      <c r="K65" s="57">
        <v>-68815</v>
      </c>
      <c r="L65" s="56"/>
      <c r="M65" s="20">
        <v>920000</v>
      </c>
      <c r="N65" s="56">
        <v>10.46</v>
      </c>
      <c r="O65" s="56">
        <v>-0.75</v>
      </c>
      <c r="P65" s="58">
        <v>30.56</v>
      </c>
      <c r="Q65" s="59">
        <v>99.310148736043899</v>
      </c>
      <c r="R65" s="59">
        <v>137.44806504860301</v>
      </c>
      <c r="S65" s="59">
        <v>76.079721220272702</v>
      </c>
      <c r="X65" s="2">
        <f t="shared" si="0"/>
        <v>6.8985126395610056E-3</v>
      </c>
      <c r="Y65" s="2">
        <f>SUMIF(收盤價!A:A,A65,收盤價!C:C)</f>
        <v>33.4</v>
      </c>
      <c r="Z65" s="2">
        <f t="shared" si="1"/>
        <v>2811520</v>
      </c>
      <c r="AA65" s="2">
        <f t="shared" si="2"/>
        <v>3072800</v>
      </c>
    </row>
    <row r="66" spans="1:27" ht="14.5" customHeight="1">
      <c r="A66" s="19" t="s">
        <v>4731</v>
      </c>
      <c r="B66" s="3" t="s">
        <v>164</v>
      </c>
      <c r="C66" s="20">
        <v>22947425</v>
      </c>
      <c r="D66" s="20">
        <v>24946094</v>
      </c>
      <c r="E66" s="56">
        <v>-8.01</v>
      </c>
      <c r="F66" s="57">
        <v>-765678</v>
      </c>
      <c r="G66" s="57">
        <v>683480</v>
      </c>
      <c r="H66" s="57">
        <v>779487</v>
      </c>
      <c r="I66" s="57">
        <v>617785</v>
      </c>
      <c r="J66" s="57">
        <v>91486</v>
      </c>
      <c r="K66" s="57">
        <v>1071003</v>
      </c>
      <c r="L66" s="56">
        <v>-91.46</v>
      </c>
      <c r="M66" s="20">
        <v>16568159</v>
      </c>
      <c r="N66" s="56">
        <v>0.06</v>
      </c>
      <c r="O66" s="56">
        <v>0.65</v>
      </c>
      <c r="P66" s="58">
        <v>14.81</v>
      </c>
      <c r="Q66" s="59">
        <v>54.921893144851197</v>
      </c>
      <c r="R66" s="59">
        <v>0.94789073244268296</v>
      </c>
      <c r="S66" s="59">
        <v>0.54029054548783495</v>
      </c>
      <c r="X66" s="2">
        <f t="shared" si="0"/>
        <v>0.45078106855148803</v>
      </c>
      <c r="Y66" s="2">
        <f>SUMIF(收盤價!A:A,A66,收盤價!C:C)</f>
        <v>10.5</v>
      </c>
      <c r="Z66" s="2">
        <f t="shared" si="1"/>
        <v>24537443.479000002</v>
      </c>
      <c r="AA66" s="2">
        <f t="shared" si="2"/>
        <v>17396566.949999999</v>
      </c>
    </row>
    <row r="67" spans="1:27" ht="14.5" customHeight="1">
      <c r="A67" s="19" t="s">
        <v>4732</v>
      </c>
      <c r="B67" s="3" t="s">
        <v>166</v>
      </c>
      <c r="C67" s="20">
        <v>1466872</v>
      </c>
      <c r="D67" s="20">
        <v>1624251</v>
      </c>
      <c r="E67" s="56">
        <v>-9.69</v>
      </c>
      <c r="F67" s="57">
        <v>-287480</v>
      </c>
      <c r="G67" s="57">
        <v>-264580</v>
      </c>
      <c r="H67" s="57">
        <v>-40506</v>
      </c>
      <c r="I67" s="57">
        <v>1250688</v>
      </c>
      <c r="J67" s="57">
        <v>-308231</v>
      </c>
      <c r="K67" s="57">
        <v>904683</v>
      </c>
      <c r="L67" s="56"/>
      <c r="M67" s="20">
        <v>1008000</v>
      </c>
      <c r="N67" s="56">
        <v>-3.06</v>
      </c>
      <c r="O67" s="56">
        <v>9.0299999999999994</v>
      </c>
      <c r="P67" s="58">
        <v>10.94</v>
      </c>
      <c r="Q67" s="59">
        <v>37.811328569523198</v>
      </c>
      <c r="R67" s="59">
        <v>0.72730098540527699</v>
      </c>
      <c r="S67" s="59">
        <v>0.20796706574917501</v>
      </c>
      <c r="X67" s="2">
        <f t="shared" si="0"/>
        <v>0.62188671430476805</v>
      </c>
      <c r="Y67" s="2">
        <f>SUMIF(收盤價!A:A,A67,收盤價!C:C)</f>
        <v>8.77</v>
      </c>
      <c r="Z67" s="2">
        <f t="shared" si="1"/>
        <v>1102752</v>
      </c>
      <c r="AA67" s="2">
        <f t="shared" si="2"/>
        <v>884016</v>
      </c>
    </row>
    <row r="68" spans="1:27" ht="14.5" customHeight="1">
      <c r="A68" s="19" t="s">
        <v>4733</v>
      </c>
      <c r="B68" s="3" t="s">
        <v>170</v>
      </c>
      <c r="C68" s="20">
        <v>703856</v>
      </c>
      <c r="D68" s="20">
        <v>1128161</v>
      </c>
      <c r="E68" s="56">
        <v>-37.61</v>
      </c>
      <c r="F68" s="57">
        <v>100823</v>
      </c>
      <c r="G68" s="57">
        <v>-202439</v>
      </c>
      <c r="H68" s="57">
        <v>-91377</v>
      </c>
      <c r="I68" s="57">
        <v>-387375</v>
      </c>
      <c r="J68" s="57">
        <v>2194</v>
      </c>
      <c r="K68" s="57">
        <v>-320217</v>
      </c>
      <c r="L68" s="56"/>
      <c r="M68" s="20">
        <v>1353430</v>
      </c>
      <c r="N68" s="56">
        <v>0.02</v>
      </c>
      <c r="O68" s="56">
        <v>-2.38</v>
      </c>
      <c r="P68" s="58">
        <v>8.6199999999999992</v>
      </c>
      <c r="Q68" s="59">
        <v>22.046875571873599</v>
      </c>
      <c r="R68" s="59">
        <v>0.163558950991149</v>
      </c>
      <c r="S68" s="59">
        <v>7.1849545810097198E-2</v>
      </c>
      <c r="X68" s="2">
        <f t="shared" si="0"/>
        <v>0.77953124428126397</v>
      </c>
      <c r="Y68" s="2">
        <f>SUMIF(收盤價!A:A,A68,收盤價!C:C)</f>
        <v>9.6300000000000008</v>
      </c>
      <c r="Z68" s="2">
        <f t="shared" si="1"/>
        <v>1166656.6599999999</v>
      </c>
      <c r="AA68" s="2">
        <f t="shared" si="2"/>
        <v>1303353.0900000001</v>
      </c>
    </row>
    <row r="69" spans="1:27" ht="14.5" customHeight="1">
      <c r="A69" s="19" t="s">
        <v>4734</v>
      </c>
      <c r="B69" s="3" t="s">
        <v>172</v>
      </c>
      <c r="C69" s="20">
        <v>12008135</v>
      </c>
      <c r="D69" s="20">
        <v>12882065</v>
      </c>
      <c r="E69" s="56">
        <v>-6.78</v>
      </c>
      <c r="F69" s="57">
        <v>103717</v>
      </c>
      <c r="G69" s="57">
        <v>181757</v>
      </c>
      <c r="H69" s="57">
        <v>-101306</v>
      </c>
      <c r="I69" s="57">
        <v>306870</v>
      </c>
      <c r="J69" s="57">
        <v>52588</v>
      </c>
      <c r="K69" s="57">
        <v>415591</v>
      </c>
      <c r="L69" s="56">
        <v>-87.35</v>
      </c>
      <c r="M69" s="20">
        <v>9573029</v>
      </c>
      <c r="N69" s="56">
        <v>0.06</v>
      </c>
      <c r="O69" s="56">
        <v>0.44</v>
      </c>
      <c r="P69" s="58">
        <v>10.84</v>
      </c>
      <c r="Q69" s="59">
        <v>56.978992669193403</v>
      </c>
      <c r="R69" s="59">
        <v>1.2014824395867201</v>
      </c>
      <c r="S69" s="59">
        <v>0.62571515174061099</v>
      </c>
      <c r="X69" s="2">
        <f t="shared" ref="X69:X132" si="3">IF(W69&lt;&gt;"",ROUND(W69/U69,2),(100-Q69)/100)</f>
        <v>0.43021007330806599</v>
      </c>
      <c r="Y69" s="2">
        <f>SUMIF(收盤價!A:A,A69,收盤價!C:C)</f>
        <v>9.57</v>
      </c>
      <c r="Z69" s="2">
        <f t="shared" ref="Z69:Z132" si="4">IF(W69&lt;&gt;"",U69-W69,M69*P69/10)</f>
        <v>10377163.436000001</v>
      </c>
      <c r="AA69" s="2">
        <f t="shared" ref="AA69:AA132" si="5">Y69*M69/10</f>
        <v>9161388.7530000005</v>
      </c>
    </row>
    <row r="70" spans="1:27" ht="14.5" customHeight="1">
      <c r="A70" s="19" t="s">
        <v>4735</v>
      </c>
      <c r="B70" s="3" t="s">
        <v>174</v>
      </c>
      <c r="C70" s="20">
        <v>1370531</v>
      </c>
      <c r="D70" s="20">
        <v>1572270</v>
      </c>
      <c r="E70" s="56">
        <v>-12.83</v>
      </c>
      <c r="F70" s="57">
        <v>-60167</v>
      </c>
      <c r="G70" s="57">
        <v>-47487</v>
      </c>
      <c r="H70" s="57">
        <v>5140</v>
      </c>
      <c r="I70" s="57">
        <v>12022</v>
      </c>
      <c r="J70" s="57">
        <v>-40278</v>
      </c>
      <c r="K70" s="57">
        <v>-24156</v>
      </c>
      <c r="L70" s="56"/>
      <c r="M70" s="20">
        <v>1326670</v>
      </c>
      <c r="N70" s="56">
        <v>-0.3</v>
      </c>
      <c r="O70" s="56">
        <v>-0.17</v>
      </c>
      <c r="P70" s="58">
        <v>12.63</v>
      </c>
      <c r="Q70" s="59">
        <v>82.590424385801498</v>
      </c>
      <c r="R70" s="59">
        <v>5.0935267120297301</v>
      </c>
      <c r="S70" s="59">
        <v>2.3545719792565101</v>
      </c>
      <c r="X70" s="2">
        <f t="shared" si="3"/>
        <v>0.17409575614198503</v>
      </c>
      <c r="Y70" s="2">
        <f>SUMIF(收盤價!A:A,A70,收盤價!C:C)</f>
        <v>7.2</v>
      </c>
      <c r="Z70" s="2">
        <f t="shared" si="4"/>
        <v>1675584.2100000002</v>
      </c>
      <c r="AA70" s="2">
        <f t="shared" si="5"/>
        <v>955202.4</v>
      </c>
    </row>
    <row r="71" spans="1:27" ht="14.5" customHeight="1">
      <c r="A71" s="19" t="s">
        <v>4736</v>
      </c>
      <c r="B71" s="3" t="s">
        <v>176</v>
      </c>
      <c r="C71" s="20">
        <v>550215</v>
      </c>
      <c r="D71" s="20">
        <v>447125</v>
      </c>
      <c r="E71" s="56">
        <v>23.06</v>
      </c>
      <c r="F71" s="57">
        <v>-1843</v>
      </c>
      <c r="G71" s="57">
        <v>-76695</v>
      </c>
      <c r="H71" s="57">
        <v>3401</v>
      </c>
      <c r="I71" s="57">
        <v>20568</v>
      </c>
      <c r="J71" s="57">
        <v>290</v>
      </c>
      <c r="K71" s="57">
        <v>-28596</v>
      </c>
      <c r="L71" s="56"/>
      <c r="M71" s="20">
        <v>1377095</v>
      </c>
      <c r="N71" s="56">
        <v>0</v>
      </c>
      <c r="O71" s="56">
        <v>-0.21</v>
      </c>
      <c r="P71" s="58">
        <v>11.38</v>
      </c>
      <c r="Q71" s="59">
        <v>36.598424034880701</v>
      </c>
      <c r="R71" s="59">
        <v>1.73659197668325</v>
      </c>
      <c r="S71" s="59">
        <v>0.17908191249257899</v>
      </c>
      <c r="X71" s="2">
        <f t="shared" si="3"/>
        <v>0.63401575965119294</v>
      </c>
      <c r="Y71" s="2">
        <f>SUMIF(收盤價!A:A,A71,收盤價!C:C)</f>
        <v>38</v>
      </c>
      <c r="Z71" s="2">
        <f t="shared" si="4"/>
        <v>1567134.11</v>
      </c>
      <c r="AA71" s="2">
        <f t="shared" si="5"/>
        <v>5232961</v>
      </c>
    </row>
    <row r="72" spans="1:27" ht="14.5" customHeight="1">
      <c r="A72" s="19" t="s">
        <v>4737</v>
      </c>
      <c r="B72" s="3" t="s">
        <v>178</v>
      </c>
      <c r="C72" s="20">
        <v>14579347</v>
      </c>
      <c r="D72" s="20">
        <v>17599267</v>
      </c>
      <c r="E72" s="56">
        <v>-17.16</v>
      </c>
      <c r="F72" s="57">
        <v>-309853</v>
      </c>
      <c r="G72" s="57">
        <v>-360753</v>
      </c>
      <c r="H72" s="57">
        <v>-2894</v>
      </c>
      <c r="I72" s="57">
        <v>531692</v>
      </c>
      <c r="J72" s="57">
        <v>-249366</v>
      </c>
      <c r="K72" s="57">
        <v>161957</v>
      </c>
      <c r="L72" s="56"/>
      <c r="M72" s="20">
        <v>9144872</v>
      </c>
      <c r="N72" s="56">
        <v>-0.28999999999999998</v>
      </c>
      <c r="O72" s="56">
        <v>0.19</v>
      </c>
      <c r="P72" s="58">
        <v>11.26</v>
      </c>
      <c r="Q72" s="59">
        <v>51.746629539362502</v>
      </c>
      <c r="R72" s="59">
        <v>1.23680587769601</v>
      </c>
      <c r="S72" s="59">
        <v>0.81683166073754598</v>
      </c>
      <c r="X72" s="2">
        <f t="shared" si="3"/>
        <v>0.48253370460637496</v>
      </c>
      <c r="Y72" s="2">
        <f>SUMIF(收盤價!A:A,A72,收盤價!C:C)</f>
        <v>6.99</v>
      </c>
      <c r="Z72" s="2">
        <f t="shared" si="4"/>
        <v>10297125.872</v>
      </c>
      <c r="AA72" s="2">
        <f t="shared" si="5"/>
        <v>6392265.5279999999</v>
      </c>
    </row>
    <row r="73" spans="1:27" ht="14.5" customHeight="1">
      <c r="A73" s="19" t="s">
        <v>4738</v>
      </c>
      <c r="B73" s="3" t="s">
        <v>180</v>
      </c>
      <c r="C73" s="20">
        <v>2496050</v>
      </c>
      <c r="D73" s="20">
        <v>2459080</v>
      </c>
      <c r="E73" s="56">
        <v>1.5</v>
      </c>
      <c r="F73" s="57">
        <v>-150677</v>
      </c>
      <c r="G73" s="57">
        <v>-246375</v>
      </c>
      <c r="H73" s="57">
        <v>75189</v>
      </c>
      <c r="I73" s="57">
        <v>80115</v>
      </c>
      <c r="J73" s="57">
        <v>-83440</v>
      </c>
      <c r="K73" s="57">
        <v>-102272</v>
      </c>
      <c r="L73" s="56"/>
      <c r="M73" s="20">
        <v>1200000</v>
      </c>
      <c r="N73" s="56">
        <v>-0.7</v>
      </c>
      <c r="O73" s="56">
        <v>-0.85</v>
      </c>
      <c r="P73" s="58">
        <v>5.4</v>
      </c>
      <c r="Q73" s="59">
        <v>10.1063095402458</v>
      </c>
      <c r="R73" s="59">
        <v>0.392537791949433</v>
      </c>
      <c r="S73" s="59">
        <v>8.0714133364097204E-2</v>
      </c>
      <c r="X73" s="2">
        <f t="shared" si="3"/>
        <v>0.89893690459754194</v>
      </c>
      <c r="Y73" s="2">
        <f>SUMIF(收盤價!A:A,A73,收盤價!C:C)</f>
        <v>12.2</v>
      </c>
      <c r="Z73" s="2">
        <f t="shared" si="4"/>
        <v>648000</v>
      </c>
      <c r="AA73" s="2">
        <f t="shared" si="5"/>
        <v>1464000</v>
      </c>
    </row>
    <row r="74" spans="1:27" ht="14.5" customHeight="1">
      <c r="A74" s="21" t="s">
        <v>4739</v>
      </c>
      <c r="B74" s="22" t="s">
        <v>182</v>
      </c>
      <c r="C74" s="23">
        <v>8567512</v>
      </c>
      <c r="D74" s="23">
        <v>8799524</v>
      </c>
      <c r="E74" s="60">
        <v>-2.64</v>
      </c>
      <c r="F74" s="61">
        <v>-105680</v>
      </c>
      <c r="G74" s="61">
        <v>283181</v>
      </c>
      <c r="H74" s="61">
        <v>35278</v>
      </c>
      <c r="I74" s="61">
        <v>272947</v>
      </c>
      <c r="J74" s="61">
        <v>-69702</v>
      </c>
      <c r="K74" s="61">
        <v>401418</v>
      </c>
      <c r="L74" s="60"/>
      <c r="M74" s="23">
        <v>1980000</v>
      </c>
      <c r="N74" s="60">
        <v>-0.35</v>
      </c>
      <c r="O74" s="60">
        <v>2.0299999999999998</v>
      </c>
      <c r="P74" s="62">
        <v>36.369999999999997</v>
      </c>
      <c r="Q74" s="63">
        <v>77.043507699175294</v>
      </c>
      <c r="R74" s="63">
        <v>3.6289689780733401</v>
      </c>
      <c r="S74" s="63">
        <v>1.8123706945351901</v>
      </c>
      <c r="X74" s="2">
        <f t="shared" si="3"/>
        <v>0.22956492300824707</v>
      </c>
      <c r="Y74" s="2">
        <f>SUMIF(收盤價!A:A,A74,收盤價!C:C)</f>
        <v>21</v>
      </c>
      <c r="Z74" s="2">
        <f t="shared" si="4"/>
        <v>7201260</v>
      </c>
      <c r="AA74" s="2">
        <f t="shared" si="5"/>
        <v>4158000</v>
      </c>
    </row>
    <row r="75" spans="1:27" ht="14.5" customHeight="1">
      <c r="A75" s="24" t="s">
        <v>4740</v>
      </c>
      <c r="B75" s="25" t="s">
        <v>184</v>
      </c>
      <c r="C75" s="26">
        <v>1918138</v>
      </c>
      <c r="D75" s="26">
        <v>2130850</v>
      </c>
      <c r="E75" s="64">
        <v>-9.98</v>
      </c>
      <c r="F75" s="65">
        <v>175063</v>
      </c>
      <c r="G75" s="65">
        <v>186226</v>
      </c>
      <c r="H75" s="65">
        <v>38484</v>
      </c>
      <c r="I75" s="65">
        <v>48981</v>
      </c>
      <c r="J75" s="65">
        <v>176038</v>
      </c>
      <c r="K75" s="65">
        <v>194916</v>
      </c>
      <c r="L75" s="64">
        <v>-9.69</v>
      </c>
      <c r="M75" s="26">
        <v>1326414</v>
      </c>
      <c r="N75" s="64">
        <v>1.33</v>
      </c>
      <c r="O75" s="64">
        <v>1.47</v>
      </c>
      <c r="P75" s="66">
        <v>18.8</v>
      </c>
      <c r="Q75" s="67">
        <v>92.395681219915303</v>
      </c>
      <c r="R75" s="67">
        <v>11.988591358986101</v>
      </c>
      <c r="S75" s="67">
        <v>6.1566391767673698</v>
      </c>
      <c r="X75" s="2">
        <f t="shared" si="3"/>
        <v>7.604318780084697E-2</v>
      </c>
      <c r="Y75" s="2">
        <f>SUMIF(收盤價!A:A,A75,收盤價!C:C)</f>
        <v>18.600000000000001</v>
      </c>
      <c r="Z75" s="2">
        <f t="shared" si="4"/>
        <v>2493658.3199999998</v>
      </c>
      <c r="AA75" s="2">
        <f t="shared" si="5"/>
        <v>2467130.04</v>
      </c>
    </row>
    <row r="76" spans="1:27" ht="14.5" customHeight="1">
      <c r="A76" s="19" t="s">
        <v>4741</v>
      </c>
      <c r="B76" s="3" t="s">
        <v>186</v>
      </c>
      <c r="C76" s="20">
        <v>44760</v>
      </c>
      <c r="D76" s="20">
        <v>28277</v>
      </c>
      <c r="E76" s="56">
        <v>58.29</v>
      </c>
      <c r="F76" s="57">
        <v>-72779</v>
      </c>
      <c r="G76" s="57">
        <v>-40911</v>
      </c>
      <c r="H76" s="57">
        <v>27793</v>
      </c>
      <c r="I76" s="57">
        <v>376772</v>
      </c>
      <c r="J76" s="57">
        <v>-45760</v>
      </c>
      <c r="K76" s="57">
        <v>335735</v>
      </c>
      <c r="L76" s="56"/>
      <c r="M76" s="20">
        <v>986422</v>
      </c>
      <c r="N76" s="56">
        <v>-0.46</v>
      </c>
      <c r="O76" s="56">
        <v>3.4</v>
      </c>
      <c r="P76" s="58">
        <v>12.83</v>
      </c>
      <c r="Q76" s="59">
        <v>96.091455342148606</v>
      </c>
      <c r="R76" s="59">
        <v>28.6000934603702</v>
      </c>
      <c r="S76" s="59">
        <v>13.580778317194101</v>
      </c>
      <c r="X76" s="2">
        <f t="shared" si="3"/>
        <v>3.9085446578513941E-2</v>
      </c>
      <c r="Y76" s="2">
        <f>SUMIF(收盤價!A:A,A76,收盤價!C:C)</f>
        <v>8.01</v>
      </c>
      <c r="Z76" s="2">
        <f t="shared" si="4"/>
        <v>1265579.426</v>
      </c>
      <c r="AA76" s="2">
        <f t="shared" si="5"/>
        <v>790124.022</v>
      </c>
    </row>
    <row r="77" spans="1:27" ht="14.5" customHeight="1">
      <c r="A77" s="19" t="s">
        <v>4742</v>
      </c>
      <c r="B77" s="3" t="s">
        <v>188</v>
      </c>
      <c r="C77" s="20">
        <v>1904529</v>
      </c>
      <c r="D77" s="20">
        <v>1947905</v>
      </c>
      <c r="E77" s="56">
        <v>-2.23</v>
      </c>
      <c r="F77" s="57">
        <v>28453</v>
      </c>
      <c r="G77" s="57">
        <v>1193</v>
      </c>
      <c r="H77" s="57">
        <v>10366</v>
      </c>
      <c r="I77" s="57">
        <v>12045</v>
      </c>
      <c r="J77" s="57">
        <v>34898</v>
      </c>
      <c r="K77" s="57">
        <v>20161</v>
      </c>
      <c r="L77" s="56">
        <v>73.099999999999994</v>
      </c>
      <c r="M77" s="20">
        <v>1343098</v>
      </c>
      <c r="N77" s="56">
        <v>0.28000000000000003</v>
      </c>
      <c r="O77" s="56">
        <v>0.15</v>
      </c>
      <c r="P77" s="58">
        <v>12.04</v>
      </c>
      <c r="Q77" s="59">
        <v>74.544822140884307</v>
      </c>
      <c r="R77" s="59">
        <v>2.5411028248587599</v>
      </c>
      <c r="S77" s="59">
        <v>0.79659661016949201</v>
      </c>
      <c r="X77" s="2">
        <f t="shared" si="3"/>
        <v>0.25455177859115691</v>
      </c>
      <c r="Y77" s="2">
        <f>SUMIF(收盤價!A:A,A77,收盤價!C:C)</f>
        <v>7.8</v>
      </c>
      <c r="Z77" s="2">
        <f t="shared" si="4"/>
        <v>1617089.9919999999</v>
      </c>
      <c r="AA77" s="2">
        <f t="shared" si="5"/>
        <v>1047616.4400000001</v>
      </c>
    </row>
    <row r="78" spans="1:27" ht="14.5" customHeight="1">
      <c r="A78" s="19" t="s">
        <v>4743</v>
      </c>
      <c r="B78" s="3" t="s">
        <v>190</v>
      </c>
      <c r="C78" s="20">
        <v>11841377</v>
      </c>
      <c r="D78" s="20">
        <v>15832053</v>
      </c>
      <c r="E78" s="56">
        <v>-25.21</v>
      </c>
      <c r="F78" s="57">
        <v>-441126</v>
      </c>
      <c r="G78" s="57">
        <v>-26040</v>
      </c>
      <c r="H78" s="57">
        <v>109375</v>
      </c>
      <c r="I78" s="57">
        <v>134256</v>
      </c>
      <c r="J78" s="57">
        <v>-302638</v>
      </c>
      <c r="K78" s="57">
        <v>89979</v>
      </c>
      <c r="L78" s="56"/>
      <c r="M78" s="20">
        <v>6117634</v>
      </c>
      <c r="N78" s="56">
        <v>-0.49</v>
      </c>
      <c r="O78" s="56">
        <v>0.15</v>
      </c>
      <c r="P78" s="58">
        <v>11.77</v>
      </c>
      <c r="Q78" s="59">
        <v>74.851263400847898</v>
      </c>
      <c r="R78" s="59">
        <v>1.6744612243725101</v>
      </c>
      <c r="S78" s="59">
        <v>0.86511359933921395</v>
      </c>
      <c r="X78" s="2">
        <f t="shared" si="3"/>
        <v>0.25148736599152099</v>
      </c>
      <c r="Y78" s="2">
        <f>SUMIF(收盤價!A:A,A78,收盤價!C:C)</f>
        <v>8</v>
      </c>
      <c r="Z78" s="2">
        <f t="shared" si="4"/>
        <v>7200455.2179999994</v>
      </c>
      <c r="AA78" s="2">
        <f t="shared" si="5"/>
        <v>4894107.2</v>
      </c>
    </row>
    <row r="79" spans="1:27" ht="14.5" customHeight="1">
      <c r="A79" s="19" t="s">
        <v>4744</v>
      </c>
      <c r="B79" s="3" t="s">
        <v>192</v>
      </c>
      <c r="C79" s="20">
        <v>1067517</v>
      </c>
      <c r="D79" s="20">
        <v>474359</v>
      </c>
      <c r="E79" s="56">
        <v>125.04</v>
      </c>
      <c r="F79" s="57">
        <v>77511</v>
      </c>
      <c r="G79" s="57">
        <v>88384</v>
      </c>
      <c r="H79" s="57">
        <v>-51970</v>
      </c>
      <c r="I79" s="57">
        <v>-66687</v>
      </c>
      <c r="J79" s="57">
        <v>25663</v>
      </c>
      <c r="K79" s="57">
        <v>12352</v>
      </c>
      <c r="L79" s="56">
        <v>107.76</v>
      </c>
      <c r="M79" s="20">
        <v>937200</v>
      </c>
      <c r="N79" s="56">
        <v>0.27</v>
      </c>
      <c r="O79" s="56">
        <v>0.13</v>
      </c>
      <c r="P79" s="58">
        <v>13.01</v>
      </c>
      <c r="Q79" s="59">
        <v>23.865621578584602</v>
      </c>
      <c r="R79" s="59">
        <v>1.67902937186061</v>
      </c>
      <c r="S79" s="59">
        <v>0.15050214275284901</v>
      </c>
      <c r="X79" s="2">
        <f t="shared" si="3"/>
        <v>0.76134378421415394</v>
      </c>
      <c r="Y79" s="2">
        <f>SUMIF(收盤價!A:A,A79,收盤價!C:C)</f>
        <v>11.9</v>
      </c>
      <c r="Z79" s="2">
        <f t="shared" si="4"/>
        <v>1219297.2</v>
      </c>
      <c r="AA79" s="2">
        <f t="shared" si="5"/>
        <v>1115268</v>
      </c>
    </row>
    <row r="80" spans="1:27" ht="14.5" customHeight="1">
      <c r="A80" s="19" t="s">
        <v>4745</v>
      </c>
      <c r="B80" s="3" t="s">
        <v>194</v>
      </c>
      <c r="C80" s="20">
        <v>4071473</v>
      </c>
      <c r="D80" s="20">
        <v>4782854</v>
      </c>
      <c r="E80" s="56">
        <v>-14.87</v>
      </c>
      <c r="F80" s="57">
        <v>699972</v>
      </c>
      <c r="G80" s="57">
        <v>440358</v>
      </c>
      <c r="H80" s="57">
        <v>-49325</v>
      </c>
      <c r="I80" s="57">
        <v>323082</v>
      </c>
      <c r="J80" s="57">
        <v>230303</v>
      </c>
      <c r="K80" s="57">
        <v>495387</v>
      </c>
      <c r="L80" s="56">
        <v>-53.51</v>
      </c>
      <c r="M80" s="20">
        <v>3016476</v>
      </c>
      <c r="N80" s="56">
        <v>1.02</v>
      </c>
      <c r="O80" s="56">
        <v>2.13</v>
      </c>
      <c r="P80" s="58">
        <v>18.510000000000002</v>
      </c>
      <c r="Q80" s="59">
        <v>22.6897046653819</v>
      </c>
      <c r="R80" s="59">
        <v>1.0287034341036601</v>
      </c>
      <c r="S80" s="59">
        <v>0.34464298585987702</v>
      </c>
      <c r="X80" s="2">
        <f t="shared" si="3"/>
        <v>0.77310295334618107</v>
      </c>
      <c r="Y80" s="2">
        <f>SUMIF(收盤價!A:A,A80,收盤價!C:C)</f>
        <v>14.35</v>
      </c>
      <c r="Z80" s="2">
        <f t="shared" si="4"/>
        <v>5583497.0760000004</v>
      </c>
      <c r="AA80" s="2">
        <f t="shared" si="5"/>
        <v>4328643.0600000005</v>
      </c>
    </row>
    <row r="81" spans="1:27" ht="14.5" customHeight="1">
      <c r="A81" s="19" t="s">
        <v>4746</v>
      </c>
      <c r="B81" s="3" t="s">
        <v>196</v>
      </c>
      <c r="C81" s="20">
        <v>3122224</v>
      </c>
      <c r="D81" s="20">
        <v>3519248</v>
      </c>
      <c r="E81" s="56">
        <v>-11.28</v>
      </c>
      <c r="F81" s="57">
        <v>-198061</v>
      </c>
      <c r="G81" s="57">
        <v>-161117</v>
      </c>
      <c r="H81" s="57">
        <v>110266</v>
      </c>
      <c r="I81" s="57">
        <v>-208698</v>
      </c>
      <c r="J81" s="57">
        <v>-85010</v>
      </c>
      <c r="K81" s="57">
        <v>-374560</v>
      </c>
      <c r="L81" s="56"/>
      <c r="M81" s="20">
        <v>3586289</v>
      </c>
      <c r="N81" s="56">
        <v>-0.27</v>
      </c>
      <c r="O81" s="56">
        <v>-1.18</v>
      </c>
      <c r="P81" s="58">
        <v>9.1999999999999993</v>
      </c>
      <c r="Q81" s="59">
        <v>47.954300073406202</v>
      </c>
      <c r="R81" s="59">
        <v>1.3982475357200499</v>
      </c>
      <c r="S81" s="59">
        <v>1.1353104523462001</v>
      </c>
      <c r="X81" s="2">
        <f t="shared" si="3"/>
        <v>0.52045699926593803</v>
      </c>
      <c r="Y81" s="2">
        <f>SUMIF(收盤價!A:A,A81,收盤價!C:C)</f>
        <v>7.53</v>
      </c>
      <c r="Z81" s="2">
        <f t="shared" si="4"/>
        <v>3299385.88</v>
      </c>
      <c r="AA81" s="2">
        <f t="shared" si="5"/>
        <v>2700475.6170000001</v>
      </c>
    </row>
    <row r="82" spans="1:27" ht="14.5" customHeight="1">
      <c r="A82" s="19" t="s">
        <v>4747</v>
      </c>
      <c r="B82" s="3" t="s">
        <v>198</v>
      </c>
      <c r="C82" s="20">
        <v>8863627</v>
      </c>
      <c r="D82" s="20">
        <v>9405379</v>
      </c>
      <c r="E82" s="56">
        <v>-5.76</v>
      </c>
      <c r="F82" s="57">
        <v>-41640</v>
      </c>
      <c r="G82" s="57">
        <v>237577</v>
      </c>
      <c r="H82" s="57">
        <v>-110163</v>
      </c>
      <c r="I82" s="57">
        <v>38862</v>
      </c>
      <c r="J82" s="57">
        <v>-271959</v>
      </c>
      <c r="K82" s="57">
        <v>157365</v>
      </c>
      <c r="L82" s="56"/>
      <c r="M82" s="20">
        <v>5098341</v>
      </c>
      <c r="N82" s="56">
        <v>-0.56000000000000005</v>
      </c>
      <c r="O82" s="56">
        <v>0.33</v>
      </c>
      <c r="P82" s="58">
        <v>10.01</v>
      </c>
      <c r="Q82" s="59">
        <v>35.810467372529402</v>
      </c>
      <c r="R82" s="59">
        <v>1.14355581820174</v>
      </c>
      <c r="S82" s="59">
        <v>0.24481424468366</v>
      </c>
      <c r="X82" s="2">
        <f t="shared" si="3"/>
        <v>0.64189532627470602</v>
      </c>
      <c r="Y82" s="2">
        <f>SUMIF(收盤價!A:A,A82,收盤價!C:C)</f>
        <v>9.14</v>
      </c>
      <c r="Z82" s="2">
        <f t="shared" si="4"/>
        <v>5103439.341</v>
      </c>
      <c r="AA82" s="2">
        <f t="shared" si="5"/>
        <v>4659883.6740000006</v>
      </c>
    </row>
    <row r="83" spans="1:27" ht="14.5" customHeight="1">
      <c r="A83" s="19" t="s">
        <v>4748</v>
      </c>
      <c r="B83" s="3" t="s">
        <v>200</v>
      </c>
      <c r="C83" s="20">
        <v>553776</v>
      </c>
      <c r="D83" s="20">
        <v>972877</v>
      </c>
      <c r="E83" s="56">
        <v>-43.08</v>
      </c>
      <c r="F83" s="57">
        <v>13773</v>
      </c>
      <c r="G83" s="57">
        <v>229009</v>
      </c>
      <c r="H83" s="57">
        <v>122093</v>
      </c>
      <c r="I83" s="57">
        <v>99596</v>
      </c>
      <c r="J83" s="57">
        <v>114625</v>
      </c>
      <c r="K83" s="57">
        <v>265943</v>
      </c>
      <c r="L83" s="56">
        <v>-56.9</v>
      </c>
      <c r="M83" s="20">
        <v>1732684</v>
      </c>
      <c r="N83" s="56">
        <v>0.7</v>
      </c>
      <c r="O83" s="56">
        <v>1.62</v>
      </c>
      <c r="P83" s="58">
        <v>13.43</v>
      </c>
      <c r="Q83" s="59">
        <v>86.224985511864702</v>
      </c>
      <c r="R83" s="59">
        <v>9.9943397764063509</v>
      </c>
      <c r="S83" s="59">
        <v>8.4351111670877295</v>
      </c>
      <c r="X83" s="2">
        <f t="shared" si="3"/>
        <v>0.13775014488135298</v>
      </c>
      <c r="Y83" s="2">
        <f>SUMIF(收盤價!A:A,A83,收盤價!C:C)</f>
        <v>13</v>
      </c>
      <c r="Z83" s="2">
        <f t="shared" si="4"/>
        <v>2326994.6120000002</v>
      </c>
      <c r="AA83" s="2">
        <f t="shared" si="5"/>
        <v>2252489.2000000002</v>
      </c>
    </row>
    <row r="84" spans="1:27" ht="14.5" customHeight="1">
      <c r="A84" s="19" t="s">
        <v>4749</v>
      </c>
      <c r="B84" s="3" t="s">
        <v>202</v>
      </c>
      <c r="C84" s="20">
        <v>10919724</v>
      </c>
      <c r="D84" s="20">
        <v>9132401</v>
      </c>
      <c r="E84" s="56">
        <v>19.57</v>
      </c>
      <c r="F84" s="57">
        <v>801761</v>
      </c>
      <c r="G84" s="57">
        <v>310099</v>
      </c>
      <c r="H84" s="57">
        <v>-134874</v>
      </c>
      <c r="I84" s="57">
        <v>7156</v>
      </c>
      <c r="J84" s="57">
        <v>558021</v>
      </c>
      <c r="K84" s="57">
        <v>202152</v>
      </c>
      <c r="L84" s="56">
        <v>176.04</v>
      </c>
      <c r="M84" s="20">
        <v>3845657</v>
      </c>
      <c r="N84" s="56">
        <v>1.61</v>
      </c>
      <c r="O84" s="56">
        <v>0.61</v>
      </c>
      <c r="P84" s="58">
        <v>14.28</v>
      </c>
      <c r="Q84" s="59">
        <v>29.137652068437401</v>
      </c>
      <c r="R84" s="59">
        <v>1.20116237654407</v>
      </c>
      <c r="S84" s="59">
        <v>0.44822261394066298</v>
      </c>
      <c r="X84" s="2">
        <f t="shared" si="3"/>
        <v>0.70862347931562597</v>
      </c>
      <c r="Y84" s="2">
        <f>SUMIF(收盤價!A:A,A84,收盤價!C:C)</f>
        <v>26.05</v>
      </c>
      <c r="Z84" s="2">
        <f t="shared" si="4"/>
        <v>5491598.1960000005</v>
      </c>
      <c r="AA84" s="2">
        <f t="shared" si="5"/>
        <v>10017936.485000001</v>
      </c>
    </row>
    <row r="85" spans="1:27" ht="14.5" customHeight="1">
      <c r="A85" s="19" t="s">
        <v>4750</v>
      </c>
      <c r="B85" s="3" t="s">
        <v>204</v>
      </c>
      <c r="C85" s="20">
        <v>709203</v>
      </c>
      <c r="D85" s="20">
        <v>697152</v>
      </c>
      <c r="E85" s="56">
        <v>1.73</v>
      </c>
      <c r="F85" s="57">
        <v>-170038</v>
      </c>
      <c r="G85" s="57">
        <v>2378</v>
      </c>
      <c r="H85" s="57">
        <v>17902</v>
      </c>
      <c r="I85" s="57">
        <v>26022</v>
      </c>
      <c r="J85" s="57">
        <v>331277</v>
      </c>
      <c r="K85" s="57">
        <v>-12853</v>
      </c>
      <c r="L85" s="56"/>
      <c r="M85" s="20">
        <v>1036073</v>
      </c>
      <c r="N85" s="56">
        <v>3.2</v>
      </c>
      <c r="O85" s="56">
        <v>-0.12</v>
      </c>
      <c r="P85" s="58">
        <v>18.440000000000001</v>
      </c>
      <c r="Q85" s="59">
        <v>83.381617089089502</v>
      </c>
      <c r="R85" s="59">
        <v>8.9146887905468493</v>
      </c>
      <c r="S85" s="59">
        <v>4.8970334167906202</v>
      </c>
      <c r="X85" s="2">
        <f t="shared" si="3"/>
        <v>0.16618382910910498</v>
      </c>
      <c r="Y85" s="2">
        <f>SUMIF(收盤價!A:A,A85,收盤價!C:C)</f>
        <v>15.25</v>
      </c>
      <c r="Z85" s="2">
        <f t="shared" si="4"/>
        <v>1910518.6120000002</v>
      </c>
      <c r="AA85" s="2">
        <f t="shared" si="5"/>
        <v>1580011.325</v>
      </c>
    </row>
    <row r="86" spans="1:27" ht="14.5" customHeight="1">
      <c r="A86" s="19" t="s">
        <v>4751</v>
      </c>
      <c r="B86" s="3" t="s">
        <v>206</v>
      </c>
      <c r="C86" s="20">
        <v>3293851</v>
      </c>
      <c r="D86" s="20">
        <v>4106559</v>
      </c>
      <c r="E86" s="56">
        <v>-19.79</v>
      </c>
      <c r="F86" s="57">
        <v>-5771</v>
      </c>
      <c r="G86" s="57">
        <v>-100055</v>
      </c>
      <c r="H86" s="57">
        <v>-108584</v>
      </c>
      <c r="I86" s="57">
        <v>-13513</v>
      </c>
      <c r="J86" s="57">
        <v>-99040</v>
      </c>
      <c r="K86" s="57">
        <v>-104434</v>
      </c>
      <c r="L86" s="56"/>
      <c r="M86" s="20">
        <v>1111573</v>
      </c>
      <c r="N86" s="56">
        <v>-0.89</v>
      </c>
      <c r="O86" s="56">
        <v>-0.94</v>
      </c>
      <c r="P86" s="58">
        <v>13.87</v>
      </c>
      <c r="Q86" s="59">
        <v>45.331053241400703</v>
      </c>
      <c r="R86" s="59">
        <v>2.0726547001744402</v>
      </c>
      <c r="S86" s="59">
        <v>0.94756605856779097</v>
      </c>
      <c r="X86" s="2">
        <f t="shared" si="3"/>
        <v>0.54668946758599302</v>
      </c>
      <c r="Y86" s="2">
        <f>SUMIF(收盤價!A:A,A86,收盤價!C:C)</f>
        <v>7.56</v>
      </c>
      <c r="Z86" s="2">
        <f t="shared" si="4"/>
        <v>1541751.7509999999</v>
      </c>
      <c r="AA86" s="2">
        <f t="shared" si="5"/>
        <v>840349.18799999985</v>
      </c>
    </row>
    <row r="87" spans="1:27" ht="14.5" customHeight="1">
      <c r="A87" s="19" t="s">
        <v>4752</v>
      </c>
      <c r="B87" s="3" t="s">
        <v>208</v>
      </c>
      <c r="C87" s="20">
        <v>6949284</v>
      </c>
      <c r="D87" s="20">
        <v>7417890</v>
      </c>
      <c r="E87" s="56">
        <v>-6.32</v>
      </c>
      <c r="F87" s="57">
        <v>-60858</v>
      </c>
      <c r="G87" s="57">
        <v>-63188</v>
      </c>
      <c r="H87" s="57">
        <v>21632</v>
      </c>
      <c r="I87" s="57">
        <v>113582</v>
      </c>
      <c r="J87" s="57">
        <v>-171877</v>
      </c>
      <c r="K87" s="57">
        <v>-60527</v>
      </c>
      <c r="L87" s="56"/>
      <c r="M87" s="20">
        <v>2336247</v>
      </c>
      <c r="N87" s="56">
        <v>-0.74</v>
      </c>
      <c r="O87" s="56">
        <v>-0.28999999999999998</v>
      </c>
      <c r="P87" s="58">
        <v>10.47</v>
      </c>
      <c r="Q87" s="59">
        <v>35.010484431260203</v>
      </c>
      <c r="R87" s="59">
        <v>1.38155290057949</v>
      </c>
      <c r="S87" s="59">
        <v>0.74176826394372897</v>
      </c>
      <c r="X87" s="2">
        <f t="shared" si="3"/>
        <v>0.64989515568739786</v>
      </c>
      <c r="Y87" s="2">
        <f>SUMIF(收盤價!A:A,A87,收盤價!C:C)</f>
        <v>8.56</v>
      </c>
      <c r="Z87" s="2">
        <f t="shared" si="4"/>
        <v>2446050.6090000002</v>
      </c>
      <c r="AA87" s="2">
        <f t="shared" si="5"/>
        <v>1999827.432</v>
      </c>
    </row>
    <row r="88" spans="1:27" ht="14.5" customHeight="1">
      <c r="A88" s="19" t="s">
        <v>4753</v>
      </c>
      <c r="B88" s="3" t="s">
        <v>210</v>
      </c>
      <c r="C88" s="20">
        <v>1009744</v>
      </c>
      <c r="D88" s="20">
        <v>921039</v>
      </c>
      <c r="E88" s="56">
        <v>9.6300000000000008</v>
      </c>
      <c r="F88" s="57">
        <v>-53165</v>
      </c>
      <c r="G88" s="57">
        <v>-26090</v>
      </c>
      <c r="H88" s="57">
        <v>105159</v>
      </c>
      <c r="I88" s="57">
        <v>66793</v>
      </c>
      <c r="J88" s="57">
        <v>50186</v>
      </c>
      <c r="K88" s="57">
        <v>38703</v>
      </c>
      <c r="L88" s="56">
        <v>29.67</v>
      </c>
      <c r="M88" s="20">
        <v>1604053</v>
      </c>
      <c r="N88" s="56">
        <v>0.31</v>
      </c>
      <c r="O88" s="56">
        <v>0.24</v>
      </c>
      <c r="P88" s="58">
        <v>7.24</v>
      </c>
      <c r="Q88" s="59">
        <v>44.899972885672298</v>
      </c>
      <c r="R88" s="59">
        <v>1.88659194546029</v>
      </c>
      <c r="S88" s="59">
        <v>0.73816537992685904</v>
      </c>
      <c r="X88" s="2">
        <f t="shared" si="3"/>
        <v>0.55100027114327699</v>
      </c>
      <c r="Y88" s="2">
        <f>SUMIF(收盤價!A:A,A88,收盤價!C:C)</f>
        <v>10.050000000000001</v>
      </c>
      <c r="Z88" s="2">
        <f t="shared" si="4"/>
        <v>1161334.372</v>
      </c>
      <c r="AA88" s="2">
        <f t="shared" si="5"/>
        <v>1612073.2650000001</v>
      </c>
    </row>
    <row r="89" spans="1:27" ht="14.5" customHeight="1">
      <c r="A89" s="19" t="s">
        <v>4754</v>
      </c>
      <c r="B89" s="3" t="s">
        <v>212</v>
      </c>
      <c r="C89" s="20">
        <v>818166</v>
      </c>
      <c r="D89" s="20">
        <v>754462</v>
      </c>
      <c r="E89" s="56">
        <v>8.44</v>
      </c>
      <c r="F89" s="57">
        <v>86190</v>
      </c>
      <c r="G89" s="57">
        <v>53389</v>
      </c>
      <c r="H89" s="57">
        <v>7504</v>
      </c>
      <c r="I89" s="57">
        <v>7853</v>
      </c>
      <c r="J89" s="57">
        <v>75861</v>
      </c>
      <c r="K89" s="57">
        <v>48867</v>
      </c>
      <c r="L89" s="56">
        <v>55.24</v>
      </c>
      <c r="M89" s="20">
        <v>857670</v>
      </c>
      <c r="N89" s="56">
        <v>0.88</v>
      </c>
      <c r="O89" s="56">
        <v>0.56999999999999995</v>
      </c>
      <c r="P89" s="58">
        <v>11.51</v>
      </c>
      <c r="Q89" s="59">
        <v>83.650851214544005</v>
      </c>
      <c r="R89" s="59">
        <v>3.99663867386377</v>
      </c>
      <c r="S89" s="59">
        <v>1.52972091139019</v>
      </c>
      <c r="X89" s="2">
        <f t="shared" si="3"/>
        <v>0.16349148785455994</v>
      </c>
      <c r="Y89" s="2">
        <f>SUMIF(收盤價!A:A,A89,收盤價!C:C)</f>
        <v>20.8</v>
      </c>
      <c r="Z89" s="2">
        <f t="shared" si="4"/>
        <v>987178.16999999993</v>
      </c>
      <c r="AA89" s="2">
        <f t="shared" si="5"/>
        <v>1783953.6</v>
      </c>
    </row>
    <row r="90" spans="1:27" ht="14.5" customHeight="1">
      <c r="A90" s="19" t="s">
        <v>4755</v>
      </c>
      <c r="B90" s="3" t="s">
        <v>216</v>
      </c>
      <c r="C90" s="20">
        <v>452953</v>
      </c>
      <c r="D90" s="20">
        <v>599246</v>
      </c>
      <c r="E90" s="56">
        <v>-24.41</v>
      </c>
      <c r="F90" s="57">
        <v>77189</v>
      </c>
      <c r="G90" s="57">
        <v>-68531</v>
      </c>
      <c r="H90" s="57">
        <v>-3803</v>
      </c>
      <c r="I90" s="57">
        <v>-1718</v>
      </c>
      <c r="J90" s="57">
        <v>55457</v>
      </c>
      <c r="K90" s="57">
        <v>-67956</v>
      </c>
      <c r="L90" s="56"/>
      <c r="M90" s="20">
        <v>460528</v>
      </c>
      <c r="N90" s="56">
        <v>1.23</v>
      </c>
      <c r="O90" s="56">
        <v>-1.59</v>
      </c>
      <c r="P90" s="58">
        <v>10.24</v>
      </c>
      <c r="Q90" s="59">
        <v>31.638957865490799</v>
      </c>
      <c r="R90" s="59">
        <v>1.2311697412046501</v>
      </c>
      <c r="S90" s="59">
        <v>0.43579942534594801</v>
      </c>
      <c r="X90" s="2">
        <f t="shared" si="3"/>
        <v>0.68361042134509209</v>
      </c>
      <c r="Y90" s="2">
        <f>SUMIF(收盤價!A:A,A90,收盤價!C:C)</f>
        <v>27.3</v>
      </c>
      <c r="Z90" s="2">
        <f t="shared" si="4"/>
        <v>471580.67199999996</v>
      </c>
      <c r="AA90" s="2">
        <f t="shared" si="5"/>
        <v>1257241.44</v>
      </c>
    </row>
    <row r="91" spans="1:27" ht="14.5" customHeight="1">
      <c r="A91" s="19" t="s">
        <v>4756</v>
      </c>
      <c r="B91" s="3" t="s">
        <v>218</v>
      </c>
      <c r="C91" s="20">
        <v>7660848</v>
      </c>
      <c r="D91" s="20">
        <v>8326359</v>
      </c>
      <c r="E91" s="56">
        <v>-7.99</v>
      </c>
      <c r="F91" s="57">
        <v>74490</v>
      </c>
      <c r="G91" s="57">
        <v>5293</v>
      </c>
      <c r="H91" s="57">
        <v>-7916</v>
      </c>
      <c r="I91" s="57">
        <v>104796</v>
      </c>
      <c r="J91" s="57">
        <v>80481</v>
      </c>
      <c r="K91" s="57">
        <v>79545</v>
      </c>
      <c r="L91" s="56">
        <v>1.18</v>
      </c>
      <c r="M91" s="20">
        <v>1471535</v>
      </c>
      <c r="N91" s="56">
        <v>0.55000000000000004</v>
      </c>
      <c r="O91" s="56">
        <v>0.54</v>
      </c>
      <c r="P91" s="58">
        <v>26.14</v>
      </c>
      <c r="Q91" s="59">
        <v>65.515328837697496</v>
      </c>
      <c r="R91" s="59">
        <v>1.75135363761787</v>
      </c>
      <c r="S91" s="59">
        <v>1.0077939762986099</v>
      </c>
      <c r="X91" s="2">
        <f t="shared" si="3"/>
        <v>0.34484671162302505</v>
      </c>
      <c r="Y91" s="2">
        <f>SUMIF(收盤價!A:A,A91,收盤價!C:C)</f>
        <v>24.65</v>
      </c>
      <c r="Z91" s="2">
        <f t="shared" si="4"/>
        <v>3846592.4899999998</v>
      </c>
      <c r="AA91" s="2">
        <f t="shared" si="5"/>
        <v>3627333.7749999999</v>
      </c>
    </row>
    <row r="92" spans="1:27" ht="14.5" customHeight="1">
      <c r="A92" s="19" t="s">
        <v>4757</v>
      </c>
      <c r="B92" s="3" t="s">
        <v>220</v>
      </c>
      <c r="C92" s="20">
        <v>3452413</v>
      </c>
      <c r="D92" s="20">
        <v>3617559</v>
      </c>
      <c r="E92" s="56">
        <v>-4.57</v>
      </c>
      <c r="F92" s="57">
        <v>1724</v>
      </c>
      <c r="G92" s="57">
        <v>94691</v>
      </c>
      <c r="H92" s="57">
        <v>64519</v>
      </c>
      <c r="I92" s="57">
        <v>50112</v>
      </c>
      <c r="J92" s="57">
        <v>51970</v>
      </c>
      <c r="K92" s="57">
        <v>112796</v>
      </c>
      <c r="L92" s="56">
        <v>-53.93</v>
      </c>
      <c r="M92" s="20">
        <v>1298970</v>
      </c>
      <c r="N92" s="56">
        <v>0.4</v>
      </c>
      <c r="O92" s="56">
        <v>0.87</v>
      </c>
      <c r="P92" s="58">
        <v>14.45</v>
      </c>
      <c r="Q92" s="59">
        <v>51.8339735282973</v>
      </c>
      <c r="R92" s="59">
        <v>1.5788641125722001</v>
      </c>
      <c r="S92" s="59">
        <v>0.92264810221119697</v>
      </c>
      <c r="X92" s="2">
        <f t="shared" si="3"/>
        <v>0.481660264717027</v>
      </c>
      <c r="Y92" s="2">
        <f>SUMIF(收盤價!A:A,A92,收盤價!C:C)</f>
        <v>9.69</v>
      </c>
      <c r="Z92" s="2">
        <f t="shared" si="4"/>
        <v>1877011.65</v>
      </c>
      <c r="AA92" s="2">
        <f t="shared" si="5"/>
        <v>1258701.93</v>
      </c>
    </row>
    <row r="93" spans="1:27" ht="14.5" customHeight="1">
      <c r="A93" s="19" t="s">
        <v>5627</v>
      </c>
      <c r="B93" s="3" t="s">
        <v>222</v>
      </c>
      <c r="C93" s="20">
        <v>56533</v>
      </c>
      <c r="D93" s="20">
        <v>53347</v>
      </c>
      <c r="E93" s="56">
        <v>5.97</v>
      </c>
      <c r="F93" s="57">
        <v>-25520</v>
      </c>
      <c r="G93" s="57">
        <v>-73257</v>
      </c>
      <c r="H93" s="57">
        <v>41763</v>
      </c>
      <c r="I93" s="57">
        <v>22381</v>
      </c>
      <c r="J93" s="57">
        <v>-20513</v>
      </c>
      <c r="K93" s="57">
        <v>-64358</v>
      </c>
      <c r="L93" s="56"/>
      <c r="M93" s="20">
        <v>160168</v>
      </c>
      <c r="N93" s="56">
        <v>-1.28</v>
      </c>
      <c r="O93" s="56">
        <v>-4.0199999999999996</v>
      </c>
      <c r="P93" s="58">
        <v>1.27</v>
      </c>
      <c r="Q93" s="59">
        <v>32.484738070124997</v>
      </c>
      <c r="R93" s="59">
        <v>1.0707715891670899</v>
      </c>
      <c r="S93" s="59">
        <v>0.46440981093510503</v>
      </c>
      <c r="X93" s="2">
        <f t="shared" si="3"/>
        <v>0.67515261929875015</v>
      </c>
      <c r="Y93" s="2">
        <f>SUMIF(收盤價!A:A,A93,收盤價!C:C)</f>
        <v>4.18</v>
      </c>
      <c r="Z93" s="2">
        <f t="shared" si="4"/>
        <v>20341.336000000003</v>
      </c>
      <c r="AA93" s="2">
        <f t="shared" si="5"/>
        <v>66950.224000000002</v>
      </c>
    </row>
    <row r="94" spans="1:27" ht="14.5" customHeight="1">
      <c r="A94" s="19" t="s">
        <v>4758</v>
      </c>
      <c r="B94" s="3" t="s">
        <v>224</v>
      </c>
      <c r="C94" s="20">
        <v>28125136</v>
      </c>
      <c r="D94" s="20">
        <v>27578209</v>
      </c>
      <c r="E94" s="56">
        <v>1.98</v>
      </c>
      <c r="F94" s="57">
        <v>5470784</v>
      </c>
      <c r="G94" s="57">
        <v>5305282</v>
      </c>
      <c r="H94" s="57">
        <v>-48784</v>
      </c>
      <c r="I94" s="57">
        <v>167867</v>
      </c>
      <c r="J94" s="57">
        <v>4299249</v>
      </c>
      <c r="K94" s="57">
        <v>4379754</v>
      </c>
      <c r="L94" s="56">
        <v>-1.84</v>
      </c>
      <c r="M94" s="20">
        <v>2743671</v>
      </c>
      <c r="N94" s="56">
        <v>15.67</v>
      </c>
      <c r="O94" s="56">
        <v>15.96</v>
      </c>
      <c r="P94" s="58">
        <v>66.06</v>
      </c>
      <c r="Q94" s="59">
        <v>77.719565924023797</v>
      </c>
      <c r="R94" s="59">
        <v>2.3788691841077001</v>
      </c>
      <c r="S94" s="59">
        <v>1.47774273100356</v>
      </c>
      <c r="X94" s="2">
        <f t="shared" si="3"/>
        <v>0.22280434075976202</v>
      </c>
      <c r="Y94" s="2">
        <f>SUMIF(收盤價!A:A,A94,收盤價!C:C)</f>
        <v>403</v>
      </c>
      <c r="Z94" s="2">
        <f t="shared" si="4"/>
        <v>18124690.626000002</v>
      </c>
      <c r="AA94" s="2">
        <f t="shared" si="5"/>
        <v>110569941.3</v>
      </c>
    </row>
    <row r="95" spans="1:27" ht="14.5" customHeight="1">
      <c r="A95" s="19" t="s">
        <v>4759</v>
      </c>
      <c r="B95" s="3" t="s">
        <v>226</v>
      </c>
      <c r="C95" s="20">
        <v>27047502</v>
      </c>
      <c r="D95" s="20">
        <v>23929638</v>
      </c>
      <c r="E95" s="56">
        <v>13.03</v>
      </c>
      <c r="F95" s="57">
        <v>2489769</v>
      </c>
      <c r="G95" s="57">
        <v>1977188</v>
      </c>
      <c r="H95" s="57">
        <v>-39846</v>
      </c>
      <c r="I95" s="57">
        <v>-24461</v>
      </c>
      <c r="J95" s="57">
        <v>1904540</v>
      </c>
      <c r="K95" s="57">
        <v>1507009</v>
      </c>
      <c r="L95" s="56">
        <v>26.38</v>
      </c>
      <c r="M95" s="20">
        <v>2198566</v>
      </c>
      <c r="N95" s="56">
        <v>8.66</v>
      </c>
      <c r="O95" s="56">
        <v>6.85</v>
      </c>
      <c r="P95" s="58">
        <v>41.37</v>
      </c>
      <c r="Q95" s="59">
        <v>61.6497756350252</v>
      </c>
      <c r="R95" s="59">
        <v>1.7730569984381399</v>
      </c>
      <c r="S95" s="59">
        <v>0.48598639709228197</v>
      </c>
      <c r="X95" s="2">
        <f t="shared" si="3"/>
        <v>0.383502243649748</v>
      </c>
      <c r="Y95" s="2">
        <f>SUMIF(收盤價!A:A,A95,收盤價!C:C)</f>
        <v>157.5</v>
      </c>
      <c r="Z95" s="2">
        <f t="shared" si="4"/>
        <v>9095467.5419999994</v>
      </c>
      <c r="AA95" s="2">
        <f t="shared" si="5"/>
        <v>34627414.5</v>
      </c>
    </row>
    <row r="96" spans="1:27" ht="14.5" customHeight="1">
      <c r="A96" s="19" t="s">
        <v>4761</v>
      </c>
      <c r="B96" s="3" t="s">
        <v>1323</v>
      </c>
      <c r="C96" s="20">
        <v>2300674</v>
      </c>
      <c r="D96" s="20">
        <v>2046729</v>
      </c>
      <c r="E96" s="56">
        <v>12.41</v>
      </c>
      <c r="F96" s="57">
        <v>497472</v>
      </c>
      <c r="G96" s="57">
        <v>355136</v>
      </c>
      <c r="H96" s="57">
        <v>-34990</v>
      </c>
      <c r="I96" s="57">
        <v>24484</v>
      </c>
      <c r="J96" s="57">
        <v>364046</v>
      </c>
      <c r="K96" s="57">
        <v>308181</v>
      </c>
      <c r="L96" s="56">
        <v>18.13</v>
      </c>
      <c r="M96" s="20">
        <v>1610796</v>
      </c>
      <c r="N96" s="56">
        <v>2.2599999999999998</v>
      </c>
      <c r="O96" s="56">
        <v>1.91</v>
      </c>
      <c r="P96" s="58">
        <v>20.64</v>
      </c>
      <c r="Q96" s="59">
        <v>66.263933945669393</v>
      </c>
      <c r="R96" s="59">
        <v>2.9266408895229601</v>
      </c>
      <c r="S96" s="59">
        <v>2.3602852533844501</v>
      </c>
      <c r="X96" s="2">
        <f t="shared" si="3"/>
        <v>0.33736066054330605</v>
      </c>
      <c r="Y96" s="2">
        <f>SUMIF(收盤價!A:A,A96,收盤價!C:C)</f>
        <v>48.1</v>
      </c>
      <c r="Z96" s="2">
        <f t="shared" si="4"/>
        <v>3324682.9440000001</v>
      </c>
      <c r="AA96" s="2">
        <f t="shared" si="5"/>
        <v>7747928.7600000007</v>
      </c>
    </row>
    <row r="97" spans="1:27" ht="14.5" customHeight="1">
      <c r="A97" s="19" t="s">
        <v>4762</v>
      </c>
      <c r="B97" s="3" t="s">
        <v>1325</v>
      </c>
      <c r="C97" s="20">
        <v>16259317</v>
      </c>
      <c r="D97" s="20">
        <v>13280440</v>
      </c>
      <c r="E97" s="56">
        <v>22.43</v>
      </c>
      <c r="F97" s="57">
        <v>1382354</v>
      </c>
      <c r="G97" s="57">
        <v>1106144</v>
      </c>
      <c r="H97" s="57">
        <v>2937</v>
      </c>
      <c r="I97" s="57">
        <v>9572</v>
      </c>
      <c r="J97" s="57">
        <v>1006033</v>
      </c>
      <c r="K97" s="57">
        <v>768584</v>
      </c>
      <c r="L97" s="56">
        <v>30.89</v>
      </c>
      <c r="M97" s="20">
        <v>1033753</v>
      </c>
      <c r="N97" s="56">
        <v>9.73</v>
      </c>
      <c r="O97" s="56">
        <v>7.43</v>
      </c>
      <c r="P97" s="58">
        <v>67.27</v>
      </c>
      <c r="Q97" s="59">
        <v>59.668098209777497</v>
      </c>
      <c r="R97" s="59">
        <v>3.9060178636781799</v>
      </c>
      <c r="S97" s="59">
        <v>1.65059199398609</v>
      </c>
      <c r="X97" s="2">
        <f t="shared" si="3"/>
        <v>0.40331901790222502</v>
      </c>
      <c r="Y97" s="2">
        <f>SUMIF(收盤價!A:A,A97,收盤價!C:C)</f>
        <v>152</v>
      </c>
      <c r="Z97" s="2">
        <f t="shared" si="4"/>
        <v>6954056.4309999999</v>
      </c>
      <c r="AA97" s="2">
        <f t="shared" si="5"/>
        <v>15713045.6</v>
      </c>
    </row>
    <row r="98" spans="1:27" ht="14.5" customHeight="1">
      <c r="A98" s="19" t="s">
        <v>4763</v>
      </c>
      <c r="B98" s="3" t="s">
        <v>1327</v>
      </c>
      <c r="C98" s="20">
        <v>7358438</v>
      </c>
      <c r="D98" s="20">
        <v>5769670</v>
      </c>
      <c r="E98" s="56">
        <v>27.54</v>
      </c>
      <c r="F98" s="57">
        <v>551958</v>
      </c>
      <c r="G98" s="57">
        <v>334936</v>
      </c>
      <c r="H98" s="57">
        <v>-31522</v>
      </c>
      <c r="I98" s="57">
        <v>9477</v>
      </c>
      <c r="J98" s="57">
        <v>388128</v>
      </c>
      <c r="K98" s="57">
        <v>263274</v>
      </c>
      <c r="L98" s="56">
        <v>47.42</v>
      </c>
      <c r="M98" s="20">
        <v>315000</v>
      </c>
      <c r="N98" s="56">
        <v>13.92</v>
      </c>
      <c r="O98" s="56">
        <v>11.45</v>
      </c>
      <c r="P98" s="58">
        <v>74.33</v>
      </c>
      <c r="Q98" s="59">
        <v>58.096042536909401</v>
      </c>
      <c r="R98" s="59">
        <v>1.9365936540456401</v>
      </c>
      <c r="S98" s="59">
        <v>1.34143126189242</v>
      </c>
      <c r="X98" s="2">
        <f t="shared" si="3"/>
        <v>0.41903957463090596</v>
      </c>
      <c r="Y98" s="2">
        <f>SUMIF(收盤價!A:A,A98,收盤價!C:C)</f>
        <v>183.5</v>
      </c>
      <c r="Z98" s="2">
        <f t="shared" si="4"/>
        <v>2341395</v>
      </c>
      <c r="AA98" s="2">
        <f t="shared" si="5"/>
        <v>5780250</v>
      </c>
    </row>
    <row r="99" spans="1:27" ht="14.5" customHeight="1">
      <c r="A99" s="19" t="s">
        <v>4764</v>
      </c>
      <c r="B99" s="3" t="s">
        <v>228</v>
      </c>
      <c r="C99" s="20">
        <v>26038773</v>
      </c>
      <c r="D99" s="20">
        <v>24983824</v>
      </c>
      <c r="E99" s="56">
        <v>4.22</v>
      </c>
      <c r="F99" s="57">
        <v>1862757</v>
      </c>
      <c r="G99" s="57">
        <v>1635944</v>
      </c>
      <c r="H99" s="57">
        <v>360076</v>
      </c>
      <c r="I99" s="57">
        <v>509418</v>
      </c>
      <c r="J99" s="57">
        <v>1673627</v>
      </c>
      <c r="K99" s="57">
        <v>1415140</v>
      </c>
      <c r="L99" s="56">
        <v>18.27</v>
      </c>
      <c r="M99" s="20">
        <v>5209722</v>
      </c>
      <c r="N99" s="56">
        <v>3.21</v>
      </c>
      <c r="O99" s="56">
        <v>2.72</v>
      </c>
      <c r="P99" s="58">
        <v>46.39</v>
      </c>
      <c r="Q99" s="59">
        <v>59.296455313197903</v>
      </c>
      <c r="R99" s="59">
        <v>1.3248212752061901</v>
      </c>
      <c r="S99" s="59">
        <v>0.89597083549588197</v>
      </c>
      <c r="X99" s="2">
        <f t="shared" si="3"/>
        <v>0.40703544686802096</v>
      </c>
      <c r="Y99" s="2">
        <f>SUMIF(收盤價!A:A,A99,收盤價!C:C)</f>
        <v>45.25</v>
      </c>
      <c r="Z99" s="2">
        <f t="shared" si="4"/>
        <v>24167900.358000003</v>
      </c>
      <c r="AA99" s="2">
        <f t="shared" si="5"/>
        <v>23573992.050000001</v>
      </c>
    </row>
    <row r="100" spans="1:27" ht="14.5" customHeight="1">
      <c r="A100" s="19" t="s">
        <v>4765</v>
      </c>
      <c r="B100" s="3" t="s">
        <v>230</v>
      </c>
      <c r="C100" s="20">
        <v>47909358</v>
      </c>
      <c r="D100" s="20">
        <v>50104927</v>
      </c>
      <c r="E100" s="56">
        <v>-4.38</v>
      </c>
      <c r="F100" s="57">
        <v>3536445</v>
      </c>
      <c r="G100" s="57">
        <v>3520486</v>
      </c>
      <c r="H100" s="57">
        <v>903009</v>
      </c>
      <c r="I100" s="57">
        <v>765802</v>
      </c>
      <c r="J100" s="57">
        <v>3221717</v>
      </c>
      <c r="K100" s="57">
        <v>3150089</v>
      </c>
      <c r="L100" s="56">
        <v>2.27</v>
      </c>
      <c r="M100" s="20">
        <v>19676929</v>
      </c>
      <c r="N100" s="56">
        <v>1.65</v>
      </c>
      <c r="O100" s="56">
        <v>1.59</v>
      </c>
      <c r="P100" s="58">
        <v>29.15</v>
      </c>
      <c r="Q100" s="59">
        <v>57.2247288555265</v>
      </c>
      <c r="R100" s="59">
        <v>2.1655145757138201</v>
      </c>
      <c r="S100" s="59">
        <v>1.5507755905663101</v>
      </c>
      <c r="X100" s="2">
        <f t="shared" si="3"/>
        <v>0.42775271144473498</v>
      </c>
      <c r="Y100" s="2">
        <f>SUMIF(收盤價!A:A,A100,收盤價!C:C)</f>
        <v>26.2</v>
      </c>
      <c r="Z100" s="2">
        <f t="shared" si="4"/>
        <v>57358248.035000004</v>
      </c>
      <c r="AA100" s="2">
        <f t="shared" si="5"/>
        <v>51553553.980000004</v>
      </c>
    </row>
    <row r="101" spans="1:27" ht="14.5" customHeight="1">
      <c r="A101" s="19" t="s">
        <v>4766</v>
      </c>
      <c r="B101" s="3" t="s">
        <v>232</v>
      </c>
      <c r="C101" s="20">
        <v>1176513</v>
      </c>
      <c r="D101" s="20">
        <v>1203123</v>
      </c>
      <c r="E101" s="56">
        <v>-2.21</v>
      </c>
      <c r="F101" s="57">
        <v>-275556</v>
      </c>
      <c r="G101" s="57">
        <v>-207337</v>
      </c>
      <c r="H101" s="57">
        <v>-92819</v>
      </c>
      <c r="I101" s="57">
        <v>54717</v>
      </c>
      <c r="J101" s="57">
        <v>-309482</v>
      </c>
      <c r="K101" s="57">
        <v>-116612</v>
      </c>
      <c r="L101" s="56"/>
      <c r="M101" s="20">
        <v>1231618</v>
      </c>
      <c r="N101" s="56">
        <v>-2.52</v>
      </c>
      <c r="O101" s="56">
        <v>-0.95</v>
      </c>
      <c r="P101" s="58">
        <v>6.46</v>
      </c>
      <c r="Q101" s="59">
        <v>29.136982823336101</v>
      </c>
      <c r="R101" s="59">
        <v>0.87750969030836401</v>
      </c>
      <c r="S101" s="59">
        <v>0.33243150412170003</v>
      </c>
      <c r="X101" s="2">
        <f t="shared" si="3"/>
        <v>0.70863017176663901</v>
      </c>
      <c r="Y101" s="2">
        <f>SUMIF(收盤價!A:A,A101,收盤價!C:C)</f>
        <v>15</v>
      </c>
      <c r="Z101" s="2">
        <f t="shared" si="4"/>
        <v>795625.228</v>
      </c>
      <c r="AA101" s="2">
        <f t="shared" si="5"/>
        <v>1847427</v>
      </c>
    </row>
    <row r="102" spans="1:27" ht="14.5" customHeight="1">
      <c r="A102" s="19" t="s">
        <v>4767</v>
      </c>
      <c r="B102" s="3" t="s">
        <v>234</v>
      </c>
      <c r="C102" s="20">
        <v>13718348</v>
      </c>
      <c r="D102" s="20">
        <v>14858628</v>
      </c>
      <c r="E102" s="56">
        <v>-7.67</v>
      </c>
      <c r="F102" s="57">
        <v>849757</v>
      </c>
      <c r="G102" s="57">
        <v>975634</v>
      </c>
      <c r="H102" s="57">
        <v>395400</v>
      </c>
      <c r="I102" s="57">
        <v>79035</v>
      </c>
      <c r="J102" s="57">
        <v>939668</v>
      </c>
      <c r="K102" s="57">
        <v>674747</v>
      </c>
      <c r="L102" s="56">
        <v>39.26</v>
      </c>
      <c r="M102" s="20">
        <v>4108200</v>
      </c>
      <c r="N102" s="56">
        <v>2.2999999999999998</v>
      </c>
      <c r="O102" s="56">
        <v>1.65</v>
      </c>
      <c r="P102" s="58">
        <v>27.49</v>
      </c>
      <c r="Q102" s="59">
        <v>51.852234902585998</v>
      </c>
      <c r="R102" s="59">
        <v>1.49706834659739</v>
      </c>
      <c r="S102" s="59">
        <v>0.87242833658136698</v>
      </c>
      <c r="X102" s="2">
        <f t="shared" si="3"/>
        <v>0.48147765097414003</v>
      </c>
      <c r="Y102" s="2">
        <f>SUMIF(收盤價!A:A,A102,收盤價!C:C)</f>
        <v>64.3</v>
      </c>
      <c r="Z102" s="2">
        <f t="shared" si="4"/>
        <v>11293441.800000001</v>
      </c>
      <c r="AA102" s="2">
        <f t="shared" si="5"/>
        <v>26415726</v>
      </c>
    </row>
    <row r="103" spans="1:27" ht="14.5" customHeight="1">
      <c r="A103" s="19" t="s">
        <v>4768</v>
      </c>
      <c r="B103" s="3" t="s">
        <v>238</v>
      </c>
      <c r="C103" s="20">
        <v>12377516</v>
      </c>
      <c r="D103" s="20">
        <v>12235997</v>
      </c>
      <c r="E103" s="56">
        <v>1.1599999999999999</v>
      </c>
      <c r="F103" s="57">
        <v>655278</v>
      </c>
      <c r="G103" s="57">
        <v>581076</v>
      </c>
      <c r="H103" s="57">
        <v>133751</v>
      </c>
      <c r="I103" s="57">
        <v>66487</v>
      </c>
      <c r="J103" s="57">
        <v>635299</v>
      </c>
      <c r="K103" s="57">
        <v>544837</v>
      </c>
      <c r="L103" s="56">
        <v>16.600000000000001</v>
      </c>
      <c r="M103" s="20">
        <v>4200000</v>
      </c>
      <c r="N103" s="56">
        <v>1.55</v>
      </c>
      <c r="O103" s="56">
        <v>1.33</v>
      </c>
      <c r="P103" s="58">
        <v>18.440000000000001</v>
      </c>
      <c r="Q103" s="59">
        <v>37.468370993735398</v>
      </c>
      <c r="R103" s="59">
        <v>1.45874162602983</v>
      </c>
      <c r="S103" s="59">
        <v>0.61976299004340896</v>
      </c>
      <c r="X103" s="2">
        <f t="shared" si="3"/>
        <v>0.625316290062646</v>
      </c>
      <c r="Y103" s="2">
        <f>SUMIF(收盤價!A:A,A103,收盤價!C:C)</f>
        <v>24.3</v>
      </c>
      <c r="Z103" s="2">
        <f t="shared" si="4"/>
        <v>7744800</v>
      </c>
      <c r="AA103" s="2">
        <f t="shared" si="5"/>
        <v>10206000</v>
      </c>
    </row>
    <row r="104" spans="1:27" ht="14.5" customHeight="1">
      <c r="A104" s="19" t="s">
        <v>4769</v>
      </c>
      <c r="B104" s="3" t="s">
        <v>240</v>
      </c>
      <c r="C104" s="20">
        <v>4819154</v>
      </c>
      <c r="D104" s="20">
        <v>4276436</v>
      </c>
      <c r="E104" s="56">
        <v>12.69</v>
      </c>
      <c r="F104" s="57">
        <v>277025</v>
      </c>
      <c r="G104" s="57">
        <v>169627</v>
      </c>
      <c r="H104" s="57">
        <v>50919</v>
      </c>
      <c r="I104" s="57">
        <v>74787</v>
      </c>
      <c r="J104" s="57">
        <v>295581</v>
      </c>
      <c r="K104" s="57">
        <v>215908</v>
      </c>
      <c r="L104" s="56">
        <v>36.9</v>
      </c>
      <c r="M104" s="20">
        <v>2070990</v>
      </c>
      <c r="N104" s="56">
        <v>1.44</v>
      </c>
      <c r="O104" s="56">
        <v>1.05</v>
      </c>
      <c r="P104" s="58">
        <v>14.82</v>
      </c>
      <c r="Q104" s="59">
        <v>52.3085481083356</v>
      </c>
      <c r="R104" s="59">
        <v>1.54557056808592</v>
      </c>
      <c r="S104" s="59">
        <v>1.01329243269183</v>
      </c>
      <c r="X104" s="2">
        <f t="shared" si="3"/>
        <v>0.47691451891664399</v>
      </c>
      <c r="Y104" s="2">
        <f>SUMIF(收盤價!A:A,A104,收盤價!C:C)</f>
        <v>17.899999999999999</v>
      </c>
      <c r="Z104" s="2">
        <f t="shared" si="4"/>
        <v>3069207.18</v>
      </c>
      <c r="AA104" s="2">
        <f t="shared" si="5"/>
        <v>3707072.1</v>
      </c>
    </row>
    <row r="105" spans="1:27" ht="14.5" customHeight="1">
      <c r="A105" s="19" t="s">
        <v>4770</v>
      </c>
      <c r="B105" s="3" t="s">
        <v>242</v>
      </c>
      <c r="C105" s="20">
        <v>7902085</v>
      </c>
      <c r="D105" s="20">
        <v>6185512</v>
      </c>
      <c r="E105" s="56">
        <v>27.75</v>
      </c>
      <c r="F105" s="57">
        <v>693724</v>
      </c>
      <c r="G105" s="57">
        <v>543584</v>
      </c>
      <c r="H105" s="57">
        <v>49249</v>
      </c>
      <c r="I105" s="57">
        <v>31547</v>
      </c>
      <c r="J105" s="57">
        <v>1272197</v>
      </c>
      <c r="K105" s="57">
        <v>398728</v>
      </c>
      <c r="L105" s="56">
        <v>219.06</v>
      </c>
      <c r="M105" s="20">
        <v>1814735</v>
      </c>
      <c r="N105" s="56">
        <v>7.01</v>
      </c>
      <c r="O105" s="56">
        <v>2.2000000000000002</v>
      </c>
      <c r="P105" s="58">
        <v>18.899999999999999</v>
      </c>
      <c r="Q105" s="59">
        <v>49.688779703013999</v>
      </c>
      <c r="R105" s="59">
        <v>1.22521655495365</v>
      </c>
      <c r="S105" s="59">
        <v>0.99200058967525195</v>
      </c>
      <c r="X105" s="2">
        <f t="shared" si="3"/>
        <v>0.50311220296986003</v>
      </c>
      <c r="Y105" s="2">
        <f>SUMIF(收盤價!A:A,A105,收盤價!C:C)</f>
        <v>71.400000000000006</v>
      </c>
      <c r="Z105" s="2">
        <f t="shared" si="4"/>
        <v>3429849.15</v>
      </c>
      <c r="AA105" s="2">
        <f t="shared" si="5"/>
        <v>12957207.900000002</v>
      </c>
    </row>
    <row r="106" spans="1:27" ht="14.5" customHeight="1">
      <c r="A106" s="19" t="s">
        <v>4771</v>
      </c>
      <c r="B106" s="3" t="s">
        <v>246</v>
      </c>
      <c r="C106" s="20">
        <v>2999007</v>
      </c>
      <c r="D106" s="20">
        <v>2995946</v>
      </c>
      <c r="E106" s="56">
        <v>0.1</v>
      </c>
      <c r="F106" s="57">
        <v>-83234</v>
      </c>
      <c r="G106" s="57">
        <v>-151377</v>
      </c>
      <c r="H106" s="57">
        <v>108997</v>
      </c>
      <c r="I106" s="57">
        <v>258764</v>
      </c>
      <c r="J106" s="57">
        <v>12421</v>
      </c>
      <c r="K106" s="57">
        <v>92840</v>
      </c>
      <c r="L106" s="56">
        <v>-86.62</v>
      </c>
      <c r="M106" s="20">
        <v>2278250</v>
      </c>
      <c r="N106" s="56">
        <v>0.06</v>
      </c>
      <c r="O106" s="56">
        <v>0.41</v>
      </c>
      <c r="P106" s="58">
        <v>13.84</v>
      </c>
      <c r="Q106" s="59">
        <v>71.012832894175503</v>
      </c>
      <c r="R106" s="59">
        <v>3.4669291537517402</v>
      </c>
      <c r="S106" s="59">
        <v>2.3869636733299</v>
      </c>
      <c r="X106" s="2">
        <f t="shared" si="3"/>
        <v>0.28987167105824496</v>
      </c>
      <c r="Y106" s="2">
        <f>SUMIF(收盤價!A:A,A106,收盤價!C:C)</f>
        <v>9.09</v>
      </c>
      <c r="Z106" s="2">
        <f t="shared" si="4"/>
        <v>3153098</v>
      </c>
      <c r="AA106" s="2">
        <f t="shared" si="5"/>
        <v>2070929.25</v>
      </c>
    </row>
    <row r="107" spans="1:27" ht="14.5" customHeight="1">
      <c r="A107" s="19" t="s">
        <v>4772</v>
      </c>
      <c r="B107" s="3" t="s">
        <v>248</v>
      </c>
      <c r="C107" s="20">
        <v>7176598</v>
      </c>
      <c r="D107" s="20">
        <v>5996563</v>
      </c>
      <c r="E107" s="56">
        <v>19.68</v>
      </c>
      <c r="F107" s="57">
        <v>331055</v>
      </c>
      <c r="G107" s="57">
        <v>13147</v>
      </c>
      <c r="H107" s="57">
        <v>170385</v>
      </c>
      <c r="I107" s="57">
        <v>62072</v>
      </c>
      <c r="J107" s="57">
        <v>410652</v>
      </c>
      <c r="K107" s="57">
        <v>60082</v>
      </c>
      <c r="L107" s="56">
        <v>583.49</v>
      </c>
      <c r="M107" s="20">
        <v>2610585</v>
      </c>
      <c r="N107" s="56">
        <v>1.57</v>
      </c>
      <c r="O107" s="56">
        <v>0.23</v>
      </c>
      <c r="P107" s="58">
        <v>12.94</v>
      </c>
      <c r="Q107" s="59">
        <v>39.350765160398801</v>
      </c>
      <c r="R107" s="59">
        <v>1.5325353422271699</v>
      </c>
      <c r="S107" s="59">
        <v>0.85326648378380798</v>
      </c>
      <c r="X107" s="2">
        <f t="shared" si="3"/>
        <v>0.60649234839601196</v>
      </c>
      <c r="Y107" s="2">
        <f>SUMIF(收盤價!A:A,A107,收盤價!C:C)</f>
        <v>29.1</v>
      </c>
      <c r="Z107" s="2">
        <f t="shared" si="4"/>
        <v>3378096.9899999998</v>
      </c>
      <c r="AA107" s="2">
        <f t="shared" si="5"/>
        <v>7596802.3499999996</v>
      </c>
    </row>
    <row r="108" spans="1:27" ht="14.5" customHeight="1">
      <c r="A108" s="19" t="s">
        <v>4773</v>
      </c>
      <c r="B108" s="3" t="s">
        <v>258</v>
      </c>
      <c r="C108" s="20">
        <v>1133401</v>
      </c>
      <c r="D108" s="20">
        <v>1270718</v>
      </c>
      <c r="E108" s="56">
        <v>-10.81</v>
      </c>
      <c r="F108" s="57">
        <v>111575</v>
      </c>
      <c r="G108" s="57">
        <v>137701</v>
      </c>
      <c r="H108" s="57">
        <v>-6648</v>
      </c>
      <c r="I108" s="57">
        <v>38947</v>
      </c>
      <c r="J108" s="57">
        <v>80119</v>
      </c>
      <c r="K108" s="57">
        <v>136076</v>
      </c>
      <c r="L108" s="56">
        <v>-41.12</v>
      </c>
      <c r="M108" s="20">
        <v>600000</v>
      </c>
      <c r="N108" s="56">
        <v>1.34</v>
      </c>
      <c r="O108" s="56">
        <v>2.69</v>
      </c>
      <c r="P108" s="58">
        <v>16.7</v>
      </c>
      <c r="Q108" s="59">
        <v>61.755574406802197</v>
      </c>
      <c r="R108" s="59">
        <v>2.47885537837226</v>
      </c>
      <c r="S108" s="59">
        <v>1.1087272351197199</v>
      </c>
      <c r="X108" s="2">
        <f t="shared" si="3"/>
        <v>0.38244425593197806</v>
      </c>
      <c r="Y108" s="2">
        <f>SUMIF(收盤價!A:A,A108,收盤價!C:C)</f>
        <v>24.05</v>
      </c>
      <c r="Z108" s="2">
        <f t="shared" si="4"/>
        <v>1002000</v>
      </c>
      <c r="AA108" s="2">
        <f t="shared" si="5"/>
        <v>1443000</v>
      </c>
    </row>
    <row r="109" spans="1:27" ht="14.5" customHeight="1">
      <c r="A109" s="19" t="s">
        <v>4774</v>
      </c>
      <c r="B109" s="3" t="s">
        <v>260</v>
      </c>
      <c r="C109" s="20">
        <v>3464083</v>
      </c>
      <c r="D109" s="20">
        <v>3733320</v>
      </c>
      <c r="E109" s="56">
        <v>-7.21</v>
      </c>
      <c r="F109" s="57">
        <v>576509</v>
      </c>
      <c r="G109" s="57">
        <v>725010</v>
      </c>
      <c r="H109" s="57">
        <v>158547</v>
      </c>
      <c r="I109" s="57">
        <v>509790</v>
      </c>
      <c r="J109" s="57">
        <v>573554</v>
      </c>
      <c r="K109" s="57">
        <v>1031765</v>
      </c>
      <c r="L109" s="56">
        <v>-44.41</v>
      </c>
      <c r="M109" s="20">
        <v>1385706</v>
      </c>
      <c r="N109" s="56">
        <v>4.1500000000000004</v>
      </c>
      <c r="O109" s="56">
        <v>7.48</v>
      </c>
      <c r="P109" s="58">
        <v>28.01</v>
      </c>
      <c r="Q109" s="59">
        <v>84.117067588260696</v>
      </c>
      <c r="R109" s="59">
        <v>5.0567913144215604</v>
      </c>
      <c r="S109" s="59">
        <v>1.6374505995524</v>
      </c>
      <c r="X109" s="2">
        <f t="shared" si="3"/>
        <v>0.15882932411739303</v>
      </c>
      <c r="Y109" s="2">
        <f>SUMIF(收盤價!A:A,A109,收盤價!C:C)</f>
        <v>49.2</v>
      </c>
      <c r="Z109" s="2">
        <f t="shared" si="4"/>
        <v>3881362.5060000001</v>
      </c>
      <c r="AA109" s="2">
        <f t="shared" si="5"/>
        <v>6817673.5200000005</v>
      </c>
    </row>
    <row r="110" spans="1:27" ht="14.5" customHeight="1">
      <c r="A110" s="19" t="s">
        <v>4775</v>
      </c>
      <c r="B110" s="3" t="s">
        <v>262</v>
      </c>
      <c r="C110" s="20">
        <v>4160545</v>
      </c>
      <c r="D110" s="20">
        <v>4905234</v>
      </c>
      <c r="E110" s="56">
        <v>-15.18</v>
      </c>
      <c r="F110" s="57">
        <v>-288802</v>
      </c>
      <c r="G110" s="57">
        <v>85628</v>
      </c>
      <c r="H110" s="57">
        <v>12799</v>
      </c>
      <c r="I110" s="57">
        <v>-20683</v>
      </c>
      <c r="J110" s="57">
        <v>-274618</v>
      </c>
      <c r="K110" s="57">
        <v>40977</v>
      </c>
      <c r="L110" s="56"/>
      <c r="M110" s="20">
        <v>1993310</v>
      </c>
      <c r="N110" s="56">
        <v>-1.39</v>
      </c>
      <c r="O110" s="56">
        <v>0.22</v>
      </c>
      <c r="P110" s="58">
        <v>11.48</v>
      </c>
      <c r="Q110" s="59">
        <v>44.695700552528898</v>
      </c>
      <c r="R110" s="59">
        <v>1.5062439200614599</v>
      </c>
      <c r="S110" s="59">
        <v>0.80197300126440996</v>
      </c>
      <c r="X110" s="2">
        <f t="shared" si="3"/>
        <v>0.55304299447471106</v>
      </c>
      <c r="Y110" s="2">
        <f>SUMIF(收盤價!A:A,A110,收盤價!C:C)</f>
        <v>9.2200000000000006</v>
      </c>
      <c r="Z110" s="2">
        <f t="shared" si="4"/>
        <v>2288319.88</v>
      </c>
      <c r="AA110" s="2">
        <f t="shared" si="5"/>
        <v>1837831.8200000003</v>
      </c>
    </row>
    <row r="111" spans="1:27" ht="14.5" customHeight="1">
      <c r="A111" s="19" t="s">
        <v>4776</v>
      </c>
      <c r="B111" s="3" t="s">
        <v>264</v>
      </c>
      <c r="C111" s="20">
        <v>793729</v>
      </c>
      <c r="D111" s="20">
        <v>412573</v>
      </c>
      <c r="E111" s="56">
        <v>92.39</v>
      </c>
      <c r="F111" s="57">
        <v>41430</v>
      </c>
      <c r="G111" s="57">
        <v>38589</v>
      </c>
      <c r="H111" s="57">
        <v>5975</v>
      </c>
      <c r="I111" s="57">
        <v>9317</v>
      </c>
      <c r="J111" s="57">
        <v>42697</v>
      </c>
      <c r="K111" s="57">
        <v>46943</v>
      </c>
      <c r="L111" s="56">
        <v>-9.0500000000000007</v>
      </c>
      <c r="M111" s="20">
        <v>959680</v>
      </c>
      <c r="N111" s="56">
        <v>0.54</v>
      </c>
      <c r="O111" s="56">
        <v>0.71</v>
      </c>
      <c r="P111" s="58">
        <v>11.05</v>
      </c>
      <c r="Q111" s="59">
        <v>56.5174001051791</v>
      </c>
      <c r="R111" s="59">
        <v>1.7048483793610301</v>
      </c>
      <c r="S111" s="59">
        <v>1.5684787653748</v>
      </c>
      <c r="X111" s="2">
        <f t="shared" si="3"/>
        <v>0.434825998948209</v>
      </c>
      <c r="Y111" s="2">
        <f>SUMIF(收盤價!A:A,A111,收盤價!C:C)</f>
        <v>17.649999999999999</v>
      </c>
      <c r="Z111" s="2">
        <f t="shared" si="4"/>
        <v>1060446.3999999999</v>
      </c>
      <c r="AA111" s="2">
        <f t="shared" si="5"/>
        <v>1693835.2</v>
      </c>
    </row>
    <row r="112" spans="1:27" ht="14.5" customHeight="1">
      <c r="A112" s="21" t="s">
        <v>4777</v>
      </c>
      <c r="B112" s="22" t="s">
        <v>266</v>
      </c>
      <c r="C112" s="23">
        <v>3417949</v>
      </c>
      <c r="D112" s="23">
        <v>4872536</v>
      </c>
      <c r="E112" s="60">
        <v>-29.85</v>
      </c>
      <c r="F112" s="61">
        <v>195610</v>
      </c>
      <c r="G112" s="61">
        <v>340814</v>
      </c>
      <c r="H112" s="61">
        <v>-11992</v>
      </c>
      <c r="I112" s="61">
        <v>64479</v>
      </c>
      <c r="J112" s="61">
        <v>118773</v>
      </c>
      <c r="K112" s="61">
        <v>333392</v>
      </c>
      <c r="L112" s="60">
        <v>-64.37</v>
      </c>
      <c r="M112" s="23">
        <v>965942</v>
      </c>
      <c r="N112" s="60">
        <v>1.23</v>
      </c>
      <c r="O112" s="60">
        <v>3.45</v>
      </c>
      <c r="P112" s="62">
        <v>29.61</v>
      </c>
      <c r="Q112" s="63">
        <v>42.4560128478659</v>
      </c>
      <c r="R112" s="63">
        <v>1.15390916094421</v>
      </c>
      <c r="S112" s="63">
        <v>0.61745955472029401</v>
      </c>
      <c r="X112" s="2">
        <f t="shared" si="3"/>
        <v>0.57543987152134102</v>
      </c>
      <c r="Y112" s="2">
        <f>SUMIF(收盤價!A:A,A112,收盤價!C:C)</f>
        <v>30.2</v>
      </c>
      <c r="Z112" s="2">
        <f t="shared" si="4"/>
        <v>2860154.2620000001</v>
      </c>
      <c r="AA112" s="2">
        <f t="shared" si="5"/>
        <v>2917144.84</v>
      </c>
    </row>
    <row r="113" spans="1:27" ht="14.5" customHeight="1">
      <c r="A113" s="24" t="s">
        <v>4778</v>
      </c>
      <c r="B113" s="25" t="s">
        <v>268</v>
      </c>
      <c r="C113" s="26">
        <v>2170104</v>
      </c>
      <c r="D113" s="26">
        <v>2661044</v>
      </c>
      <c r="E113" s="64">
        <v>-18.45</v>
      </c>
      <c r="F113" s="65">
        <v>18597</v>
      </c>
      <c r="G113" s="65">
        <v>184349</v>
      </c>
      <c r="H113" s="65">
        <v>24348</v>
      </c>
      <c r="I113" s="65">
        <v>78793</v>
      </c>
      <c r="J113" s="65">
        <v>29719</v>
      </c>
      <c r="K113" s="65">
        <v>125417</v>
      </c>
      <c r="L113" s="64">
        <v>-76.3</v>
      </c>
      <c r="M113" s="26">
        <v>1850081</v>
      </c>
      <c r="N113" s="64">
        <v>0.16</v>
      </c>
      <c r="O113" s="64">
        <v>0.68</v>
      </c>
      <c r="P113" s="66">
        <v>19.68</v>
      </c>
      <c r="Q113" s="67">
        <v>83.243889571584305</v>
      </c>
      <c r="R113" s="67">
        <v>8.0277096691747492</v>
      </c>
      <c r="S113" s="67">
        <v>4.7831787197829501</v>
      </c>
      <c r="X113" s="2">
        <f t="shared" si="3"/>
        <v>0.16756110428415696</v>
      </c>
      <c r="Y113" s="2">
        <f>SUMIF(收盤價!A:A,A113,收盤價!C:C)</f>
        <v>15.2</v>
      </c>
      <c r="Z113" s="2">
        <f t="shared" si="4"/>
        <v>3640959.4079999998</v>
      </c>
      <c r="AA113" s="2">
        <f t="shared" si="5"/>
        <v>2812123.12</v>
      </c>
    </row>
    <row r="114" spans="1:27" ht="14.5" customHeight="1">
      <c r="A114" s="19" t="s">
        <v>4779</v>
      </c>
      <c r="B114" s="3" t="s">
        <v>270</v>
      </c>
      <c r="C114" s="20">
        <v>13770124</v>
      </c>
      <c r="D114" s="20">
        <v>18085535</v>
      </c>
      <c r="E114" s="56">
        <v>-23.86</v>
      </c>
      <c r="F114" s="57">
        <v>1034519</v>
      </c>
      <c r="G114" s="57">
        <v>2459887</v>
      </c>
      <c r="H114" s="57">
        <v>-146485</v>
      </c>
      <c r="I114" s="57">
        <v>-52892</v>
      </c>
      <c r="J114" s="57">
        <v>508727</v>
      </c>
      <c r="K114" s="57">
        <v>1835572</v>
      </c>
      <c r="L114" s="56">
        <v>-72.290000000000006</v>
      </c>
      <c r="M114" s="20">
        <v>3852521</v>
      </c>
      <c r="N114" s="56">
        <v>1.32</v>
      </c>
      <c r="O114" s="56">
        <v>4.76</v>
      </c>
      <c r="P114" s="58">
        <v>30.86</v>
      </c>
      <c r="Q114" s="59">
        <v>27.695861753792499</v>
      </c>
      <c r="R114" s="59">
        <v>1.6946149284657499</v>
      </c>
      <c r="S114" s="59">
        <v>0.48229250712173599</v>
      </c>
      <c r="X114" s="2">
        <f t="shared" si="3"/>
        <v>0.72304138246207506</v>
      </c>
      <c r="Y114" s="2">
        <f>SUMIF(收盤價!A:A,A114,收盤價!C:C)</f>
        <v>31.35</v>
      </c>
      <c r="Z114" s="2">
        <f t="shared" si="4"/>
        <v>11888879.806</v>
      </c>
      <c r="AA114" s="2">
        <f t="shared" si="5"/>
        <v>12077653.335000001</v>
      </c>
    </row>
    <row r="115" spans="1:27" ht="14.5" customHeight="1">
      <c r="A115" s="19" t="s">
        <v>4780</v>
      </c>
      <c r="B115" s="3" t="s">
        <v>274</v>
      </c>
      <c r="C115" s="20">
        <v>9315910</v>
      </c>
      <c r="D115" s="20">
        <v>10813583</v>
      </c>
      <c r="E115" s="56">
        <v>-13.85</v>
      </c>
      <c r="F115" s="57">
        <v>32480</v>
      </c>
      <c r="G115" s="57">
        <v>28533</v>
      </c>
      <c r="H115" s="57">
        <v>131092</v>
      </c>
      <c r="I115" s="57">
        <v>113347</v>
      </c>
      <c r="J115" s="57">
        <v>126858</v>
      </c>
      <c r="K115" s="57">
        <v>97864</v>
      </c>
      <c r="L115" s="56">
        <v>29.63</v>
      </c>
      <c r="M115" s="20">
        <v>1237426</v>
      </c>
      <c r="N115" s="56">
        <v>1.03</v>
      </c>
      <c r="O115" s="56">
        <v>0.79</v>
      </c>
      <c r="P115" s="58">
        <v>23.96</v>
      </c>
      <c r="Q115" s="59">
        <v>48.073628464355103</v>
      </c>
      <c r="R115" s="59">
        <v>1.6914516077810899</v>
      </c>
      <c r="S115" s="59">
        <v>1.2303621332763599</v>
      </c>
      <c r="X115" s="2">
        <f t="shared" si="3"/>
        <v>0.519263715356449</v>
      </c>
      <c r="Y115" s="2">
        <f>SUMIF(收盤價!A:A,A115,收盤價!C:C)</f>
        <v>35.1</v>
      </c>
      <c r="Z115" s="2">
        <f t="shared" si="4"/>
        <v>2964872.696</v>
      </c>
      <c r="AA115" s="2">
        <f t="shared" si="5"/>
        <v>4343365.26</v>
      </c>
    </row>
    <row r="116" spans="1:27" ht="14.5" customHeight="1">
      <c r="A116" s="19" t="s">
        <v>4781</v>
      </c>
      <c r="B116" s="3" t="s">
        <v>278</v>
      </c>
      <c r="C116" s="20">
        <v>7933589</v>
      </c>
      <c r="D116" s="20">
        <v>8489866</v>
      </c>
      <c r="E116" s="56">
        <v>-6.55</v>
      </c>
      <c r="F116" s="57">
        <v>1312999</v>
      </c>
      <c r="G116" s="57">
        <v>1242791</v>
      </c>
      <c r="H116" s="57">
        <v>31121</v>
      </c>
      <c r="I116" s="57">
        <v>89074</v>
      </c>
      <c r="J116" s="57">
        <v>1007068</v>
      </c>
      <c r="K116" s="57">
        <v>982996</v>
      </c>
      <c r="L116" s="56">
        <v>2.4500000000000002</v>
      </c>
      <c r="M116" s="20">
        <v>817854</v>
      </c>
      <c r="N116" s="56">
        <v>12.32</v>
      </c>
      <c r="O116" s="56">
        <v>12.03</v>
      </c>
      <c r="P116" s="58">
        <v>49.64</v>
      </c>
      <c r="Q116" s="59">
        <v>74.604047639611906</v>
      </c>
      <c r="R116" s="59">
        <v>4.2262264537947196</v>
      </c>
      <c r="S116" s="59">
        <v>2.7300897339909</v>
      </c>
      <c r="X116" s="2">
        <f t="shared" si="3"/>
        <v>0.25395952360388097</v>
      </c>
      <c r="Y116" s="2">
        <f>SUMIF(收盤價!A:A,A116,收盤價!C:C)</f>
        <v>149</v>
      </c>
      <c r="Z116" s="2">
        <f t="shared" si="4"/>
        <v>4059827.2560000001</v>
      </c>
      <c r="AA116" s="2">
        <f t="shared" si="5"/>
        <v>12186024.6</v>
      </c>
    </row>
    <row r="117" spans="1:27" ht="14.5" customHeight="1">
      <c r="A117" s="19" t="s">
        <v>5629</v>
      </c>
      <c r="B117" s="3" t="s">
        <v>280</v>
      </c>
      <c r="C117" s="20">
        <v>362838</v>
      </c>
      <c r="D117" s="20">
        <v>423334</v>
      </c>
      <c r="E117" s="56">
        <v>-14.29</v>
      </c>
      <c r="F117" s="57">
        <v>-100429</v>
      </c>
      <c r="G117" s="57">
        <v>-94138</v>
      </c>
      <c r="H117" s="57">
        <v>-40914</v>
      </c>
      <c r="I117" s="57">
        <v>-5265</v>
      </c>
      <c r="J117" s="57">
        <v>-147705</v>
      </c>
      <c r="K117" s="57">
        <v>-99403</v>
      </c>
      <c r="L117" s="56"/>
      <c r="M117" s="20">
        <v>561358</v>
      </c>
      <c r="N117" s="56">
        <v>-2.63</v>
      </c>
      <c r="O117" s="56">
        <v>-1.77</v>
      </c>
      <c r="P117" s="58">
        <v>2.58</v>
      </c>
      <c r="Q117" s="59">
        <v>15.663462557791901</v>
      </c>
      <c r="R117" s="59">
        <v>1.79689054758184</v>
      </c>
      <c r="S117" s="59">
        <v>0.30958185078414202</v>
      </c>
      <c r="X117" s="2">
        <f t="shared" si="3"/>
        <v>0.84336537442208093</v>
      </c>
      <c r="Y117" s="2">
        <f>SUMIF(收盤價!A:A,A117,收盤價!C:C)</f>
        <v>4.9000000000000004</v>
      </c>
      <c r="Z117" s="2">
        <f t="shared" si="4"/>
        <v>144830.364</v>
      </c>
      <c r="AA117" s="2">
        <f t="shared" si="5"/>
        <v>275065.42000000004</v>
      </c>
    </row>
    <row r="118" spans="1:27" ht="14.5" customHeight="1">
      <c r="A118" s="19" t="s">
        <v>4782</v>
      </c>
      <c r="B118" s="3" t="s">
        <v>282</v>
      </c>
      <c r="C118" s="20">
        <v>2195824</v>
      </c>
      <c r="D118" s="20">
        <v>2594402</v>
      </c>
      <c r="E118" s="56">
        <v>-15.36</v>
      </c>
      <c r="F118" s="57">
        <v>135348</v>
      </c>
      <c r="G118" s="57">
        <v>117076</v>
      </c>
      <c r="H118" s="57">
        <v>-40577</v>
      </c>
      <c r="I118" s="57">
        <v>40585</v>
      </c>
      <c r="J118" s="57">
        <v>69893</v>
      </c>
      <c r="K118" s="57">
        <v>331315</v>
      </c>
      <c r="L118" s="56">
        <v>-78.900000000000006</v>
      </c>
      <c r="M118" s="20">
        <v>653700</v>
      </c>
      <c r="N118" s="56">
        <v>1.07</v>
      </c>
      <c r="O118" s="56">
        <v>5.07</v>
      </c>
      <c r="P118" s="58">
        <v>20.14</v>
      </c>
      <c r="Q118" s="59">
        <v>39.186674089135103</v>
      </c>
      <c r="R118" s="59">
        <v>1.41336118294543</v>
      </c>
      <c r="S118" s="59">
        <v>0.61178062703823599</v>
      </c>
      <c r="X118" s="2">
        <f t="shared" si="3"/>
        <v>0.60813325910864902</v>
      </c>
      <c r="Y118" s="2">
        <f>SUMIF(收盤價!A:A,A118,收盤價!C:C)</f>
        <v>19.95</v>
      </c>
      <c r="Z118" s="2">
        <f t="shared" si="4"/>
        <v>1316551.8</v>
      </c>
      <c r="AA118" s="2">
        <f t="shared" si="5"/>
        <v>1304131.5</v>
      </c>
    </row>
    <row r="119" spans="1:27" ht="14.5" customHeight="1">
      <c r="A119" s="19" t="s">
        <v>4783</v>
      </c>
      <c r="B119" s="3" t="s">
        <v>284</v>
      </c>
      <c r="C119" s="20">
        <v>670596</v>
      </c>
      <c r="D119" s="20">
        <v>631217</v>
      </c>
      <c r="E119" s="56">
        <v>6.24</v>
      </c>
      <c r="F119" s="57">
        <v>120502</v>
      </c>
      <c r="G119" s="57">
        <v>88182</v>
      </c>
      <c r="H119" s="57">
        <v>24390</v>
      </c>
      <c r="I119" s="57">
        <v>71442</v>
      </c>
      <c r="J119" s="57">
        <v>115534</v>
      </c>
      <c r="K119" s="57">
        <v>136281</v>
      </c>
      <c r="L119" s="56">
        <v>-15.22</v>
      </c>
      <c r="M119" s="20">
        <v>854736</v>
      </c>
      <c r="N119" s="56">
        <v>1.35</v>
      </c>
      <c r="O119" s="56">
        <v>1.59</v>
      </c>
      <c r="P119" s="58">
        <v>16.86</v>
      </c>
      <c r="Q119" s="59">
        <v>86.757692370201696</v>
      </c>
      <c r="R119" s="59">
        <v>6.2648465768046302</v>
      </c>
      <c r="S119" s="59">
        <v>0.608507679728162</v>
      </c>
      <c r="X119" s="2">
        <f t="shared" si="3"/>
        <v>0.13242307629798306</v>
      </c>
      <c r="Y119" s="2">
        <f>SUMIF(收盤價!A:A,A119,收盤價!C:C)</f>
        <v>19.5</v>
      </c>
      <c r="Z119" s="2">
        <f t="shared" si="4"/>
        <v>1441084.8959999999</v>
      </c>
      <c r="AA119" s="2">
        <f t="shared" si="5"/>
        <v>1666735.2</v>
      </c>
    </row>
    <row r="120" spans="1:27" ht="14.5" customHeight="1">
      <c r="A120" s="19" t="s">
        <v>4784</v>
      </c>
      <c r="B120" s="3" t="s">
        <v>286</v>
      </c>
      <c r="C120" s="20">
        <v>4200061</v>
      </c>
      <c r="D120" s="20">
        <v>3590792</v>
      </c>
      <c r="E120" s="56">
        <v>16.97</v>
      </c>
      <c r="F120" s="57">
        <v>415626</v>
      </c>
      <c r="G120" s="57">
        <v>47693</v>
      </c>
      <c r="H120" s="57">
        <v>-80312</v>
      </c>
      <c r="I120" s="57">
        <v>51873</v>
      </c>
      <c r="J120" s="57">
        <v>251476</v>
      </c>
      <c r="K120" s="57">
        <v>78557</v>
      </c>
      <c r="L120" s="56">
        <v>220.12</v>
      </c>
      <c r="M120" s="20">
        <v>788000</v>
      </c>
      <c r="N120" s="56">
        <v>3.19</v>
      </c>
      <c r="O120" s="56">
        <v>1</v>
      </c>
      <c r="P120" s="58">
        <v>16.21</v>
      </c>
      <c r="Q120" s="59">
        <v>41.1935950604433</v>
      </c>
      <c r="R120" s="59">
        <v>1.36811207169692</v>
      </c>
      <c r="S120" s="59">
        <v>0.90452955364013199</v>
      </c>
      <c r="X120" s="2">
        <f t="shared" si="3"/>
        <v>0.588064049395567</v>
      </c>
      <c r="Y120" s="2">
        <f>SUMIF(收盤價!A:A,A120,收盤價!C:C)</f>
        <v>36.4</v>
      </c>
      <c r="Z120" s="2">
        <f t="shared" si="4"/>
        <v>1277348</v>
      </c>
      <c r="AA120" s="2">
        <f t="shared" si="5"/>
        <v>2868320</v>
      </c>
    </row>
    <row r="121" spans="1:27" ht="14.5" customHeight="1">
      <c r="A121" s="19" t="s">
        <v>4785</v>
      </c>
      <c r="B121" s="3" t="s">
        <v>288</v>
      </c>
      <c r="C121" s="20">
        <v>5935948</v>
      </c>
      <c r="D121" s="20">
        <v>6669964</v>
      </c>
      <c r="E121" s="56">
        <v>-11</v>
      </c>
      <c r="F121" s="57">
        <v>851030</v>
      </c>
      <c r="G121" s="57">
        <v>1042163</v>
      </c>
      <c r="H121" s="57">
        <v>53501</v>
      </c>
      <c r="I121" s="57">
        <v>239637</v>
      </c>
      <c r="J121" s="57">
        <v>675801</v>
      </c>
      <c r="K121" s="57">
        <v>923572</v>
      </c>
      <c r="L121" s="56">
        <v>-26.83</v>
      </c>
      <c r="M121" s="20">
        <v>605356</v>
      </c>
      <c r="N121" s="56">
        <v>11.16</v>
      </c>
      <c r="O121" s="56">
        <v>15.26</v>
      </c>
      <c r="P121" s="58">
        <v>78.66</v>
      </c>
      <c r="Q121" s="59">
        <v>73.917900149300095</v>
      </c>
      <c r="R121" s="59">
        <v>3.2505613788344201</v>
      </c>
      <c r="S121" s="59">
        <v>2.6611649353787201</v>
      </c>
      <c r="X121" s="2">
        <f t="shared" si="3"/>
        <v>0.26082099850699902</v>
      </c>
      <c r="Y121" s="2">
        <f>SUMIF(收盤價!A:A,A121,收盤價!C:C)</f>
        <v>132.5</v>
      </c>
      <c r="Z121" s="2">
        <f t="shared" si="4"/>
        <v>4761730.2960000001</v>
      </c>
      <c r="AA121" s="2">
        <f t="shared" si="5"/>
        <v>8020967</v>
      </c>
    </row>
    <row r="122" spans="1:27" ht="14.5" customHeight="1">
      <c r="A122" s="19" t="s">
        <v>4786</v>
      </c>
      <c r="B122" s="3" t="s">
        <v>290</v>
      </c>
      <c r="C122" s="20">
        <v>4868003</v>
      </c>
      <c r="D122" s="20">
        <v>5133466</v>
      </c>
      <c r="E122" s="56">
        <v>-5.17</v>
      </c>
      <c r="F122" s="57">
        <v>673187</v>
      </c>
      <c r="G122" s="57">
        <v>770857</v>
      </c>
      <c r="H122" s="57">
        <v>13036</v>
      </c>
      <c r="I122" s="57">
        <v>102632</v>
      </c>
      <c r="J122" s="57">
        <v>536677</v>
      </c>
      <c r="K122" s="57">
        <v>693889</v>
      </c>
      <c r="L122" s="56">
        <v>-22.66</v>
      </c>
      <c r="M122" s="20">
        <v>1410000</v>
      </c>
      <c r="N122" s="56">
        <v>3.81</v>
      </c>
      <c r="O122" s="56">
        <v>4.92</v>
      </c>
      <c r="P122" s="58">
        <v>30.42</v>
      </c>
      <c r="Q122" s="59">
        <v>54.1122425495318</v>
      </c>
      <c r="R122" s="59">
        <v>1.7773699676755801</v>
      </c>
      <c r="S122" s="59">
        <v>0.92200411401704396</v>
      </c>
      <c r="X122" s="2">
        <f t="shared" si="3"/>
        <v>0.45887757450468203</v>
      </c>
      <c r="Y122" s="2">
        <f>SUMIF(收盤價!A:A,A122,收盤價!C:C)</f>
        <v>68.900000000000006</v>
      </c>
      <c r="Z122" s="2">
        <f t="shared" si="4"/>
        <v>4289220</v>
      </c>
      <c r="AA122" s="2">
        <f t="shared" si="5"/>
        <v>9714900.0000000019</v>
      </c>
    </row>
    <row r="123" spans="1:27" ht="14.5" customHeight="1">
      <c r="A123" s="19" t="s">
        <v>4787</v>
      </c>
      <c r="B123" s="3" t="s">
        <v>296</v>
      </c>
      <c r="C123" s="20">
        <v>6124719</v>
      </c>
      <c r="D123" s="20">
        <v>8382446</v>
      </c>
      <c r="E123" s="56">
        <v>-26.93</v>
      </c>
      <c r="F123" s="57">
        <v>465225</v>
      </c>
      <c r="G123" s="57">
        <v>794985</v>
      </c>
      <c r="H123" s="57">
        <v>11226</v>
      </c>
      <c r="I123" s="57">
        <v>147196</v>
      </c>
      <c r="J123" s="57">
        <v>268457</v>
      </c>
      <c r="K123" s="57">
        <v>596917</v>
      </c>
      <c r="L123" s="56">
        <v>-55.03</v>
      </c>
      <c r="M123" s="20">
        <v>1104004</v>
      </c>
      <c r="N123" s="56">
        <v>2.4300000000000002</v>
      </c>
      <c r="O123" s="56">
        <v>5.41</v>
      </c>
      <c r="P123" s="58">
        <v>41.23</v>
      </c>
      <c r="Q123" s="59">
        <v>34.910008051493399</v>
      </c>
      <c r="R123" s="59">
        <v>1.3925151817964101</v>
      </c>
      <c r="S123" s="59">
        <v>0.68915927545632505</v>
      </c>
      <c r="X123" s="2">
        <f t="shared" si="3"/>
        <v>0.65089991948506598</v>
      </c>
      <c r="Y123" s="2">
        <f>SUMIF(收盤價!A:A,A123,收盤價!C:C)</f>
        <v>58.9</v>
      </c>
      <c r="Z123" s="2">
        <f t="shared" si="4"/>
        <v>4551808.4919999996</v>
      </c>
      <c r="AA123" s="2">
        <f t="shared" si="5"/>
        <v>6502583.5600000005</v>
      </c>
    </row>
    <row r="124" spans="1:27" ht="14.5" customHeight="1">
      <c r="A124" s="19" t="s">
        <v>4788</v>
      </c>
      <c r="B124" s="3" t="s">
        <v>300</v>
      </c>
      <c r="C124" s="20">
        <v>7899986</v>
      </c>
      <c r="D124" s="20">
        <v>6195855</v>
      </c>
      <c r="E124" s="56">
        <v>27.5</v>
      </c>
      <c r="F124" s="57">
        <v>212460</v>
      </c>
      <c r="G124" s="57">
        <v>-245012</v>
      </c>
      <c r="H124" s="57">
        <v>8868</v>
      </c>
      <c r="I124" s="57">
        <v>13111</v>
      </c>
      <c r="J124" s="57">
        <v>162976</v>
      </c>
      <c r="K124" s="57">
        <v>-278658</v>
      </c>
      <c r="L124" s="56"/>
      <c r="M124" s="20">
        <v>1056175</v>
      </c>
      <c r="N124" s="56">
        <v>1.54</v>
      </c>
      <c r="O124" s="56">
        <v>-2.48</v>
      </c>
      <c r="P124" s="58">
        <v>72.540000000000006</v>
      </c>
      <c r="Q124" s="59">
        <v>56.660743783468803</v>
      </c>
      <c r="R124" s="59">
        <v>2.1902076980796799</v>
      </c>
      <c r="S124" s="59">
        <v>1.4968277676395501</v>
      </c>
      <c r="X124" s="2">
        <f t="shared" si="3"/>
        <v>0.43339256216531197</v>
      </c>
      <c r="Y124" s="2">
        <f>SUMIF(收盤價!A:A,A124,收盤價!C:C)</f>
        <v>62</v>
      </c>
      <c r="Z124" s="2">
        <f t="shared" si="4"/>
        <v>7661493.4500000002</v>
      </c>
      <c r="AA124" s="2">
        <f t="shared" si="5"/>
        <v>6548285</v>
      </c>
    </row>
    <row r="125" spans="1:27" ht="14.5" customHeight="1">
      <c r="A125" s="19" t="s">
        <v>4789</v>
      </c>
      <c r="B125" s="3" t="s">
        <v>302</v>
      </c>
      <c r="C125" s="20">
        <v>15896317</v>
      </c>
      <c r="D125" s="20">
        <v>15600743</v>
      </c>
      <c r="E125" s="56">
        <v>1.89</v>
      </c>
      <c r="F125" s="57">
        <v>4028042</v>
      </c>
      <c r="G125" s="57">
        <v>4159938</v>
      </c>
      <c r="H125" s="57">
        <v>-325618</v>
      </c>
      <c r="I125" s="57">
        <v>-352231</v>
      </c>
      <c r="J125" s="57">
        <v>2726313</v>
      </c>
      <c r="K125" s="57">
        <v>2839415</v>
      </c>
      <c r="L125" s="56">
        <v>-3.98</v>
      </c>
      <c r="M125" s="20">
        <v>1890250</v>
      </c>
      <c r="N125" s="56">
        <v>14.42</v>
      </c>
      <c r="O125" s="56">
        <v>15.02</v>
      </c>
      <c r="P125" s="58">
        <v>96.18</v>
      </c>
      <c r="Q125" s="59">
        <v>45.502521925060499</v>
      </c>
      <c r="R125" s="59">
        <v>1.0186225581081101</v>
      </c>
      <c r="S125" s="59">
        <v>0.62519246771984704</v>
      </c>
      <c r="X125" s="2">
        <f t="shared" si="3"/>
        <v>0.54497478074939498</v>
      </c>
      <c r="Y125" s="2">
        <f>SUMIF(收盤價!A:A,A125,收盤價!C:C)</f>
        <v>466.5</v>
      </c>
      <c r="Z125" s="2">
        <f t="shared" si="4"/>
        <v>18180424.5</v>
      </c>
      <c r="AA125" s="2">
        <f t="shared" si="5"/>
        <v>88180162.5</v>
      </c>
    </row>
    <row r="126" spans="1:27" ht="14.5" customHeight="1">
      <c r="A126" s="19" t="s">
        <v>4790</v>
      </c>
      <c r="B126" s="3" t="s">
        <v>484</v>
      </c>
      <c r="C126" s="20">
        <v>20209798</v>
      </c>
      <c r="D126" s="20">
        <v>29333129</v>
      </c>
      <c r="E126" s="56">
        <v>-31.1</v>
      </c>
      <c r="F126" s="57">
        <v>2400890</v>
      </c>
      <c r="G126" s="57">
        <v>6419195</v>
      </c>
      <c r="H126" s="57">
        <v>-191041</v>
      </c>
      <c r="I126" s="57">
        <v>-323235</v>
      </c>
      <c r="J126" s="57">
        <v>1865316</v>
      </c>
      <c r="K126" s="57">
        <v>5392257</v>
      </c>
      <c r="L126" s="56">
        <v>-65.41</v>
      </c>
      <c r="M126" s="20">
        <v>3095789</v>
      </c>
      <c r="N126" s="56">
        <v>6.03</v>
      </c>
      <c r="O126" s="56">
        <v>17.899999999999999</v>
      </c>
      <c r="P126" s="58">
        <v>76.7</v>
      </c>
      <c r="Q126" s="59">
        <v>49.1254732696381</v>
      </c>
      <c r="R126" s="59">
        <v>0.95036667398499797</v>
      </c>
      <c r="S126" s="59">
        <v>0.43775618692340101</v>
      </c>
      <c r="X126" s="2">
        <f t="shared" si="3"/>
        <v>0.50874526730361902</v>
      </c>
      <c r="Y126" s="2">
        <f>SUMIF(收盤價!A:A,A126,收盤價!C:C)</f>
        <v>281</v>
      </c>
      <c r="Z126" s="2">
        <f t="shared" si="4"/>
        <v>23744701.630000003</v>
      </c>
      <c r="AA126" s="2">
        <f t="shared" si="5"/>
        <v>86991670.900000006</v>
      </c>
    </row>
    <row r="127" spans="1:27" ht="14.5" customHeight="1">
      <c r="A127" s="19" t="s">
        <v>4791</v>
      </c>
      <c r="B127" s="3" t="s">
        <v>625</v>
      </c>
      <c r="C127" s="20">
        <v>35423015</v>
      </c>
      <c r="D127" s="20">
        <v>60622725</v>
      </c>
      <c r="E127" s="56">
        <v>-41.57</v>
      </c>
      <c r="F127" s="57">
        <v>-6265315</v>
      </c>
      <c r="G127" s="57">
        <v>-15483127</v>
      </c>
      <c r="H127" s="57">
        <v>-2614650</v>
      </c>
      <c r="I127" s="57">
        <v>-16354898</v>
      </c>
      <c r="J127" s="57">
        <v>2875879</v>
      </c>
      <c r="K127" s="57">
        <v>-10642906</v>
      </c>
      <c r="L127" s="56"/>
      <c r="M127" s="20">
        <v>23395367</v>
      </c>
      <c r="N127" s="56">
        <v>1.24</v>
      </c>
      <c r="O127" s="56">
        <v>-4.75</v>
      </c>
      <c r="P127" s="58">
        <v>15.7</v>
      </c>
      <c r="Q127" s="59">
        <v>30.805867960937</v>
      </c>
      <c r="R127" s="59">
        <v>0.73673951599419696</v>
      </c>
      <c r="S127" s="59">
        <v>0.33157166398149901</v>
      </c>
      <c r="X127" s="2">
        <f t="shared" si="3"/>
        <v>0.69194132039062994</v>
      </c>
      <c r="Y127" s="2">
        <f>SUMIF(收盤價!A:A,A127,收盤價!C:C)</f>
        <v>21</v>
      </c>
      <c r="Z127" s="2">
        <f t="shared" si="4"/>
        <v>36730726.189999998</v>
      </c>
      <c r="AA127" s="2">
        <f t="shared" si="5"/>
        <v>49130270.700000003</v>
      </c>
    </row>
    <row r="128" spans="1:27" ht="14.5" customHeight="1">
      <c r="A128" s="19" t="s">
        <v>4792</v>
      </c>
      <c r="B128" s="3" t="s">
        <v>1151</v>
      </c>
      <c r="C128" s="20">
        <v>1942637</v>
      </c>
      <c r="D128" s="20">
        <v>3986979</v>
      </c>
      <c r="E128" s="56">
        <v>-51.28</v>
      </c>
      <c r="F128" s="57">
        <v>209650</v>
      </c>
      <c r="G128" s="57">
        <v>526318</v>
      </c>
      <c r="H128" s="57">
        <v>17467</v>
      </c>
      <c r="I128" s="57">
        <v>86517</v>
      </c>
      <c r="J128" s="57">
        <v>177535</v>
      </c>
      <c r="K128" s="57">
        <v>434083</v>
      </c>
      <c r="L128" s="56">
        <v>-59.1</v>
      </c>
      <c r="M128" s="20">
        <v>801341</v>
      </c>
      <c r="N128" s="56">
        <v>2.2200000000000002</v>
      </c>
      <c r="O128" s="56">
        <v>5.42</v>
      </c>
      <c r="P128" s="58">
        <v>22.49</v>
      </c>
      <c r="Q128" s="59">
        <v>44.859801451771901</v>
      </c>
      <c r="R128" s="59">
        <v>2.4605162913098502</v>
      </c>
      <c r="S128" s="59">
        <v>1.7561072420360899</v>
      </c>
      <c r="X128" s="2">
        <f t="shared" si="3"/>
        <v>0.55140198548228103</v>
      </c>
      <c r="Y128" s="2">
        <f>SUMIF(收盤價!A:A,A128,收盤價!C:C)</f>
        <v>42.6</v>
      </c>
      <c r="Z128" s="2">
        <f t="shared" si="4"/>
        <v>1802215.909</v>
      </c>
      <c r="AA128" s="2">
        <f t="shared" si="5"/>
        <v>3413712.66</v>
      </c>
    </row>
    <row r="129" spans="1:27" ht="14.5" customHeight="1">
      <c r="A129" s="19" t="s">
        <v>4793</v>
      </c>
      <c r="B129" s="3" t="s">
        <v>1329</v>
      </c>
      <c r="C129" s="20">
        <v>11000093</v>
      </c>
      <c r="D129" s="20">
        <v>11625277</v>
      </c>
      <c r="E129" s="56">
        <v>-5.38</v>
      </c>
      <c r="F129" s="57">
        <v>270641</v>
      </c>
      <c r="G129" s="57">
        <v>417563</v>
      </c>
      <c r="H129" s="57">
        <v>-137729</v>
      </c>
      <c r="I129" s="57">
        <v>59790</v>
      </c>
      <c r="J129" s="57">
        <v>58947</v>
      </c>
      <c r="K129" s="57">
        <v>312225</v>
      </c>
      <c r="L129" s="56">
        <v>-81.12</v>
      </c>
      <c r="M129" s="20">
        <v>2548265</v>
      </c>
      <c r="N129" s="56">
        <v>0.23</v>
      </c>
      <c r="O129" s="56">
        <v>1.23</v>
      </c>
      <c r="P129" s="58">
        <v>20.74</v>
      </c>
      <c r="Q129" s="59">
        <v>31.2292295193221</v>
      </c>
      <c r="R129" s="59">
        <v>1.48969879680156</v>
      </c>
      <c r="S129" s="59">
        <v>0.63766361389020398</v>
      </c>
      <c r="X129" s="2">
        <f t="shared" si="3"/>
        <v>0.68770770480677901</v>
      </c>
      <c r="Y129" s="2">
        <f>SUMIF(收盤價!A:A,A129,收盤價!C:C)</f>
        <v>16.899999999999999</v>
      </c>
      <c r="Z129" s="2">
        <f t="shared" si="4"/>
        <v>5285101.6099999994</v>
      </c>
      <c r="AA129" s="2">
        <f t="shared" si="5"/>
        <v>4306567.8499999996</v>
      </c>
    </row>
    <row r="130" spans="1:27" ht="14.5" customHeight="1">
      <c r="A130" s="19" t="s">
        <v>4794</v>
      </c>
      <c r="B130" s="3" t="s">
        <v>1331</v>
      </c>
      <c r="C130" s="20">
        <v>20132944</v>
      </c>
      <c r="D130" s="20">
        <v>22479295</v>
      </c>
      <c r="E130" s="56">
        <v>-10.44</v>
      </c>
      <c r="F130" s="57">
        <v>865948</v>
      </c>
      <c r="G130" s="57">
        <v>1648334</v>
      </c>
      <c r="H130" s="57">
        <v>-64682</v>
      </c>
      <c r="I130" s="57">
        <v>-70986</v>
      </c>
      <c r="J130" s="57">
        <v>655960</v>
      </c>
      <c r="K130" s="57">
        <v>1101426</v>
      </c>
      <c r="L130" s="56">
        <v>-40.44</v>
      </c>
      <c r="M130" s="20">
        <v>5060131</v>
      </c>
      <c r="N130" s="56">
        <v>1.3</v>
      </c>
      <c r="O130" s="56">
        <v>2.2000000000000002</v>
      </c>
      <c r="P130" s="58">
        <v>15.7</v>
      </c>
      <c r="Q130" s="59">
        <v>29.6970736683589</v>
      </c>
      <c r="R130" s="59">
        <v>1.5756122824899099</v>
      </c>
      <c r="S130" s="59">
        <v>0.95272555827885497</v>
      </c>
      <c r="X130" s="2">
        <f t="shared" si="3"/>
        <v>0.70302926331641102</v>
      </c>
      <c r="Y130" s="2">
        <f>SUMIF(收盤價!A:A,A130,收盤價!C:C)</f>
        <v>22.95</v>
      </c>
      <c r="Z130" s="2">
        <f t="shared" si="4"/>
        <v>7944405.6699999999</v>
      </c>
      <c r="AA130" s="2">
        <f t="shared" si="5"/>
        <v>11613000.645</v>
      </c>
    </row>
    <row r="131" spans="1:27" ht="14.5" customHeight="1">
      <c r="A131" s="19" t="s">
        <v>4795</v>
      </c>
      <c r="B131" s="3" t="s">
        <v>1335</v>
      </c>
      <c r="C131" s="20">
        <v>2107866</v>
      </c>
      <c r="D131" s="20">
        <v>3418356</v>
      </c>
      <c r="E131" s="56">
        <v>-38.340000000000003</v>
      </c>
      <c r="F131" s="57">
        <v>-34332</v>
      </c>
      <c r="G131" s="57">
        <v>768922</v>
      </c>
      <c r="H131" s="57">
        <v>-29990</v>
      </c>
      <c r="I131" s="57">
        <v>16030</v>
      </c>
      <c r="J131" s="57">
        <v>-61507</v>
      </c>
      <c r="K131" s="57">
        <v>621535</v>
      </c>
      <c r="L131" s="56"/>
      <c r="M131" s="20">
        <v>966780</v>
      </c>
      <c r="N131" s="56">
        <v>-0.64</v>
      </c>
      <c r="O131" s="56">
        <v>6.93</v>
      </c>
      <c r="P131" s="58">
        <v>32.130000000000003</v>
      </c>
      <c r="Q131" s="59">
        <v>55.956425209970497</v>
      </c>
      <c r="R131" s="59">
        <v>3.73274829053801</v>
      </c>
      <c r="S131" s="59">
        <v>2.03260480829376</v>
      </c>
      <c r="X131" s="2">
        <f t="shared" si="3"/>
        <v>0.44043574790029505</v>
      </c>
      <c r="Y131" s="2">
        <f>SUMIF(收盤價!A:A,A131,收盤價!C:C)</f>
        <v>51.9</v>
      </c>
      <c r="Z131" s="2">
        <f t="shared" si="4"/>
        <v>3106264.14</v>
      </c>
      <c r="AA131" s="2">
        <f t="shared" si="5"/>
        <v>5017588.2</v>
      </c>
    </row>
    <row r="132" spans="1:27" ht="14.5" customHeight="1">
      <c r="A132" s="19" t="s">
        <v>4796</v>
      </c>
      <c r="B132" s="3" t="s">
        <v>1341</v>
      </c>
      <c r="C132" s="20">
        <v>5426209</v>
      </c>
      <c r="D132" s="20">
        <v>7542981</v>
      </c>
      <c r="E132" s="56">
        <v>-28.06</v>
      </c>
      <c r="F132" s="57">
        <v>550799</v>
      </c>
      <c r="G132" s="57">
        <v>1241357</v>
      </c>
      <c r="H132" s="57">
        <v>21091</v>
      </c>
      <c r="I132" s="57">
        <v>-52127</v>
      </c>
      <c r="J132" s="57">
        <v>373480</v>
      </c>
      <c r="K132" s="57">
        <v>769605</v>
      </c>
      <c r="L132" s="56">
        <v>-51.47</v>
      </c>
      <c r="M132" s="20">
        <v>1160000</v>
      </c>
      <c r="N132" s="56">
        <v>3.22</v>
      </c>
      <c r="O132" s="56">
        <v>6.63</v>
      </c>
      <c r="P132" s="58">
        <v>43.64</v>
      </c>
      <c r="Q132" s="59">
        <v>74.503830478160694</v>
      </c>
      <c r="R132" s="59">
        <v>3.6078373736234202</v>
      </c>
      <c r="S132" s="59">
        <v>2.7125335057811899</v>
      </c>
      <c r="X132" s="2">
        <f t="shared" si="3"/>
        <v>0.25496169521839307</v>
      </c>
      <c r="Y132" s="2">
        <f>SUMIF(收盤價!A:A,A132,收盤價!C:C)</f>
        <v>42.55</v>
      </c>
      <c r="Z132" s="2">
        <f t="shared" si="4"/>
        <v>5062240</v>
      </c>
      <c r="AA132" s="2">
        <f t="shared" si="5"/>
        <v>4935800</v>
      </c>
    </row>
    <row r="133" spans="1:27" ht="14.5" customHeight="1">
      <c r="A133" s="19" t="s">
        <v>4797</v>
      </c>
      <c r="B133" s="3" t="s">
        <v>1343</v>
      </c>
      <c r="C133" s="20">
        <v>1367070</v>
      </c>
      <c r="D133" s="20">
        <v>1704371</v>
      </c>
      <c r="E133" s="56">
        <v>-19.79</v>
      </c>
      <c r="F133" s="57">
        <v>60212</v>
      </c>
      <c r="G133" s="57">
        <v>190358</v>
      </c>
      <c r="H133" s="57">
        <v>1472</v>
      </c>
      <c r="I133" s="57">
        <v>25717</v>
      </c>
      <c r="J133" s="57">
        <v>44329</v>
      </c>
      <c r="K133" s="57">
        <v>166515</v>
      </c>
      <c r="L133" s="56">
        <v>-73.38</v>
      </c>
      <c r="M133" s="20">
        <v>668800</v>
      </c>
      <c r="N133" s="56">
        <v>0.66</v>
      </c>
      <c r="O133" s="56">
        <v>2.4900000000000002</v>
      </c>
      <c r="P133" s="58">
        <v>37.119999999999997</v>
      </c>
      <c r="Q133" s="59">
        <v>63.688899287954797</v>
      </c>
      <c r="R133" s="59">
        <v>1.5137962973756001</v>
      </c>
      <c r="S133" s="59">
        <v>0.78985584566151701</v>
      </c>
      <c r="X133" s="2">
        <f t="shared" ref="X133:X196" si="6">IF(W133&lt;&gt;"",ROUND(W133/U133,2),(100-Q133)/100)</f>
        <v>0.36311100712045202</v>
      </c>
      <c r="Y133" s="2">
        <f>SUMIF(收盤價!A:A,A133,收盤價!C:C)</f>
        <v>50</v>
      </c>
      <c r="Z133" s="2">
        <f t="shared" ref="Z133:Z196" si="7">IF(W133&lt;&gt;"",U133-W133,M133*P133/10)</f>
        <v>2482585.6000000001</v>
      </c>
      <c r="AA133" s="2">
        <f t="shared" ref="AA133:AA196" si="8">Y133*M133/10</f>
        <v>3344000</v>
      </c>
    </row>
    <row r="134" spans="1:27" ht="14.5" customHeight="1">
      <c r="A134" s="19" t="s">
        <v>4798</v>
      </c>
      <c r="B134" s="3" t="s">
        <v>1347</v>
      </c>
      <c r="C134" s="20">
        <v>1654088</v>
      </c>
      <c r="D134" s="20">
        <v>1816136</v>
      </c>
      <c r="E134" s="56">
        <v>-8.92</v>
      </c>
      <c r="F134" s="57">
        <v>305090</v>
      </c>
      <c r="G134" s="57">
        <v>431486</v>
      </c>
      <c r="H134" s="57">
        <v>50550</v>
      </c>
      <c r="I134" s="57">
        <v>4622</v>
      </c>
      <c r="J134" s="57">
        <v>291393</v>
      </c>
      <c r="K134" s="57">
        <v>313070</v>
      </c>
      <c r="L134" s="56">
        <v>-6.92</v>
      </c>
      <c r="M134" s="20">
        <v>673312</v>
      </c>
      <c r="N134" s="56">
        <v>4.38</v>
      </c>
      <c r="O134" s="56">
        <v>4.76</v>
      </c>
      <c r="P134" s="58">
        <v>25.26</v>
      </c>
      <c r="Q134" s="59">
        <v>71.484583995464206</v>
      </c>
      <c r="R134" s="59">
        <v>2.7614813821004001</v>
      </c>
      <c r="S134" s="59">
        <v>2.0303469699471601</v>
      </c>
      <c r="X134" s="2">
        <f t="shared" si="6"/>
        <v>0.28515416004535793</v>
      </c>
      <c r="Y134" s="2">
        <f>SUMIF(收盤價!A:A,A134,收盤價!C:C)</f>
        <v>51.9</v>
      </c>
      <c r="Z134" s="2">
        <f t="shared" si="7"/>
        <v>1700786.1120000002</v>
      </c>
      <c r="AA134" s="2">
        <f t="shared" si="8"/>
        <v>3494489.28</v>
      </c>
    </row>
    <row r="135" spans="1:27" ht="14.5" customHeight="1">
      <c r="A135" s="19" t="s">
        <v>4799</v>
      </c>
      <c r="B135" s="3" t="s">
        <v>1349</v>
      </c>
      <c r="C135" s="20">
        <v>984653</v>
      </c>
      <c r="D135" s="20">
        <v>1433323</v>
      </c>
      <c r="E135" s="56">
        <v>-31.3</v>
      </c>
      <c r="F135" s="57">
        <v>-26801</v>
      </c>
      <c r="G135" s="57">
        <v>181301</v>
      </c>
      <c r="H135" s="57">
        <v>-33925</v>
      </c>
      <c r="I135" s="57">
        <v>12269</v>
      </c>
      <c r="J135" s="57">
        <v>-64046</v>
      </c>
      <c r="K135" s="57">
        <v>149298</v>
      </c>
      <c r="L135" s="56"/>
      <c r="M135" s="20">
        <v>675460</v>
      </c>
      <c r="N135" s="56">
        <v>-0.95</v>
      </c>
      <c r="O135" s="56">
        <v>2.21</v>
      </c>
      <c r="P135" s="58">
        <v>16.23</v>
      </c>
      <c r="Q135" s="59">
        <v>35.954021073510702</v>
      </c>
      <c r="R135" s="59">
        <v>1.49416818365584</v>
      </c>
      <c r="S135" s="59">
        <v>0.71724578328747302</v>
      </c>
      <c r="X135" s="2">
        <f t="shared" si="6"/>
        <v>0.640459789264893</v>
      </c>
      <c r="Y135" s="2">
        <f>SUMIF(收盤價!A:A,A135,收盤價!C:C)</f>
        <v>23.9</v>
      </c>
      <c r="Z135" s="2">
        <f t="shared" si="7"/>
        <v>1096271.58</v>
      </c>
      <c r="AA135" s="2">
        <f t="shared" si="8"/>
        <v>1614349.4</v>
      </c>
    </row>
    <row r="136" spans="1:27" ht="14.5" customHeight="1">
      <c r="A136" s="19" t="s">
        <v>4800</v>
      </c>
      <c r="B136" s="3" t="s">
        <v>1351</v>
      </c>
      <c r="C136" s="20">
        <v>2691153</v>
      </c>
      <c r="D136" s="20">
        <v>2643402</v>
      </c>
      <c r="E136" s="56">
        <v>1.81</v>
      </c>
      <c r="F136" s="57">
        <v>655834</v>
      </c>
      <c r="G136" s="57">
        <v>644571</v>
      </c>
      <c r="H136" s="57">
        <v>-52822</v>
      </c>
      <c r="I136" s="57">
        <v>-18686</v>
      </c>
      <c r="J136" s="57">
        <v>489737</v>
      </c>
      <c r="K136" s="57">
        <v>504968</v>
      </c>
      <c r="L136" s="56">
        <v>-3.02</v>
      </c>
      <c r="M136" s="20">
        <v>1805462</v>
      </c>
      <c r="N136" s="56">
        <v>2.8</v>
      </c>
      <c r="O136" s="56">
        <v>3.24</v>
      </c>
      <c r="P136" s="58">
        <v>24.69</v>
      </c>
      <c r="Q136" s="59">
        <v>55.308970899836901</v>
      </c>
      <c r="R136" s="59">
        <v>1.8391517717729799</v>
      </c>
      <c r="S136" s="59">
        <v>1.4869356751949401</v>
      </c>
      <c r="X136" s="2">
        <f t="shared" si="6"/>
        <v>0.44691029100163099</v>
      </c>
      <c r="Y136" s="2">
        <f>SUMIF(收盤價!A:A,A136,收盤價!C:C)</f>
        <v>42.3</v>
      </c>
      <c r="Z136" s="2">
        <f t="shared" si="7"/>
        <v>4457685.6780000003</v>
      </c>
      <c r="AA136" s="2">
        <f t="shared" si="8"/>
        <v>7637104.2599999998</v>
      </c>
    </row>
    <row r="137" spans="1:27" ht="14.5" customHeight="1">
      <c r="A137" s="19" t="s">
        <v>4801</v>
      </c>
      <c r="B137" s="3" t="s">
        <v>1353</v>
      </c>
      <c r="C137" s="20">
        <v>3825970</v>
      </c>
      <c r="D137" s="20">
        <v>3426862</v>
      </c>
      <c r="E137" s="56">
        <v>11.65</v>
      </c>
      <c r="F137" s="57">
        <v>205652</v>
      </c>
      <c r="G137" s="57">
        <v>145116</v>
      </c>
      <c r="H137" s="57">
        <v>78455</v>
      </c>
      <c r="I137" s="57">
        <v>169766</v>
      </c>
      <c r="J137" s="57">
        <v>218426</v>
      </c>
      <c r="K137" s="57">
        <v>218127</v>
      </c>
      <c r="L137" s="56">
        <v>0.14000000000000001</v>
      </c>
      <c r="M137" s="20">
        <v>668170</v>
      </c>
      <c r="N137" s="56">
        <v>3.29</v>
      </c>
      <c r="O137" s="56">
        <v>3.33</v>
      </c>
      <c r="P137" s="58">
        <v>32.700000000000003</v>
      </c>
      <c r="Q137" s="59">
        <v>44.356176183909803</v>
      </c>
      <c r="R137" s="59">
        <v>1.98383449828775</v>
      </c>
      <c r="S137" s="59">
        <v>1.40971173242013</v>
      </c>
      <c r="X137" s="2">
        <f t="shared" si="6"/>
        <v>0.55643823816090199</v>
      </c>
      <c r="Y137" s="2">
        <f>SUMIF(收盤價!A:A,A137,收盤價!C:C)</f>
        <v>51</v>
      </c>
      <c r="Z137" s="2">
        <f t="shared" si="7"/>
        <v>2184915.9000000004</v>
      </c>
      <c r="AA137" s="2">
        <f t="shared" si="8"/>
        <v>3407667</v>
      </c>
    </row>
    <row r="138" spans="1:27" ht="14.5" customHeight="1">
      <c r="A138" s="19" t="s">
        <v>4802</v>
      </c>
      <c r="B138" s="3" t="s">
        <v>6318</v>
      </c>
      <c r="C138" s="20">
        <v>1585863</v>
      </c>
      <c r="D138" s="20">
        <v>1566645</v>
      </c>
      <c r="E138" s="56">
        <v>1.23</v>
      </c>
      <c r="F138" s="57">
        <v>230086</v>
      </c>
      <c r="G138" s="57">
        <v>213871</v>
      </c>
      <c r="H138" s="57">
        <v>19471</v>
      </c>
      <c r="I138" s="57">
        <v>29755</v>
      </c>
      <c r="J138" s="57">
        <v>220831</v>
      </c>
      <c r="K138" s="57">
        <v>215343</v>
      </c>
      <c r="L138" s="56">
        <v>2.5499999999999998</v>
      </c>
      <c r="M138" s="20">
        <v>476000</v>
      </c>
      <c r="N138" s="56">
        <v>5.05</v>
      </c>
      <c r="O138" s="56">
        <v>5.22</v>
      </c>
      <c r="P138" s="58">
        <v>34.94</v>
      </c>
      <c r="Q138" s="59">
        <v>75.059702597130695</v>
      </c>
      <c r="R138" s="59">
        <v>3.0441095853261202</v>
      </c>
      <c r="S138" s="59">
        <v>2.2012428400133999</v>
      </c>
      <c r="X138" s="2">
        <f t="shared" si="6"/>
        <v>0.24940297402869305</v>
      </c>
      <c r="Y138" s="2">
        <f>SUMIF(收盤價!A:A,A138,收盤價!C:C)</f>
        <v>70.5</v>
      </c>
      <c r="Z138" s="2">
        <f t="shared" si="7"/>
        <v>1663143.9999999998</v>
      </c>
      <c r="AA138" s="2">
        <f t="shared" si="8"/>
        <v>3355800</v>
      </c>
    </row>
    <row r="139" spans="1:27" ht="14.5" customHeight="1">
      <c r="A139" s="19" t="s">
        <v>4803</v>
      </c>
      <c r="B139" s="3" t="s">
        <v>1357</v>
      </c>
      <c r="C139" s="20">
        <v>814961</v>
      </c>
      <c r="D139" s="20">
        <v>839073</v>
      </c>
      <c r="E139" s="56">
        <v>-2.87</v>
      </c>
      <c r="F139" s="57">
        <v>286064</v>
      </c>
      <c r="G139" s="57">
        <v>295425</v>
      </c>
      <c r="H139" s="57">
        <v>-1715</v>
      </c>
      <c r="I139" s="57">
        <v>22224</v>
      </c>
      <c r="J139" s="57">
        <v>221524</v>
      </c>
      <c r="K139" s="57">
        <v>240191</v>
      </c>
      <c r="L139" s="56">
        <v>-7.77</v>
      </c>
      <c r="M139" s="20">
        <v>358000</v>
      </c>
      <c r="N139" s="56">
        <v>6.74</v>
      </c>
      <c r="O139" s="56">
        <v>7.63</v>
      </c>
      <c r="P139" s="58">
        <v>55.6</v>
      </c>
      <c r="Q139" s="59">
        <v>85.135683623145596</v>
      </c>
      <c r="R139" s="59">
        <v>11.179862043904601</v>
      </c>
      <c r="S139" s="59">
        <v>3.6494773112188299</v>
      </c>
      <c r="X139" s="2">
        <f t="shared" si="6"/>
        <v>0.14864316376854403</v>
      </c>
      <c r="Y139" s="2">
        <f>SUMIF(收盤價!A:A,A139,收盤價!C:C)</f>
        <v>129.5</v>
      </c>
      <c r="Z139" s="2">
        <f t="shared" si="7"/>
        <v>1990480</v>
      </c>
      <c r="AA139" s="2">
        <f t="shared" si="8"/>
        <v>4636100</v>
      </c>
    </row>
    <row r="140" spans="1:27" ht="14.5" customHeight="1">
      <c r="A140" s="19" t="s">
        <v>4804</v>
      </c>
      <c r="B140" s="3" t="s">
        <v>1359</v>
      </c>
      <c r="C140" s="20">
        <v>2041358</v>
      </c>
      <c r="D140" s="20">
        <v>2808949</v>
      </c>
      <c r="E140" s="56">
        <v>-27.33</v>
      </c>
      <c r="F140" s="57">
        <v>19422</v>
      </c>
      <c r="G140" s="57">
        <v>277301</v>
      </c>
      <c r="H140" s="57">
        <v>25567</v>
      </c>
      <c r="I140" s="57">
        <v>26107</v>
      </c>
      <c r="J140" s="57">
        <v>34820</v>
      </c>
      <c r="K140" s="57">
        <v>240471</v>
      </c>
      <c r="L140" s="56">
        <v>-85.52</v>
      </c>
      <c r="M140" s="20">
        <v>1179083</v>
      </c>
      <c r="N140" s="56">
        <v>0.32</v>
      </c>
      <c r="O140" s="56">
        <v>2.39</v>
      </c>
      <c r="P140" s="58">
        <v>28.06</v>
      </c>
      <c r="Q140" s="59">
        <v>61.146424530181598</v>
      </c>
      <c r="R140" s="59">
        <v>1.8449906022717999</v>
      </c>
      <c r="S140" s="59">
        <v>0.71926942878156397</v>
      </c>
      <c r="X140" s="2">
        <f t="shared" si="6"/>
        <v>0.38853575469818402</v>
      </c>
      <c r="Y140" s="2">
        <f>SUMIF(收盤價!A:A,A140,收盤價!C:C)</f>
        <v>84</v>
      </c>
      <c r="Z140" s="2">
        <f t="shared" si="7"/>
        <v>3308506.8979999996</v>
      </c>
      <c r="AA140" s="2">
        <f t="shared" si="8"/>
        <v>9904297.1999999993</v>
      </c>
    </row>
    <row r="141" spans="1:27" ht="14.5" customHeight="1">
      <c r="A141" s="19" t="s">
        <v>4805</v>
      </c>
      <c r="B141" s="3" t="s">
        <v>1458</v>
      </c>
      <c r="C141" s="20">
        <v>5235312</v>
      </c>
      <c r="D141" s="20">
        <v>4614198</v>
      </c>
      <c r="E141" s="56">
        <v>13.46</v>
      </c>
      <c r="F141" s="57">
        <v>648420</v>
      </c>
      <c r="G141" s="57">
        <v>560867</v>
      </c>
      <c r="H141" s="57">
        <v>105617</v>
      </c>
      <c r="I141" s="57">
        <v>145109</v>
      </c>
      <c r="J141" s="57">
        <v>625397</v>
      </c>
      <c r="K141" s="57">
        <v>549798</v>
      </c>
      <c r="L141" s="56">
        <v>13.75</v>
      </c>
      <c r="M141" s="20">
        <v>658262</v>
      </c>
      <c r="N141" s="56">
        <v>9.5</v>
      </c>
      <c r="O141" s="56">
        <v>8.35</v>
      </c>
      <c r="P141" s="58">
        <v>46.65</v>
      </c>
      <c r="Q141" s="59">
        <v>64.802391676486394</v>
      </c>
      <c r="R141" s="59">
        <v>1.7168458581314601</v>
      </c>
      <c r="S141" s="59">
        <v>1.1231543651214499</v>
      </c>
      <c r="X141" s="2">
        <f t="shared" si="6"/>
        <v>0.35197608323513607</v>
      </c>
      <c r="Y141" s="2">
        <f>SUMIF(收盤價!A:A,A141,收盤價!C:C)</f>
        <v>122</v>
      </c>
      <c r="Z141" s="2">
        <f t="shared" si="7"/>
        <v>3070792.23</v>
      </c>
      <c r="AA141" s="2">
        <f t="shared" si="8"/>
        <v>8030796.4000000004</v>
      </c>
    </row>
    <row r="142" spans="1:27" ht="14.5" customHeight="1">
      <c r="A142" s="19" t="s">
        <v>4806</v>
      </c>
      <c r="B142" s="3" t="s">
        <v>1760</v>
      </c>
      <c r="C142" s="20">
        <v>771103</v>
      </c>
      <c r="D142" s="20">
        <v>774548</v>
      </c>
      <c r="E142" s="56">
        <v>-0.44</v>
      </c>
      <c r="F142" s="57">
        <v>45147</v>
      </c>
      <c r="G142" s="57">
        <v>41563</v>
      </c>
      <c r="H142" s="57">
        <v>10462</v>
      </c>
      <c r="I142" s="57">
        <v>16761</v>
      </c>
      <c r="J142" s="57">
        <v>44593</v>
      </c>
      <c r="K142" s="57">
        <v>47778</v>
      </c>
      <c r="L142" s="56">
        <v>-6.67</v>
      </c>
      <c r="M142" s="20">
        <v>685735</v>
      </c>
      <c r="N142" s="56">
        <v>0.65</v>
      </c>
      <c r="O142" s="56">
        <v>0.7</v>
      </c>
      <c r="P142" s="58">
        <v>13.45</v>
      </c>
      <c r="Q142" s="59">
        <v>60.887836528689597</v>
      </c>
      <c r="R142" s="59">
        <v>2.0074387916814902</v>
      </c>
      <c r="S142" s="59">
        <v>1.03351383569049</v>
      </c>
      <c r="X142" s="2">
        <f t="shared" si="6"/>
        <v>0.39112163471310402</v>
      </c>
      <c r="Y142" s="2">
        <f>SUMIF(收盤價!A:A,A142,收盤價!C:C)</f>
        <v>18.600000000000001</v>
      </c>
      <c r="Z142" s="2">
        <f t="shared" si="7"/>
        <v>922313.57499999995</v>
      </c>
      <c r="AA142" s="2">
        <f t="shared" si="8"/>
        <v>1275467.1000000001</v>
      </c>
    </row>
    <row r="143" spans="1:27" ht="14.5" customHeight="1">
      <c r="A143" s="19" t="s">
        <v>4807</v>
      </c>
      <c r="B143" s="3" t="s">
        <v>1772</v>
      </c>
      <c r="C143" s="20">
        <v>2915755</v>
      </c>
      <c r="D143" s="20">
        <v>3666125</v>
      </c>
      <c r="E143" s="56">
        <v>-20.47</v>
      </c>
      <c r="F143" s="57">
        <v>-73586</v>
      </c>
      <c r="G143" s="57">
        <v>196578</v>
      </c>
      <c r="H143" s="57">
        <v>-14557</v>
      </c>
      <c r="I143" s="57">
        <v>-21419</v>
      </c>
      <c r="J143" s="57">
        <v>-73817</v>
      </c>
      <c r="K143" s="57">
        <v>113771</v>
      </c>
      <c r="L143" s="56"/>
      <c r="M143" s="20">
        <v>1122255</v>
      </c>
      <c r="N143" s="56">
        <v>-0.78</v>
      </c>
      <c r="O143" s="56">
        <v>1.28</v>
      </c>
      <c r="P143" s="58">
        <v>17.149999999999999</v>
      </c>
      <c r="Q143" s="59">
        <v>64.166139860923295</v>
      </c>
      <c r="R143" s="59">
        <v>2.4442686148061799</v>
      </c>
      <c r="S143" s="59">
        <v>1.79863804741848</v>
      </c>
      <c r="X143" s="2">
        <f t="shared" si="6"/>
        <v>0.35833860139076706</v>
      </c>
      <c r="Y143" s="2">
        <f>SUMIF(收盤價!A:A,A143,收盤價!C:C)</f>
        <v>22.5</v>
      </c>
      <c r="Z143" s="2">
        <f t="shared" si="7"/>
        <v>1924667.325</v>
      </c>
      <c r="AA143" s="2">
        <f t="shared" si="8"/>
        <v>2525073.75</v>
      </c>
    </row>
    <row r="144" spans="1:27" ht="14.5" customHeight="1">
      <c r="A144" s="19" t="s">
        <v>4808</v>
      </c>
      <c r="B144" s="3" t="s">
        <v>1820</v>
      </c>
      <c r="C144" s="20">
        <v>2083280</v>
      </c>
      <c r="D144" s="20">
        <v>1931586</v>
      </c>
      <c r="E144" s="56">
        <v>7.85</v>
      </c>
      <c r="F144" s="57">
        <v>204035</v>
      </c>
      <c r="G144" s="57">
        <v>231102</v>
      </c>
      <c r="H144" s="57">
        <v>-4955</v>
      </c>
      <c r="I144" s="57">
        <v>52750</v>
      </c>
      <c r="J144" s="57">
        <v>158138</v>
      </c>
      <c r="K144" s="57">
        <v>229734</v>
      </c>
      <c r="L144" s="56">
        <v>-31.16</v>
      </c>
      <c r="M144" s="20">
        <v>893841</v>
      </c>
      <c r="N144" s="56">
        <v>1.77</v>
      </c>
      <c r="O144" s="56">
        <v>2.57</v>
      </c>
      <c r="P144" s="58">
        <v>20.41</v>
      </c>
      <c r="Q144" s="59">
        <v>65.719803311350603</v>
      </c>
      <c r="R144" s="59">
        <v>1.8075810035657101</v>
      </c>
      <c r="S144" s="59">
        <v>1.0173388356944799</v>
      </c>
      <c r="X144" s="2">
        <f t="shared" si="6"/>
        <v>0.34280196688649395</v>
      </c>
      <c r="Y144" s="2">
        <f>SUMIF(收盤價!A:A,A144,收盤價!C:C)</f>
        <v>52.3</v>
      </c>
      <c r="Z144" s="2">
        <f t="shared" si="7"/>
        <v>1824329.4809999999</v>
      </c>
      <c r="AA144" s="2">
        <f t="shared" si="8"/>
        <v>4674788.43</v>
      </c>
    </row>
    <row r="145" spans="1:27" ht="14.5" customHeight="1">
      <c r="A145" s="19" t="s">
        <v>4809</v>
      </c>
      <c r="B145" s="3" t="s">
        <v>308</v>
      </c>
      <c r="C145" s="20">
        <v>2714264</v>
      </c>
      <c r="D145" s="20">
        <v>2506094</v>
      </c>
      <c r="E145" s="56">
        <v>8.31</v>
      </c>
      <c r="F145" s="57">
        <v>245136</v>
      </c>
      <c r="G145" s="57">
        <v>130119</v>
      </c>
      <c r="H145" s="57">
        <v>40575</v>
      </c>
      <c r="I145" s="57">
        <v>33699</v>
      </c>
      <c r="J145" s="57">
        <v>232366</v>
      </c>
      <c r="K145" s="57">
        <v>129895</v>
      </c>
      <c r="L145" s="56">
        <v>78.89</v>
      </c>
      <c r="M145" s="20">
        <v>1916880</v>
      </c>
      <c r="N145" s="56">
        <v>1.46</v>
      </c>
      <c r="O145" s="56">
        <v>0.82</v>
      </c>
      <c r="P145" s="58">
        <v>32.24</v>
      </c>
      <c r="Q145" s="59">
        <v>63.232510805059498</v>
      </c>
      <c r="R145" s="59">
        <v>1.6591295962260799</v>
      </c>
      <c r="S145" s="59">
        <v>0.72097910703396395</v>
      </c>
      <c r="X145" s="2">
        <f t="shared" si="6"/>
        <v>0.367674891949405</v>
      </c>
      <c r="Y145" s="2">
        <f>SUMIF(收盤價!A:A,A145,收盤價!C:C)</f>
        <v>28.05</v>
      </c>
      <c r="Z145" s="2">
        <f t="shared" si="7"/>
        <v>6180021.1200000001</v>
      </c>
      <c r="AA145" s="2">
        <f t="shared" si="8"/>
        <v>5376848.4000000004</v>
      </c>
    </row>
    <row r="146" spans="1:27" ht="14.5" customHeight="1">
      <c r="A146" s="19" t="s">
        <v>4810</v>
      </c>
      <c r="B146" s="3" t="s">
        <v>310</v>
      </c>
      <c r="C146" s="20">
        <v>7116009</v>
      </c>
      <c r="D146" s="20">
        <v>7076541</v>
      </c>
      <c r="E146" s="56">
        <v>0.56000000000000005</v>
      </c>
      <c r="F146" s="57">
        <v>297795</v>
      </c>
      <c r="G146" s="57">
        <v>135758</v>
      </c>
      <c r="H146" s="57">
        <v>514010</v>
      </c>
      <c r="I146" s="57">
        <v>627433</v>
      </c>
      <c r="J146" s="57">
        <v>738963</v>
      </c>
      <c r="K146" s="57">
        <v>661816</v>
      </c>
      <c r="L146" s="56">
        <v>11.66</v>
      </c>
      <c r="M146" s="20">
        <v>3872000</v>
      </c>
      <c r="N146" s="56">
        <v>2</v>
      </c>
      <c r="O146" s="56">
        <v>1.52</v>
      </c>
      <c r="P146" s="58">
        <v>17.579999999999998</v>
      </c>
      <c r="Q146" s="59">
        <v>52.274913311552297</v>
      </c>
      <c r="R146" s="59">
        <v>1.3168057133912301</v>
      </c>
      <c r="S146" s="59">
        <v>0.65033553171344005</v>
      </c>
      <c r="X146" s="2">
        <f t="shared" si="6"/>
        <v>0.47725086688447704</v>
      </c>
      <c r="Y146" s="2">
        <f>SUMIF(收盤價!A:A,A146,收盤價!C:C)</f>
        <v>20.149999999999999</v>
      </c>
      <c r="Z146" s="2">
        <f t="shared" si="7"/>
        <v>6806976</v>
      </c>
      <c r="AA146" s="2">
        <f t="shared" si="8"/>
        <v>7802080</v>
      </c>
    </row>
    <row r="147" spans="1:27" ht="14.5" customHeight="1">
      <c r="A147" s="19" t="s">
        <v>4811</v>
      </c>
      <c r="B147" s="3" t="s">
        <v>312</v>
      </c>
      <c r="C147" s="20">
        <v>134804405</v>
      </c>
      <c r="D147" s="20">
        <v>190915137</v>
      </c>
      <c r="E147" s="56">
        <v>-29.39</v>
      </c>
      <c r="F147" s="57">
        <v>4059474</v>
      </c>
      <c r="G147" s="57">
        <v>11026209</v>
      </c>
      <c r="H147" s="57">
        <v>680793</v>
      </c>
      <c r="I147" s="57">
        <v>5644765</v>
      </c>
      <c r="J147" s="57">
        <v>3149679</v>
      </c>
      <c r="K147" s="57">
        <v>11756781</v>
      </c>
      <c r="L147" s="56">
        <v>-73.209999999999994</v>
      </c>
      <c r="M147" s="20">
        <v>33260002</v>
      </c>
      <c r="N147" s="56">
        <v>0.95</v>
      </c>
      <c r="O147" s="56">
        <v>3.53</v>
      </c>
      <c r="P147" s="58">
        <v>23.27</v>
      </c>
      <c r="Q147" s="59">
        <v>56.048640276727099</v>
      </c>
      <c r="R147" s="59">
        <v>1.49201013470769</v>
      </c>
      <c r="S147" s="59">
        <v>0.86217883354453695</v>
      </c>
      <c r="X147" s="2">
        <f t="shared" si="6"/>
        <v>0.43951359723272904</v>
      </c>
      <c r="Y147" s="2">
        <f>SUMIF(收盤價!A:A,A147,收盤價!C:C)</f>
        <v>15.4</v>
      </c>
      <c r="Z147" s="2">
        <f t="shared" si="7"/>
        <v>77396024.653999999</v>
      </c>
      <c r="AA147" s="2">
        <f t="shared" si="8"/>
        <v>51220403.079999998</v>
      </c>
    </row>
    <row r="148" spans="1:27" ht="14.5" customHeight="1">
      <c r="A148" s="19" t="s">
        <v>4812</v>
      </c>
      <c r="B148" s="3" t="s">
        <v>314</v>
      </c>
      <c r="C148" s="20">
        <v>7832617</v>
      </c>
      <c r="D148" s="20">
        <v>8560093</v>
      </c>
      <c r="E148" s="56">
        <v>-8.5</v>
      </c>
      <c r="F148" s="57">
        <v>-76578</v>
      </c>
      <c r="G148" s="57">
        <v>157060</v>
      </c>
      <c r="H148" s="57">
        <v>740402</v>
      </c>
      <c r="I148" s="57">
        <v>-703311</v>
      </c>
      <c r="J148" s="57">
        <v>792653</v>
      </c>
      <c r="K148" s="57">
        <v>-617703</v>
      </c>
      <c r="L148" s="56"/>
      <c r="M148" s="20">
        <v>6327735</v>
      </c>
      <c r="N148" s="56">
        <v>1.87</v>
      </c>
      <c r="O148" s="56">
        <v>-1.46</v>
      </c>
      <c r="P148" s="58">
        <v>16.13</v>
      </c>
      <c r="Q148" s="59">
        <v>55.6074954359906</v>
      </c>
      <c r="R148" s="59">
        <v>1.6159576657268699</v>
      </c>
      <c r="S148" s="59">
        <v>0.78797594889365197</v>
      </c>
      <c r="X148" s="2">
        <f t="shared" si="6"/>
        <v>0.443925045640094</v>
      </c>
      <c r="Y148" s="2">
        <f>SUMIF(收盤價!A:A,A148,收盤價!C:C)</f>
        <v>9.9499999999999993</v>
      </c>
      <c r="Z148" s="2">
        <f t="shared" si="7"/>
        <v>10206636.555</v>
      </c>
      <c r="AA148" s="2">
        <f t="shared" si="8"/>
        <v>6296096.3249999993</v>
      </c>
    </row>
    <row r="149" spans="1:27" ht="14.5" customHeight="1">
      <c r="A149" s="19" t="s">
        <v>4813</v>
      </c>
      <c r="B149" s="3" t="s">
        <v>316</v>
      </c>
      <c r="C149" s="20">
        <v>18153101</v>
      </c>
      <c r="D149" s="20">
        <v>18577212</v>
      </c>
      <c r="E149" s="56">
        <v>-2.2799999999999998</v>
      </c>
      <c r="F149" s="57">
        <v>305922</v>
      </c>
      <c r="G149" s="57">
        <v>342359</v>
      </c>
      <c r="H149" s="57">
        <v>421837</v>
      </c>
      <c r="I149" s="57">
        <v>348184</v>
      </c>
      <c r="J149" s="57">
        <v>505047</v>
      </c>
      <c r="K149" s="57">
        <v>471252</v>
      </c>
      <c r="L149" s="56">
        <v>7.17</v>
      </c>
      <c r="M149" s="20">
        <v>5950680</v>
      </c>
      <c r="N149" s="56">
        <v>0.86</v>
      </c>
      <c r="O149" s="56">
        <v>0.8</v>
      </c>
      <c r="P149" s="58">
        <v>12.09</v>
      </c>
      <c r="Q149" s="59">
        <v>34.112737570126399</v>
      </c>
      <c r="R149" s="59">
        <v>1.34418413815658</v>
      </c>
      <c r="S149" s="59">
        <v>0.78213201278228905</v>
      </c>
      <c r="X149" s="2">
        <f t="shared" si="6"/>
        <v>0.65887262429873605</v>
      </c>
      <c r="Y149" s="2">
        <f>SUMIF(收盤價!A:A,A149,收盤價!C:C)</f>
        <v>11.4</v>
      </c>
      <c r="Z149" s="2">
        <f t="shared" si="7"/>
        <v>7194372.1200000001</v>
      </c>
      <c r="AA149" s="2">
        <f t="shared" si="8"/>
        <v>6783775.2000000002</v>
      </c>
    </row>
    <row r="150" spans="1:27" ht="14.5" customHeight="1">
      <c r="A150" s="21" t="s">
        <v>4814</v>
      </c>
      <c r="B150" s="22" t="s">
        <v>318</v>
      </c>
      <c r="C150" s="23">
        <v>2354491</v>
      </c>
      <c r="D150" s="23">
        <v>2351604</v>
      </c>
      <c r="E150" s="60">
        <v>0.12</v>
      </c>
      <c r="F150" s="61">
        <v>-14891</v>
      </c>
      <c r="G150" s="61">
        <v>-111997</v>
      </c>
      <c r="H150" s="61">
        <v>824826</v>
      </c>
      <c r="I150" s="61">
        <v>137225</v>
      </c>
      <c r="J150" s="61">
        <v>762742</v>
      </c>
      <c r="K150" s="61">
        <v>67702</v>
      </c>
      <c r="L150" s="60">
        <v>1026.6199999999999</v>
      </c>
      <c r="M150" s="23">
        <v>3585953</v>
      </c>
      <c r="N150" s="60">
        <v>1.94</v>
      </c>
      <c r="O150" s="60">
        <v>0.17</v>
      </c>
      <c r="P150" s="62">
        <v>13.58</v>
      </c>
      <c r="Q150" s="63">
        <v>77.409933450328097</v>
      </c>
      <c r="R150" s="63">
        <v>2.1526672024665201</v>
      </c>
      <c r="S150" s="63">
        <v>1.09900866191706</v>
      </c>
      <c r="X150" s="2">
        <f t="shared" si="6"/>
        <v>0.22590066549671903</v>
      </c>
      <c r="Y150" s="2">
        <f>SUMIF(收盤價!A:A,A150,收盤價!C:C)</f>
        <v>11.1</v>
      </c>
      <c r="Z150" s="2">
        <f t="shared" si="7"/>
        <v>4869724.1740000006</v>
      </c>
      <c r="AA150" s="2">
        <f t="shared" si="8"/>
        <v>3980407.8299999996</v>
      </c>
    </row>
    <row r="151" spans="1:27" ht="14.5" customHeight="1">
      <c r="A151" s="24" t="s">
        <v>4815</v>
      </c>
      <c r="B151" s="25" t="s">
        <v>320</v>
      </c>
      <c r="C151" s="26">
        <v>3504313</v>
      </c>
      <c r="D151" s="26">
        <v>3872831</v>
      </c>
      <c r="E151" s="64">
        <v>-9.52</v>
      </c>
      <c r="F151" s="65">
        <v>27626</v>
      </c>
      <c r="G151" s="65">
        <v>180539</v>
      </c>
      <c r="H151" s="65">
        <v>201524</v>
      </c>
      <c r="I151" s="65">
        <v>-23429</v>
      </c>
      <c r="J151" s="65">
        <v>201699</v>
      </c>
      <c r="K151" s="65">
        <v>122629</v>
      </c>
      <c r="L151" s="64">
        <v>64.48</v>
      </c>
      <c r="M151" s="26">
        <v>3160801</v>
      </c>
      <c r="N151" s="64">
        <v>0.64</v>
      </c>
      <c r="O151" s="64">
        <v>0.39</v>
      </c>
      <c r="P151" s="66">
        <v>14.73</v>
      </c>
      <c r="Q151" s="67">
        <v>79.659951033852394</v>
      </c>
      <c r="R151" s="67">
        <v>3.0360563124182698</v>
      </c>
      <c r="S151" s="67">
        <v>1.6712148906322499</v>
      </c>
      <c r="X151" s="2">
        <f t="shared" si="6"/>
        <v>0.20340048966147606</v>
      </c>
      <c r="Y151" s="2">
        <f>SUMIF(收盤價!A:A,A151,收盤價!C:C)</f>
        <v>10.9</v>
      </c>
      <c r="Z151" s="2">
        <f t="shared" si="7"/>
        <v>4655859.8730000006</v>
      </c>
      <c r="AA151" s="2">
        <f t="shared" si="8"/>
        <v>3445273.09</v>
      </c>
    </row>
    <row r="152" spans="1:27" ht="14.5" customHeight="1">
      <c r="A152" s="19" t="s">
        <v>4816</v>
      </c>
      <c r="B152" s="3" t="s">
        <v>322</v>
      </c>
      <c r="C152" s="20">
        <v>5201892</v>
      </c>
      <c r="D152" s="20">
        <v>4966292</v>
      </c>
      <c r="E152" s="56">
        <v>4.74</v>
      </c>
      <c r="F152" s="57">
        <v>266762</v>
      </c>
      <c r="G152" s="57">
        <v>249769</v>
      </c>
      <c r="H152" s="57">
        <v>15844</v>
      </c>
      <c r="I152" s="57">
        <v>1584</v>
      </c>
      <c r="J152" s="57">
        <v>247046</v>
      </c>
      <c r="K152" s="57">
        <v>201323</v>
      </c>
      <c r="L152" s="56">
        <v>22.71</v>
      </c>
      <c r="M152" s="20">
        <v>2691134</v>
      </c>
      <c r="N152" s="56">
        <v>0.95</v>
      </c>
      <c r="O152" s="56">
        <v>0.78</v>
      </c>
      <c r="P152" s="58">
        <v>20.05</v>
      </c>
      <c r="Q152" s="59">
        <v>81.8325600297498</v>
      </c>
      <c r="R152" s="59">
        <v>2.75315155946913</v>
      </c>
      <c r="S152" s="59">
        <v>0.84068441786095305</v>
      </c>
      <c r="X152" s="2">
        <f t="shared" si="6"/>
        <v>0.18167439970250199</v>
      </c>
      <c r="Y152" s="2">
        <f>SUMIF(收盤價!A:A,A152,收盤價!C:C)</f>
        <v>31.3</v>
      </c>
      <c r="Z152" s="2">
        <f t="shared" si="7"/>
        <v>5395723.6699999999</v>
      </c>
      <c r="AA152" s="2">
        <f t="shared" si="8"/>
        <v>8423249.4199999999</v>
      </c>
    </row>
    <row r="153" spans="1:27" ht="14.5" customHeight="1">
      <c r="A153" s="19" t="s">
        <v>4817</v>
      </c>
      <c r="B153" s="3" t="s">
        <v>324</v>
      </c>
      <c r="C153" s="20">
        <v>3147294</v>
      </c>
      <c r="D153" s="20">
        <v>3369060</v>
      </c>
      <c r="E153" s="56">
        <v>-6.58</v>
      </c>
      <c r="F153" s="57">
        <v>297228</v>
      </c>
      <c r="G153" s="57">
        <v>227569</v>
      </c>
      <c r="H153" s="57">
        <v>7515</v>
      </c>
      <c r="I153" s="57">
        <v>9523</v>
      </c>
      <c r="J153" s="57">
        <v>244323</v>
      </c>
      <c r="K153" s="57">
        <v>196605</v>
      </c>
      <c r="L153" s="56">
        <v>24.27</v>
      </c>
      <c r="M153" s="20">
        <v>1118618</v>
      </c>
      <c r="N153" s="56">
        <v>2.1800000000000002</v>
      </c>
      <c r="O153" s="56">
        <v>1.76</v>
      </c>
      <c r="P153" s="58">
        <v>16.18</v>
      </c>
      <c r="Q153" s="59">
        <v>64.649456854675805</v>
      </c>
      <c r="R153" s="59">
        <v>2.15823522847738</v>
      </c>
      <c r="S153" s="59">
        <v>0.97318389778496905</v>
      </c>
      <c r="X153" s="2">
        <f t="shared" si="6"/>
        <v>0.35350543145324198</v>
      </c>
      <c r="Y153" s="2">
        <f>SUMIF(收盤價!A:A,A153,收盤價!C:C)</f>
        <v>17.850000000000001</v>
      </c>
      <c r="Z153" s="2">
        <f t="shared" si="7"/>
        <v>1809923.9239999999</v>
      </c>
      <c r="AA153" s="2">
        <f t="shared" si="8"/>
        <v>1996733.1300000001</v>
      </c>
    </row>
    <row r="154" spans="1:27" ht="14.5" customHeight="1">
      <c r="A154" s="19" t="s">
        <v>4818</v>
      </c>
      <c r="B154" s="3" t="s">
        <v>326</v>
      </c>
      <c r="C154" s="20">
        <v>3152646</v>
      </c>
      <c r="D154" s="20">
        <v>3062760</v>
      </c>
      <c r="E154" s="56">
        <v>2.93</v>
      </c>
      <c r="F154" s="57">
        <v>-65765</v>
      </c>
      <c r="G154" s="57">
        <v>23544</v>
      </c>
      <c r="H154" s="57">
        <v>7950</v>
      </c>
      <c r="I154" s="57">
        <v>2253</v>
      </c>
      <c r="J154" s="57">
        <v>-58185</v>
      </c>
      <c r="K154" s="57">
        <v>10481</v>
      </c>
      <c r="L154" s="56"/>
      <c r="M154" s="20">
        <v>1941485</v>
      </c>
      <c r="N154" s="56">
        <v>-0.31</v>
      </c>
      <c r="O154" s="56">
        <v>0.06</v>
      </c>
      <c r="P154" s="58">
        <v>8.11</v>
      </c>
      <c r="Q154" s="59">
        <v>53.049055616296201</v>
      </c>
      <c r="R154" s="59">
        <v>1.54196956359764</v>
      </c>
      <c r="S154" s="59">
        <v>0.47494156355807898</v>
      </c>
      <c r="X154" s="2">
        <f t="shared" si="6"/>
        <v>0.46950944383703797</v>
      </c>
      <c r="Y154" s="2">
        <f>SUMIF(收盤價!A:A,A154,收盤價!C:C)</f>
        <v>4.8600000000000003</v>
      </c>
      <c r="Z154" s="2">
        <f t="shared" si="7"/>
        <v>1574544.335</v>
      </c>
      <c r="AA154" s="2">
        <f t="shared" si="8"/>
        <v>943561.7100000002</v>
      </c>
    </row>
    <row r="155" spans="1:27" ht="14.5" customHeight="1">
      <c r="A155" s="19" t="s">
        <v>4819</v>
      </c>
      <c r="B155" s="3" t="s">
        <v>328</v>
      </c>
      <c r="C155" s="20">
        <v>2908588</v>
      </c>
      <c r="D155" s="20">
        <v>3614436</v>
      </c>
      <c r="E155" s="56">
        <v>-19.53</v>
      </c>
      <c r="F155" s="57">
        <v>93488</v>
      </c>
      <c r="G155" s="57">
        <v>195691</v>
      </c>
      <c r="H155" s="57">
        <v>35804</v>
      </c>
      <c r="I155" s="57">
        <v>67036</v>
      </c>
      <c r="J155" s="57">
        <v>89037</v>
      </c>
      <c r="K155" s="57">
        <v>216681</v>
      </c>
      <c r="L155" s="56">
        <v>-58.91</v>
      </c>
      <c r="M155" s="20">
        <v>1442332</v>
      </c>
      <c r="N155" s="56">
        <v>0.62</v>
      </c>
      <c r="O155" s="56">
        <v>1.5</v>
      </c>
      <c r="P155" s="58">
        <v>11.65</v>
      </c>
      <c r="Q155" s="59">
        <v>61.828249855173702</v>
      </c>
      <c r="R155" s="59">
        <v>1.7774749742676299</v>
      </c>
      <c r="S155" s="59">
        <v>1.4741039001210601</v>
      </c>
      <c r="X155" s="2">
        <f t="shared" si="6"/>
        <v>0.381717501448263</v>
      </c>
      <c r="Y155" s="2">
        <f>SUMIF(收盤價!A:A,A155,收盤價!C:C)</f>
        <v>12.15</v>
      </c>
      <c r="Z155" s="2">
        <f t="shared" si="7"/>
        <v>1680316.78</v>
      </c>
      <c r="AA155" s="2">
        <f t="shared" si="8"/>
        <v>1752433.3800000001</v>
      </c>
    </row>
    <row r="156" spans="1:27" ht="14.5" customHeight="1">
      <c r="A156" s="19" t="s">
        <v>4820</v>
      </c>
      <c r="B156" s="3" t="s">
        <v>330</v>
      </c>
      <c r="C156" s="20">
        <v>2757736</v>
      </c>
      <c r="D156" s="20">
        <v>2119659</v>
      </c>
      <c r="E156" s="56">
        <v>30.1</v>
      </c>
      <c r="F156" s="57">
        <v>59080</v>
      </c>
      <c r="G156" s="57">
        <v>9193</v>
      </c>
      <c r="H156" s="57">
        <v>22337</v>
      </c>
      <c r="I156" s="57">
        <v>7698</v>
      </c>
      <c r="J156" s="57">
        <v>67942</v>
      </c>
      <c r="K156" s="57">
        <v>-10487</v>
      </c>
      <c r="L156" s="56"/>
      <c r="M156" s="20">
        <v>2408647</v>
      </c>
      <c r="N156" s="56">
        <v>0.28000000000000003</v>
      </c>
      <c r="O156" s="56">
        <v>-0.04</v>
      </c>
      <c r="P156" s="58">
        <v>17.059999999999999</v>
      </c>
      <c r="Q156" s="59">
        <v>88.730267003430498</v>
      </c>
      <c r="R156" s="59">
        <v>5.4680883424017797</v>
      </c>
      <c r="S156" s="59">
        <v>3.2609656827042501</v>
      </c>
      <c r="X156" s="2">
        <f t="shared" si="6"/>
        <v>0.11269732996569502</v>
      </c>
      <c r="Y156" s="2">
        <f>SUMIF(收盤價!A:A,A156,收盤價!C:C)</f>
        <v>9.36</v>
      </c>
      <c r="Z156" s="2">
        <f t="shared" si="7"/>
        <v>4109151.7820000001</v>
      </c>
      <c r="AA156" s="2">
        <f t="shared" si="8"/>
        <v>2254493.5919999997</v>
      </c>
    </row>
    <row r="157" spans="1:27" ht="14.5" customHeight="1">
      <c r="A157" s="19" t="s">
        <v>4821</v>
      </c>
      <c r="B157" s="3" t="s">
        <v>332</v>
      </c>
      <c r="C157" s="20">
        <v>10142781</v>
      </c>
      <c r="D157" s="20">
        <v>10614940</v>
      </c>
      <c r="E157" s="56">
        <v>-4.45</v>
      </c>
      <c r="F157" s="57">
        <v>289876</v>
      </c>
      <c r="G157" s="57">
        <v>68437</v>
      </c>
      <c r="H157" s="57">
        <v>32948</v>
      </c>
      <c r="I157" s="57">
        <v>3830</v>
      </c>
      <c r="J157" s="57">
        <v>251919</v>
      </c>
      <c r="K157" s="57">
        <v>-14599</v>
      </c>
      <c r="L157" s="56"/>
      <c r="M157" s="20">
        <v>1368506</v>
      </c>
      <c r="N157" s="56">
        <v>2.0499999999999998</v>
      </c>
      <c r="O157" s="56">
        <v>-0.12</v>
      </c>
      <c r="P157" s="58">
        <v>21.88</v>
      </c>
      <c r="Q157" s="59">
        <v>33.634418812414197</v>
      </c>
      <c r="R157" s="59">
        <v>1.0428918895111701</v>
      </c>
      <c r="S157" s="59">
        <v>0.44631233272770199</v>
      </c>
      <c r="X157" s="2">
        <f t="shared" si="6"/>
        <v>0.66365581187585798</v>
      </c>
      <c r="Y157" s="2">
        <f>SUMIF(收盤價!A:A,A157,收盤價!C:C)</f>
        <v>29.25</v>
      </c>
      <c r="Z157" s="2">
        <f t="shared" si="7"/>
        <v>2994291.1279999996</v>
      </c>
      <c r="AA157" s="2">
        <f t="shared" si="8"/>
        <v>4002880.05</v>
      </c>
    </row>
    <row r="158" spans="1:27" ht="14.5" customHeight="1">
      <c r="A158" s="19" t="s">
        <v>4822</v>
      </c>
      <c r="B158" s="3" t="s">
        <v>1399</v>
      </c>
      <c r="C158" s="20">
        <v>11067863</v>
      </c>
      <c r="D158" s="20">
        <v>11061171</v>
      </c>
      <c r="E158" s="56">
        <v>0.06</v>
      </c>
      <c r="F158" s="57">
        <v>268741</v>
      </c>
      <c r="G158" s="57">
        <v>-327418</v>
      </c>
      <c r="H158" s="57">
        <v>269380</v>
      </c>
      <c r="I158" s="57">
        <v>110012</v>
      </c>
      <c r="J158" s="57">
        <v>61664</v>
      </c>
      <c r="K158" s="57">
        <v>-198531</v>
      </c>
      <c r="L158" s="56"/>
      <c r="M158" s="20">
        <v>1343000</v>
      </c>
      <c r="N158" s="56">
        <v>0.46</v>
      </c>
      <c r="O158" s="56">
        <v>-1.48</v>
      </c>
      <c r="P158" s="58">
        <v>26.88</v>
      </c>
      <c r="Q158" s="59">
        <v>27.071208334914498</v>
      </c>
      <c r="R158" s="59">
        <v>2.0604046000779102</v>
      </c>
      <c r="S158" s="59">
        <v>1.7809279032318699</v>
      </c>
      <c r="X158" s="2">
        <f t="shared" si="6"/>
        <v>0.72928791665085502</v>
      </c>
      <c r="Y158" s="2">
        <f>SUMIF(收盤價!A:A,A158,收盤價!C:C)</f>
        <v>10.85</v>
      </c>
      <c r="Z158" s="2">
        <f t="shared" si="7"/>
        <v>3609984</v>
      </c>
      <c r="AA158" s="2">
        <f t="shared" si="8"/>
        <v>1457155</v>
      </c>
    </row>
    <row r="159" spans="1:27" ht="14.5" customHeight="1">
      <c r="A159" s="19" t="s">
        <v>4823</v>
      </c>
      <c r="B159" s="3" t="s">
        <v>1452</v>
      </c>
      <c r="C159" s="20">
        <v>5786439</v>
      </c>
      <c r="D159" s="20">
        <v>5326108</v>
      </c>
      <c r="E159" s="56">
        <v>8.64</v>
      </c>
      <c r="F159" s="57">
        <v>946242</v>
      </c>
      <c r="G159" s="57">
        <v>968931</v>
      </c>
      <c r="H159" s="57">
        <v>25820</v>
      </c>
      <c r="I159" s="57">
        <v>55377</v>
      </c>
      <c r="J159" s="57">
        <v>774334</v>
      </c>
      <c r="K159" s="57">
        <v>809969</v>
      </c>
      <c r="L159" s="56">
        <v>-4.4000000000000004</v>
      </c>
      <c r="M159" s="20">
        <v>760004</v>
      </c>
      <c r="N159" s="56">
        <v>10.73</v>
      </c>
      <c r="O159" s="56">
        <v>12.13</v>
      </c>
      <c r="P159" s="58">
        <v>49.79</v>
      </c>
      <c r="Q159" s="59">
        <v>68.538379874839904</v>
      </c>
      <c r="R159" s="59">
        <v>2.2411169524999499</v>
      </c>
      <c r="S159" s="59">
        <v>1.21527601009363</v>
      </c>
      <c r="X159" s="2">
        <f t="shared" si="6"/>
        <v>0.31461620125160095</v>
      </c>
      <c r="Y159" s="2">
        <f>SUMIF(收盤價!A:A,A159,收盤價!C:C)</f>
        <v>108</v>
      </c>
      <c r="Z159" s="2">
        <f t="shared" si="7"/>
        <v>3784059.9159999997</v>
      </c>
      <c r="AA159" s="2">
        <f t="shared" si="8"/>
        <v>8208043.2000000002</v>
      </c>
    </row>
    <row r="160" spans="1:27" ht="14.5" customHeight="1">
      <c r="A160" s="19" t="s">
        <v>4824</v>
      </c>
      <c r="B160" s="3" t="s">
        <v>406</v>
      </c>
      <c r="C160" s="20">
        <v>41775507</v>
      </c>
      <c r="D160" s="20">
        <v>46091494</v>
      </c>
      <c r="E160" s="56">
        <v>-9.36</v>
      </c>
      <c r="F160" s="57">
        <v>-1169121</v>
      </c>
      <c r="G160" s="57">
        <v>2323574</v>
      </c>
      <c r="H160" s="57">
        <v>-131302</v>
      </c>
      <c r="I160" s="57">
        <v>-768909</v>
      </c>
      <c r="J160" s="57">
        <v>-1448450</v>
      </c>
      <c r="K160" s="57">
        <v>1066286</v>
      </c>
      <c r="L160" s="56"/>
      <c r="M160" s="20">
        <v>29080608</v>
      </c>
      <c r="N160" s="56">
        <v>-0.5</v>
      </c>
      <c r="O160" s="56">
        <v>0.37</v>
      </c>
      <c r="P160" s="58">
        <v>13.81</v>
      </c>
      <c r="Q160" s="59">
        <v>45.994085711186898</v>
      </c>
      <c r="R160" s="59">
        <v>1.0459174481487501</v>
      </c>
      <c r="S160" s="59">
        <v>0.67774103242360195</v>
      </c>
      <c r="X160" s="2">
        <f t="shared" si="6"/>
        <v>0.54005914288813106</v>
      </c>
      <c r="Y160" s="2">
        <f>SUMIF(收盤價!A:A,A160,收盤價!C:C)</f>
        <v>11.4</v>
      </c>
      <c r="Z160" s="2">
        <f t="shared" si="7"/>
        <v>40160319.648000002</v>
      </c>
      <c r="AA160" s="2">
        <f t="shared" si="8"/>
        <v>33151893.119999997</v>
      </c>
    </row>
    <row r="161" spans="1:27" ht="14.5" customHeight="1">
      <c r="A161" s="19" t="s">
        <v>4825</v>
      </c>
      <c r="B161" s="3" t="s">
        <v>410</v>
      </c>
      <c r="C161" s="20">
        <v>4730243</v>
      </c>
      <c r="D161" s="20">
        <v>5026376</v>
      </c>
      <c r="E161" s="56">
        <v>-5.89</v>
      </c>
      <c r="F161" s="57">
        <v>-306763</v>
      </c>
      <c r="G161" s="57">
        <v>-403913</v>
      </c>
      <c r="H161" s="57">
        <v>-111611</v>
      </c>
      <c r="I161" s="57">
        <v>-158580</v>
      </c>
      <c r="J161" s="57">
        <v>-425190</v>
      </c>
      <c r="K161" s="57">
        <v>-572683</v>
      </c>
      <c r="L161" s="56"/>
      <c r="M161" s="20">
        <v>4337821</v>
      </c>
      <c r="N161" s="56">
        <v>-0.98</v>
      </c>
      <c r="O161" s="56">
        <v>-1.32</v>
      </c>
      <c r="P161" s="58">
        <v>13.68</v>
      </c>
      <c r="Q161" s="59">
        <v>59.8518656025634</v>
      </c>
      <c r="R161" s="59">
        <v>1.9658959990659199</v>
      </c>
      <c r="S161" s="59">
        <v>1.07376632898928</v>
      </c>
      <c r="X161" s="2">
        <f t="shared" si="6"/>
        <v>0.40148134397436602</v>
      </c>
      <c r="Y161" s="2">
        <f>SUMIF(收盤價!A:A,A161,收盤價!C:C)</f>
        <v>6.79</v>
      </c>
      <c r="Z161" s="2">
        <f t="shared" si="7"/>
        <v>5934139.1280000005</v>
      </c>
      <c r="AA161" s="2">
        <f t="shared" si="8"/>
        <v>2945380.4589999998</v>
      </c>
    </row>
    <row r="162" spans="1:27" ht="14.5" customHeight="1">
      <c r="A162" s="19" t="s">
        <v>4826</v>
      </c>
      <c r="B162" s="3" t="s">
        <v>414</v>
      </c>
      <c r="C162" s="20">
        <v>2276913</v>
      </c>
      <c r="D162" s="20">
        <v>2477483</v>
      </c>
      <c r="E162" s="56">
        <v>-8.1</v>
      </c>
      <c r="F162" s="57">
        <v>-99858</v>
      </c>
      <c r="G162" s="57">
        <v>-23206</v>
      </c>
      <c r="H162" s="57">
        <v>9406</v>
      </c>
      <c r="I162" s="57">
        <v>13057</v>
      </c>
      <c r="J162" s="57">
        <v>-40763</v>
      </c>
      <c r="K162" s="57">
        <v>56</v>
      </c>
      <c r="L162" s="56"/>
      <c r="M162" s="20">
        <v>1670419</v>
      </c>
      <c r="N162" s="56">
        <v>-0.24</v>
      </c>
      <c r="O162" s="56">
        <v>0</v>
      </c>
      <c r="P162" s="58">
        <v>18</v>
      </c>
      <c r="Q162" s="59">
        <v>65.583768148313098</v>
      </c>
      <c r="R162" s="59">
        <v>3.3670421011407101</v>
      </c>
      <c r="S162" s="59">
        <v>2.1668065977620601</v>
      </c>
      <c r="X162" s="2">
        <f t="shared" si="6"/>
        <v>0.34416231851686901</v>
      </c>
      <c r="Y162" s="2">
        <f>SUMIF(收盤價!A:A,A162,收盤價!C:C)</f>
        <v>11.85</v>
      </c>
      <c r="Z162" s="2">
        <f t="shared" si="7"/>
        <v>3006754.2</v>
      </c>
      <c r="AA162" s="2">
        <f t="shared" si="8"/>
        <v>1979446.5149999999</v>
      </c>
    </row>
    <row r="163" spans="1:27" ht="14.5" customHeight="1">
      <c r="A163" s="19" t="s">
        <v>4827</v>
      </c>
      <c r="B163" s="3" t="s">
        <v>416</v>
      </c>
      <c r="C163" s="20">
        <v>5526252</v>
      </c>
      <c r="D163" s="20">
        <v>5466174</v>
      </c>
      <c r="E163" s="56">
        <v>1.1000000000000001</v>
      </c>
      <c r="F163" s="57">
        <v>78837</v>
      </c>
      <c r="G163" s="57">
        <v>2011</v>
      </c>
      <c r="H163" s="57">
        <v>10861</v>
      </c>
      <c r="I163" s="57">
        <v>-3768</v>
      </c>
      <c r="J163" s="57">
        <v>47916</v>
      </c>
      <c r="K163" s="57">
        <v>-65536</v>
      </c>
      <c r="L163" s="56"/>
      <c r="M163" s="20">
        <v>3698536</v>
      </c>
      <c r="N163" s="56">
        <v>0.13</v>
      </c>
      <c r="O163" s="56">
        <v>-0.18</v>
      </c>
      <c r="P163" s="58">
        <v>15.31</v>
      </c>
      <c r="Q163" s="59">
        <v>51.650375250217202</v>
      </c>
      <c r="R163" s="59">
        <v>1.23503860087393</v>
      </c>
      <c r="S163" s="59">
        <v>0.65574645587220703</v>
      </c>
      <c r="X163" s="2">
        <f t="shared" si="6"/>
        <v>0.48349624749782799</v>
      </c>
      <c r="Y163" s="2">
        <f>SUMIF(收盤價!A:A,A163,收盤價!C:C)</f>
        <v>8.32</v>
      </c>
      <c r="Z163" s="2">
        <f t="shared" si="7"/>
        <v>5662458.6160000004</v>
      </c>
      <c r="AA163" s="2">
        <f t="shared" si="8"/>
        <v>3077181.952</v>
      </c>
    </row>
    <row r="164" spans="1:27" ht="14.5" customHeight="1">
      <c r="A164" s="19" t="s">
        <v>4828</v>
      </c>
      <c r="B164" s="3" t="s">
        <v>418</v>
      </c>
      <c r="C164" s="20">
        <v>2334926</v>
      </c>
      <c r="D164" s="20">
        <v>2293113</v>
      </c>
      <c r="E164" s="56">
        <v>1.82</v>
      </c>
      <c r="F164" s="57">
        <v>246713</v>
      </c>
      <c r="G164" s="57">
        <v>348253</v>
      </c>
      <c r="H164" s="57">
        <v>-1170</v>
      </c>
      <c r="I164" s="57">
        <v>9015</v>
      </c>
      <c r="J164" s="57">
        <v>179851</v>
      </c>
      <c r="K164" s="57">
        <v>254011</v>
      </c>
      <c r="L164" s="56">
        <v>-29.2</v>
      </c>
      <c r="M164" s="20">
        <v>726000</v>
      </c>
      <c r="N164" s="56">
        <v>2.48</v>
      </c>
      <c r="O164" s="56">
        <v>3.5</v>
      </c>
      <c r="P164" s="58">
        <v>23.32</v>
      </c>
      <c r="Q164" s="59">
        <v>66.979535246172404</v>
      </c>
      <c r="R164" s="59">
        <v>1.8086832943709099</v>
      </c>
      <c r="S164" s="59">
        <v>0.81762390891202297</v>
      </c>
      <c r="X164" s="2">
        <f t="shared" si="6"/>
        <v>0.33020464753827594</v>
      </c>
      <c r="Y164" s="2">
        <f>SUMIF(收盤價!A:A,A164,收盤價!C:C)</f>
        <v>35.65</v>
      </c>
      <c r="Z164" s="2">
        <f t="shared" si="7"/>
        <v>1693032</v>
      </c>
      <c r="AA164" s="2">
        <f t="shared" si="8"/>
        <v>2588190</v>
      </c>
    </row>
    <row r="165" spans="1:27" ht="14.5" customHeight="1">
      <c r="A165" s="19" t="s">
        <v>4829</v>
      </c>
      <c r="B165" s="3" t="s">
        <v>420</v>
      </c>
      <c r="C165" s="20">
        <v>4763611</v>
      </c>
      <c r="D165" s="20">
        <v>3281454</v>
      </c>
      <c r="E165" s="56">
        <v>45.17</v>
      </c>
      <c r="F165" s="57">
        <v>468096</v>
      </c>
      <c r="G165" s="57">
        <v>287891</v>
      </c>
      <c r="H165" s="57">
        <v>144634</v>
      </c>
      <c r="I165" s="57">
        <v>290912</v>
      </c>
      <c r="J165" s="57">
        <v>375133</v>
      </c>
      <c r="K165" s="57">
        <v>413841</v>
      </c>
      <c r="L165" s="56">
        <v>-9.35</v>
      </c>
      <c r="M165" s="20">
        <v>4020005</v>
      </c>
      <c r="N165" s="56">
        <v>0.93</v>
      </c>
      <c r="O165" s="56">
        <v>1.03</v>
      </c>
      <c r="P165" s="58">
        <v>15.73</v>
      </c>
      <c r="Q165" s="59">
        <v>67.292110674514504</v>
      </c>
      <c r="R165" s="59">
        <v>3.39834636555211</v>
      </c>
      <c r="S165" s="59">
        <v>1.8168570515990199</v>
      </c>
      <c r="X165" s="2">
        <f t="shared" si="6"/>
        <v>0.32707889325485495</v>
      </c>
      <c r="Y165" s="2">
        <f>SUMIF(收盤價!A:A,A165,收盤價!C:C)</f>
        <v>19.95</v>
      </c>
      <c r="Z165" s="2">
        <f t="shared" si="7"/>
        <v>6323467.8650000002</v>
      </c>
      <c r="AA165" s="2">
        <f t="shared" si="8"/>
        <v>8019909.9749999996</v>
      </c>
    </row>
    <row r="166" spans="1:27" ht="14.5" customHeight="1">
      <c r="A166" s="19" t="s">
        <v>4830</v>
      </c>
      <c r="B166" s="3" t="s">
        <v>422</v>
      </c>
      <c r="C166" s="20">
        <v>169454</v>
      </c>
      <c r="D166" s="20">
        <v>218526</v>
      </c>
      <c r="E166" s="56">
        <v>-22.46</v>
      </c>
      <c r="F166" s="57">
        <v>-184403</v>
      </c>
      <c r="G166" s="57">
        <v>-171908</v>
      </c>
      <c r="H166" s="57">
        <v>4869</v>
      </c>
      <c r="I166" s="57">
        <v>5627</v>
      </c>
      <c r="J166" s="57">
        <v>-179534</v>
      </c>
      <c r="K166" s="57">
        <v>-166806</v>
      </c>
      <c r="L166" s="56"/>
      <c r="M166" s="20">
        <v>2600391</v>
      </c>
      <c r="N166" s="56">
        <v>-0.69</v>
      </c>
      <c r="O166" s="56">
        <v>-0.64</v>
      </c>
      <c r="P166" s="58">
        <v>9.69</v>
      </c>
      <c r="Q166" s="59">
        <v>38.254233966368098</v>
      </c>
      <c r="R166" s="59">
        <v>0.34866948175958201</v>
      </c>
      <c r="S166" s="59">
        <v>7.4434097100345695E-2</v>
      </c>
      <c r="X166" s="2">
        <f t="shared" si="6"/>
        <v>0.61745766033631899</v>
      </c>
      <c r="Y166" s="2">
        <f>SUMIF(收盤價!A:A,A166,收盤價!C:C)</f>
        <v>33.9</v>
      </c>
      <c r="Z166" s="2">
        <f t="shared" si="7"/>
        <v>2519778.8789999997</v>
      </c>
      <c r="AA166" s="2">
        <f t="shared" si="8"/>
        <v>8815325.4899999984</v>
      </c>
    </row>
    <row r="167" spans="1:27" ht="14.5" customHeight="1">
      <c r="A167" s="19" t="s">
        <v>4831</v>
      </c>
      <c r="B167" s="3" t="s">
        <v>424</v>
      </c>
      <c r="C167" s="20">
        <v>40387576</v>
      </c>
      <c r="D167" s="20">
        <v>41181509</v>
      </c>
      <c r="E167" s="56">
        <v>-1.93</v>
      </c>
      <c r="F167" s="57">
        <v>3513276</v>
      </c>
      <c r="G167" s="57">
        <v>2859194</v>
      </c>
      <c r="H167" s="57">
        <v>-527462</v>
      </c>
      <c r="I167" s="57">
        <v>2137147</v>
      </c>
      <c r="J167" s="57">
        <v>2303904</v>
      </c>
      <c r="K167" s="57">
        <v>3741569</v>
      </c>
      <c r="L167" s="56">
        <v>-38.42</v>
      </c>
      <c r="M167" s="20">
        <v>11082745</v>
      </c>
      <c r="N167" s="56">
        <v>2.08</v>
      </c>
      <c r="O167" s="56">
        <v>3.38</v>
      </c>
      <c r="P167" s="58">
        <v>21.41</v>
      </c>
      <c r="Q167" s="59">
        <v>39.983036856959203</v>
      </c>
      <c r="R167" s="59">
        <v>1.6160805940868199</v>
      </c>
      <c r="S167" s="59">
        <v>0.99983620489799097</v>
      </c>
      <c r="X167" s="2">
        <f t="shared" si="6"/>
        <v>0.60016963143040802</v>
      </c>
      <c r="Y167" s="2">
        <f>SUMIF(收盤價!A:A,A167,收盤價!C:C)</f>
        <v>19.3</v>
      </c>
      <c r="Z167" s="2">
        <f t="shared" si="7"/>
        <v>23728157.044999998</v>
      </c>
      <c r="AA167" s="2">
        <f t="shared" si="8"/>
        <v>21389697.850000001</v>
      </c>
    </row>
    <row r="168" spans="1:27" ht="14.5" customHeight="1">
      <c r="A168" s="19" t="s">
        <v>4832</v>
      </c>
      <c r="B168" s="3" t="s">
        <v>426</v>
      </c>
      <c r="C168" s="20">
        <v>20689397</v>
      </c>
      <c r="D168" s="20">
        <v>24025221</v>
      </c>
      <c r="E168" s="56">
        <v>-13.88</v>
      </c>
      <c r="F168" s="57">
        <v>-383777</v>
      </c>
      <c r="G168" s="57">
        <v>592042</v>
      </c>
      <c r="H168" s="57">
        <v>21365</v>
      </c>
      <c r="I168" s="57">
        <v>77054</v>
      </c>
      <c r="J168" s="57">
        <v>-245098</v>
      </c>
      <c r="K168" s="57">
        <v>445663</v>
      </c>
      <c r="L168" s="56"/>
      <c r="M168" s="20">
        <v>11028353</v>
      </c>
      <c r="N168" s="56">
        <v>-0.22</v>
      </c>
      <c r="O168" s="56">
        <v>0.4</v>
      </c>
      <c r="P168" s="58">
        <v>13.71</v>
      </c>
      <c r="Q168" s="59">
        <v>48.610934119251098</v>
      </c>
      <c r="R168" s="59">
        <v>1.1783356058325101</v>
      </c>
      <c r="S168" s="59">
        <v>0.36160516015789101</v>
      </c>
      <c r="X168" s="2">
        <f t="shared" si="6"/>
        <v>0.51389065880748896</v>
      </c>
      <c r="Y168" s="2">
        <f>SUMIF(收盤價!A:A,A168,收盤價!C:C)</f>
        <v>8.98</v>
      </c>
      <c r="Z168" s="2">
        <f t="shared" si="7"/>
        <v>15119871.963</v>
      </c>
      <c r="AA168" s="2">
        <f t="shared" si="8"/>
        <v>9903460.993999999</v>
      </c>
    </row>
    <row r="169" spans="1:27" ht="14.5" customHeight="1">
      <c r="A169" s="19" t="s">
        <v>4833</v>
      </c>
      <c r="B169" s="3" t="s">
        <v>428</v>
      </c>
      <c r="C169" s="20">
        <v>1273341</v>
      </c>
      <c r="D169" s="20">
        <v>1980847</v>
      </c>
      <c r="E169" s="56">
        <v>-35.72</v>
      </c>
      <c r="F169" s="57">
        <v>-15244</v>
      </c>
      <c r="G169" s="57">
        <v>15988</v>
      </c>
      <c r="H169" s="57">
        <v>147064</v>
      </c>
      <c r="I169" s="57">
        <v>509274</v>
      </c>
      <c r="J169" s="57">
        <v>121324</v>
      </c>
      <c r="K169" s="57">
        <v>502099</v>
      </c>
      <c r="L169" s="56">
        <v>-75.84</v>
      </c>
      <c r="M169" s="20">
        <v>1510000</v>
      </c>
      <c r="N169" s="56">
        <v>0.8</v>
      </c>
      <c r="O169" s="56">
        <v>3.32</v>
      </c>
      <c r="P169" s="58">
        <v>25.97</v>
      </c>
      <c r="Q169" s="59">
        <v>67.833259564022498</v>
      </c>
      <c r="R169" s="59">
        <v>0.12838464337273001</v>
      </c>
      <c r="S169" s="59">
        <v>0.11755665361256799</v>
      </c>
      <c r="X169" s="2">
        <f t="shared" si="6"/>
        <v>0.32166740435977503</v>
      </c>
      <c r="Y169" s="2">
        <f>SUMIF(收盤價!A:A,A169,收盤價!C:C)</f>
        <v>14.15</v>
      </c>
      <c r="Z169" s="2">
        <f t="shared" si="7"/>
        <v>3921470</v>
      </c>
      <c r="AA169" s="2">
        <f t="shared" si="8"/>
        <v>2136650</v>
      </c>
    </row>
    <row r="170" spans="1:27" ht="14.5" customHeight="1">
      <c r="A170" s="19" t="s">
        <v>4834</v>
      </c>
      <c r="B170" s="3" t="s">
        <v>430</v>
      </c>
      <c r="C170" s="20">
        <v>74760487</v>
      </c>
      <c r="D170" s="20">
        <v>76439683</v>
      </c>
      <c r="E170" s="56">
        <v>-2.2000000000000002</v>
      </c>
      <c r="F170" s="57">
        <v>2990809</v>
      </c>
      <c r="G170" s="57">
        <v>2359830</v>
      </c>
      <c r="H170" s="57">
        <v>565383</v>
      </c>
      <c r="I170" s="57">
        <v>566264</v>
      </c>
      <c r="J170" s="57">
        <v>2285769</v>
      </c>
      <c r="K170" s="57">
        <v>1440003</v>
      </c>
      <c r="L170" s="56">
        <v>58.73</v>
      </c>
      <c r="M170" s="20">
        <v>16603715</v>
      </c>
      <c r="N170" s="56">
        <v>1.38</v>
      </c>
      <c r="O170" s="56">
        <v>0.87</v>
      </c>
      <c r="P170" s="58">
        <v>23.64</v>
      </c>
      <c r="Q170" s="59">
        <v>32.414363638425201</v>
      </c>
      <c r="R170" s="59">
        <v>1.2811486587782299</v>
      </c>
      <c r="S170" s="59">
        <v>0.60774097058411902</v>
      </c>
      <c r="X170" s="2">
        <f t="shared" si="6"/>
        <v>0.67585636361574797</v>
      </c>
      <c r="Y170" s="2">
        <f>SUMIF(收盤價!A:A,A170,收盤價!C:C)</f>
        <v>13.45</v>
      </c>
      <c r="Z170" s="2">
        <f t="shared" si="7"/>
        <v>39251182.260000005</v>
      </c>
      <c r="AA170" s="2">
        <f t="shared" si="8"/>
        <v>22331996.675000001</v>
      </c>
    </row>
    <row r="171" spans="1:27" ht="14.5" customHeight="1">
      <c r="A171" s="19" t="s">
        <v>4835</v>
      </c>
      <c r="B171" s="3" t="s">
        <v>432</v>
      </c>
      <c r="C171" s="20">
        <v>47715121</v>
      </c>
      <c r="D171" s="20">
        <v>52313603</v>
      </c>
      <c r="E171" s="56">
        <v>-8.7899999999999991</v>
      </c>
      <c r="F171" s="57">
        <v>1782522</v>
      </c>
      <c r="G171" s="57">
        <v>2660593</v>
      </c>
      <c r="H171" s="57">
        <v>-1410005</v>
      </c>
      <c r="I171" s="57">
        <v>-1142091</v>
      </c>
      <c r="J171" s="57">
        <v>533773</v>
      </c>
      <c r="K171" s="57">
        <v>934694</v>
      </c>
      <c r="L171" s="56">
        <v>-42.89</v>
      </c>
      <c r="M171" s="20">
        <v>12176857</v>
      </c>
      <c r="N171" s="56">
        <v>0.45</v>
      </c>
      <c r="O171" s="56">
        <v>0.82</v>
      </c>
      <c r="P171" s="58">
        <v>17.829999999999998</v>
      </c>
      <c r="Q171" s="59">
        <v>31.221684125898001</v>
      </c>
      <c r="R171" s="59">
        <v>0.67340062719474802</v>
      </c>
      <c r="S171" s="59">
        <v>0.46287092141894098</v>
      </c>
      <c r="X171" s="2">
        <f t="shared" si="6"/>
        <v>0.68778315874101992</v>
      </c>
      <c r="Y171" s="2">
        <f>SUMIF(收盤價!A:A,A171,收盤價!C:C)</f>
        <v>15.05</v>
      </c>
      <c r="Z171" s="2">
        <f t="shared" si="7"/>
        <v>21711336.030999996</v>
      </c>
      <c r="AA171" s="2">
        <f t="shared" si="8"/>
        <v>18326169.785</v>
      </c>
    </row>
    <row r="172" spans="1:27" ht="14.5" customHeight="1">
      <c r="A172" s="19" t="s">
        <v>4836</v>
      </c>
      <c r="B172" s="3" t="s">
        <v>434</v>
      </c>
      <c r="C172" s="20">
        <v>366240735</v>
      </c>
      <c r="D172" s="20">
        <v>400665057</v>
      </c>
      <c r="E172" s="56">
        <v>-8.59</v>
      </c>
      <c r="F172" s="57">
        <v>12578230</v>
      </c>
      <c r="G172" s="57">
        <v>33579011</v>
      </c>
      <c r="H172" s="57">
        <v>223325</v>
      </c>
      <c r="I172" s="57">
        <v>-1657266</v>
      </c>
      <c r="J172" s="57">
        <v>8809555</v>
      </c>
      <c r="K172" s="57">
        <v>24454152</v>
      </c>
      <c r="L172" s="56">
        <v>-63.98</v>
      </c>
      <c r="M172" s="20">
        <v>157731290</v>
      </c>
      <c r="N172" s="56">
        <v>0.56999999999999995</v>
      </c>
      <c r="O172" s="56">
        <v>1.58</v>
      </c>
      <c r="P172" s="58">
        <v>19.579999999999998</v>
      </c>
      <c r="Q172" s="59">
        <v>45.386141322853803</v>
      </c>
      <c r="R172" s="59">
        <v>1.08112271148576</v>
      </c>
      <c r="S172" s="59">
        <v>0.29847207748167898</v>
      </c>
      <c r="X172" s="2">
        <f t="shared" si="6"/>
        <v>0.54613858677146199</v>
      </c>
      <c r="Y172" s="2">
        <f>SUMIF(收盤價!A:A,A172,收盤價!C:C)</f>
        <v>23.9</v>
      </c>
      <c r="Z172" s="2">
        <f t="shared" si="7"/>
        <v>308837865.81999999</v>
      </c>
      <c r="AA172" s="2">
        <f t="shared" si="8"/>
        <v>376977783.10000002</v>
      </c>
    </row>
    <row r="173" spans="1:27" ht="14.5" customHeight="1">
      <c r="A173" s="19" t="s">
        <v>4839</v>
      </c>
      <c r="B173" s="3" t="s">
        <v>436</v>
      </c>
      <c r="C173" s="20">
        <v>44863600</v>
      </c>
      <c r="D173" s="20">
        <v>39769621</v>
      </c>
      <c r="E173" s="56">
        <v>12.81</v>
      </c>
      <c r="F173" s="57">
        <v>2106598</v>
      </c>
      <c r="G173" s="57">
        <v>1275353</v>
      </c>
      <c r="H173" s="57">
        <v>15534</v>
      </c>
      <c r="I173" s="57">
        <v>-20250</v>
      </c>
      <c r="J173" s="57">
        <v>1566059</v>
      </c>
      <c r="K173" s="57">
        <v>887932</v>
      </c>
      <c r="L173" s="56">
        <v>76.37</v>
      </c>
      <c r="M173" s="20">
        <v>10040606</v>
      </c>
      <c r="N173" s="56">
        <v>1.56</v>
      </c>
      <c r="O173" s="56">
        <v>0.88</v>
      </c>
      <c r="P173" s="58">
        <v>24.1</v>
      </c>
      <c r="Q173" s="59">
        <v>50.741726466452498</v>
      </c>
      <c r="R173" s="59">
        <v>1.4683232210867401</v>
      </c>
      <c r="S173" s="59">
        <v>0.52552781230492696</v>
      </c>
      <c r="X173" s="2">
        <f t="shared" si="6"/>
        <v>0.49258273533547503</v>
      </c>
      <c r="Y173" s="2">
        <f>SUMIF(收盤價!A:A,A173,收盤價!C:C)</f>
        <v>23</v>
      </c>
      <c r="Z173" s="2">
        <f t="shared" si="7"/>
        <v>24197860.460000001</v>
      </c>
      <c r="AA173" s="2">
        <f t="shared" si="8"/>
        <v>23093393.800000001</v>
      </c>
    </row>
    <row r="174" spans="1:27" ht="14.5" customHeight="1">
      <c r="A174" s="19" t="s">
        <v>4840</v>
      </c>
      <c r="B174" s="3" t="s">
        <v>438</v>
      </c>
      <c r="C174" s="20">
        <v>6552804</v>
      </c>
      <c r="D174" s="20">
        <v>8741762</v>
      </c>
      <c r="E174" s="56">
        <v>-25.04</v>
      </c>
      <c r="F174" s="57">
        <v>-477680</v>
      </c>
      <c r="G174" s="57">
        <v>140202</v>
      </c>
      <c r="H174" s="57">
        <v>-158082</v>
      </c>
      <c r="I174" s="57">
        <v>-119922</v>
      </c>
      <c r="J174" s="57">
        <v>-642187</v>
      </c>
      <c r="K174" s="57">
        <v>15184</v>
      </c>
      <c r="L174" s="56"/>
      <c r="M174" s="20">
        <v>5306516</v>
      </c>
      <c r="N174" s="56">
        <v>-1.21</v>
      </c>
      <c r="O174" s="56">
        <v>0.03</v>
      </c>
      <c r="P174" s="58">
        <v>5.16</v>
      </c>
      <c r="Q174" s="59">
        <v>11.6283171823623</v>
      </c>
      <c r="R174" s="59">
        <v>1.07747435641746</v>
      </c>
      <c r="S174" s="59">
        <v>0.20793258133843101</v>
      </c>
      <c r="X174" s="2">
        <f t="shared" si="6"/>
        <v>0.88371682817637709</v>
      </c>
      <c r="Y174" s="2">
        <f>SUMIF(收盤價!A:A,A174,收盤價!C:C)</f>
        <v>4.17</v>
      </c>
      <c r="Z174" s="2">
        <f t="shared" si="7"/>
        <v>2738162.2560000001</v>
      </c>
      <c r="AA174" s="2">
        <f t="shared" si="8"/>
        <v>2212817.1719999998</v>
      </c>
    </row>
    <row r="175" spans="1:27" ht="14.5" customHeight="1">
      <c r="A175" s="19" t="s">
        <v>4841</v>
      </c>
      <c r="B175" s="3" t="s">
        <v>440</v>
      </c>
      <c r="C175" s="20">
        <v>1142137</v>
      </c>
      <c r="D175" s="20">
        <v>1413110</v>
      </c>
      <c r="E175" s="56">
        <v>-19.18</v>
      </c>
      <c r="F175" s="57">
        <v>-123293</v>
      </c>
      <c r="G175" s="57">
        <v>-164220</v>
      </c>
      <c r="H175" s="57">
        <v>-813</v>
      </c>
      <c r="I175" s="57">
        <v>24243</v>
      </c>
      <c r="J175" s="57">
        <v>-124106</v>
      </c>
      <c r="K175" s="57">
        <v>-176411</v>
      </c>
      <c r="L175" s="56"/>
      <c r="M175" s="20">
        <v>2008523</v>
      </c>
      <c r="N175" s="56">
        <v>-0.62</v>
      </c>
      <c r="O175" s="56">
        <v>-0.88</v>
      </c>
      <c r="P175" s="58">
        <v>12.17</v>
      </c>
      <c r="Q175" s="59">
        <v>47.363886433727501</v>
      </c>
      <c r="R175" s="59">
        <v>0.56913056647040305</v>
      </c>
      <c r="S175" s="59">
        <v>0.19061748124040301</v>
      </c>
      <c r="X175" s="2">
        <f t="shared" si="6"/>
        <v>0.52636113566272502</v>
      </c>
      <c r="Y175" s="2">
        <f>SUMIF(收盤價!A:A,A175,收盤價!C:C)</f>
        <v>12.35</v>
      </c>
      <c r="Z175" s="2">
        <f t="shared" si="7"/>
        <v>2444372.4909999999</v>
      </c>
      <c r="AA175" s="2">
        <f t="shared" si="8"/>
        <v>2480525.9050000003</v>
      </c>
    </row>
    <row r="176" spans="1:27" ht="14.5" customHeight="1">
      <c r="A176" s="19" t="s">
        <v>4842</v>
      </c>
      <c r="B176" s="3" t="s">
        <v>442</v>
      </c>
      <c r="C176" s="20">
        <v>2544943</v>
      </c>
      <c r="D176" s="20">
        <v>3108695</v>
      </c>
      <c r="E176" s="56">
        <v>-18.13</v>
      </c>
      <c r="F176" s="57">
        <v>-145145</v>
      </c>
      <c r="G176" s="57">
        <v>-12073</v>
      </c>
      <c r="H176" s="57">
        <v>45333</v>
      </c>
      <c r="I176" s="57">
        <v>87352</v>
      </c>
      <c r="J176" s="57">
        <v>-99342</v>
      </c>
      <c r="K176" s="57">
        <v>85258</v>
      </c>
      <c r="L176" s="56"/>
      <c r="M176" s="20">
        <v>3596222</v>
      </c>
      <c r="N176" s="56">
        <v>-0.28000000000000003</v>
      </c>
      <c r="O176" s="56">
        <v>0.24</v>
      </c>
      <c r="P176" s="58">
        <v>10.23</v>
      </c>
      <c r="Q176" s="59">
        <v>69.445103265848999</v>
      </c>
      <c r="R176" s="59">
        <v>1.4795346983806501</v>
      </c>
      <c r="S176" s="59">
        <v>0.55746015555651396</v>
      </c>
      <c r="X176" s="2">
        <f t="shared" si="6"/>
        <v>0.30554896734150999</v>
      </c>
      <c r="Y176" s="2">
        <f>SUMIF(收盤價!A:A,A176,收盤價!C:C)</f>
        <v>9.59</v>
      </c>
      <c r="Z176" s="2">
        <f t="shared" si="7"/>
        <v>3678935.1060000001</v>
      </c>
      <c r="AA176" s="2">
        <f t="shared" si="8"/>
        <v>3448776.8979999996</v>
      </c>
    </row>
    <row r="177" spans="1:27" ht="14.5" customHeight="1">
      <c r="A177" s="19" t="s">
        <v>4843</v>
      </c>
      <c r="B177" s="3" t="s">
        <v>444</v>
      </c>
      <c r="C177" s="20">
        <v>16735011</v>
      </c>
      <c r="D177" s="20">
        <v>18510589</v>
      </c>
      <c r="E177" s="56">
        <v>-9.59</v>
      </c>
      <c r="F177" s="57">
        <v>164589</v>
      </c>
      <c r="G177" s="57">
        <v>217297</v>
      </c>
      <c r="H177" s="57">
        <v>131899</v>
      </c>
      <c r="I177" s="57">
        <v>96373</v>
      </c>
      <c r="J177" s="57">
        <v>240782</v>
      </c>
      <c r="K177" s="57">
        <v>249742</v>
      </c>
      <c r="L177" s="56">
        <v>-3.59</v>
      </c>
      <c r="M177" s="20">
        <v>6476554</v>
      </c>
      <c r="N177" s="56">
        <v>0.37</v>
      </c>
      <c r="O177" s="56">
        <v>0.39</v>
      </c>
      <c r="P177" s="58">
        <v>15.55</v>
      </c>
      <c r="Q177" s="59">
        <v>58.520923793912701</v>
      </c>
      <c r="R177" s="59">
        <v>1.94695577662978</v>
      </c>
      <c r="S177" s="59">
        <v>1.2720098943958</v>
      </c>
      <c r="X177" s="2">
        <f t="shared" si="6"/>
        <v>0.41479076206087301</v>
      </c>
      <c r="Y177" s="2">
        <f>SUMIF(收盤價!A:A,A177,收盤價!C:C)</f>
        <v>10.15</v>
      </c>
      <c r="Z177" s="2">
        <f t="shared" si="7"/>
        <v>10071041.470000001</v>
      </c>
      <c r="AA177" s="2">
        <f t="shared" si="8"/>
        <v>6573702.3100000005</v>
      </c>
    </row>
    <row r="178" spans="1:27" ht="14.5" customHeight="1">
      <c r="A178" s="19" t="s">
        <v>4844</v>
      </c>
      <c r="B178" s="3" t="s">
        <v>446</v>
      </c>
      <c r="C178" s="20">
        <v>9333591</v>
      </c>
      <c r="D178" s="20">
        <v>9839602</v>
      </c>
      <c r="E178" s="56">
        <v>-5.14</v>
      </c>
      <c r="F178" s="57">
        <v>595666</v>
      </c>
      <c r="G178" s="57">
        <v>696271</v>
      </c>
      <c r="H178" s="57">
        <v>-16937</v>
      </c>
      <c r="I178" s="57">
        <v>-55336</v>
      </c>
      <c r="J178" s="57">
        <v>423111</v>
      </c>
      <c r="K178" s="57">
        <v>460500</v>
      </c>
      <c r="L178" s="56">
        <v>-8.1199999999999992</v>
      </c>
      <c r="M178" s="20">
        <v>2877740</v>
      </c>
      <c r="N178" s="56">
        <v>1.6</v>
      </c>
      <c r="O178" s="56">
        <v>1.74</v>
      </c>
      <c r="P178" s="58">
        <v>13.96</v>
      </c>
      <c r="Q178" s="59">
        <v>33.594314084771902</v>
      </c>
      <c r="R178" s="59">
        <v>1.91379224487086</v>
      </c>
      <c r="S178" s="59">
        <v>0.85545952412569803</v>
      </c>
      <c r="X178" s="2">
        <f t="shared" si="6"/>
        <v>0.66405685915228108</v>
      </c>
      <c r="Y178" s="2">
        <f>SUMIF(收盤價!A:A,A178,收盤價!C:C)</f>
        <v>20.3</v>
      </c>
      <c r="Z178" s="2">
        <f t="shared" si="7"/>
        <v>4017325.0400000005</v>
      </c>
      <c r="AA178" s="2">
        <f t="shared" si="8"/>
        <v>5841812.2000000002</v>
      </c>
    </row>
    <row r="179" spans="1:27" ht="14.5" customHeight="1">
      <c r="A179" s="19" t="s">
        <v>4845</v>
      </c>
      <c r="B179" s="3" t="s">
        <v>448</v>
      </c>
      <c r="C179" s="20">
        <v>16706204</v>
      </c>
      <c r="D179" s="20">
        <v>20360929</v>
      </c>
      <c r="E179" s="56">
        <v>-17.95</v>
      </c>
      <c r="F179" s="57">
        <v>94953</v>
      </c>
      <c r="G179" s="57">
        <v>25912</v>
      </c>
      <c r="H179" s="57">
        <v>41920</v>
      </c>
      <c r="I179" s="57">
        <v>73541</v>
      </c>
      <c r="J179" s="57">
        <v>157617</v>
      </c>
      <c r="K179" s="57">
        <v>117581</v>
      </c>
      <c r="L179" s="56">
        <v>34.049999999999997</v>
      </c>
      <c r="M179" s="20">
        <v>2000000</v>
      </c>
      <c r="N179" s="56">
        <v>0.82</v>
      </c>
      <c r="O179" s="56">
        <v>0.61</v>
      </c>
      <c r="P179" s="58">
        <v>22.2</v>
      </c>
      <c r="Q179" s="59">
        <v>29.743573739887101</v>
      </c>
      <c r="R179" s="59">
        <v>1.09700788641568</v>
      </c>
      <c r="S179" s="59">
        <v>0.99202712522046199</v>
      </c>
      <c r="X179" s="2">
        <f t="shared" si="6"/>
        <v>0.70256426260112903</v>
      </c>
      <c r="Y179" s="2">
        <f>SUMIF(收盤價!A:A,A179,收盤價!C:C)</f>
        <v>25.1</v>
      </c>
      <c r="Z179" s="2">
        <f t="shared" si="7"/>
        <v>4440000</v>
      </c>
      <c r="AA179" s="2">
        <f t="shared" si="8"/>
        <v>5020000</v>
      </c>
    </row>
    <row r="180" spans="1:27" ht="14.5" customHeight="1">
      <c r="A180" s="19" t="s">
        <v>4846</v>
      </c>
      <c r="B180" s="3" t="s">
        <v>450</v>
      </c>
      <c r="C180" s="20">
        <v>40470129</v>
      </c>
      <c r="D180" s="20">
        <v>48238885</v>
      </c>
      <c r="E180" s="56">
        <v>-16.100000000000001</v>
      </c>
      <c r="F180" s="57">
        <v>-217589</v>
      </c>
      <c r="G180" s="57">
        <v>2875777</v>
      </c>
      <c r="H180" s="57">
        <v>228474</v>
      </c>
      <c r="I180" s="57">
        <v>158071</v>
      </c>
      <c r="J180" s="57">
        <v>10791</v>
      </c>
      <c r="K180" s="57">
        <v>3033223</v>
      </c>
      <c r="L180" s="56">
        <v>-99.64</v>
      </c>
      <c r="M180" s="20">
        <v>14355444</v>
      </c>
      <c r="N180" s="56">
        <v>0.01</v>
      </c>
      <c r="O180" s="56">
        <v>2.11</v>
      </c>
      <c r="P180" s="58">
        <v>10.15</v>
      </c>
      <c r="Q180" s="59">
        <v>47.823941131591603</v>
      </c>
      <c r="R180" s="59">
        <v>1.0831124458905601</v>
      </c>
      <c r="S180" s="59">
        <v>0.15378799862862999</v>
      </c>
      <c r="X180" s="2">
        <f t="shared" si="6"/>
        <v>0.52176058868408393</v>
      </c>
      <c r="Y180" s="2">
        <f>SUMIF(收盤價!A:A,A180,收盤價!C:C)</f>
        <v>10.65</v>
      </c>
      <c r="Z180" s="2">
        <f t="shared" si="7"/>
        <v>14570775.66</v>
      </c>
      <c r="AA180" s="2">
        <f t="shared" si="8"/>
        <v>15288547.859999999</v>
      </c>
    </row>
    <row r="181" spans="1:27" ht="14.5" customHeight="1">
      <c r="A181" s="19" t="s">
        <v>4847</v>
      </c>
      <c r="B181" s="3" t="s">
        <v>452</v>
      </c>
      <c r="C181" s="20">
        <v>27735611</v>
      </c>
      <c r="D181" s="20">
        <v>30865647</v>
      </c>
      <c r="E181" s="56">
        <v>-10.14</v>
      </c>
      <c r="F181" s="57">
        <v>2089002</v>
      </c>
      <c r="G181" s="57">
        <v>3335672</v>
      </c>
      <c r="H181" s="57">
        <v>301728</v>
      </c>
      <c r="I181" s="57">
        <v>301704</v>
      </c>
      <c r="J181" s="57">
        <v>1962355</v>
      </c>
      <c r="K181" s="57">
        <v>2942415</v>
      </c>
      <c r="L181" s="56">
        <v>-33.31</v>
      </c>
      <c r="M181" s="20">
        <v>5815994</v>
      </c>
      <c r="N181" s="56">
        <v>3.37</v>
      </c>
      <c r="O181" s="56">
        <v>5.0599999999999996</v>
      </c>
      <c r="P181" s="58">
        <v>31.44</v>
      </c>
      <c r="Q181" s="59">
        <v>85.187519541825907</v>
      </c>
      <c r="R181" s="59">
        <v>2.9704787705305402</v>
      </c>
      <c r="S181" s="59">
        <v>1.2017173340946701</v>
      </c>
      <c r="X181" s="2">
        <f t="shared" si="6"/>
        <v>0.14812480458174093</v>
      </c>
      <c r="Y181" s="2">
        <f>SUMIF(收盤價!A:A,A181,收盤價!C:C)</f>
        <v>53.7</v>
      </c>
      <c r="Z181" s="2">
        <f t="shared" si="7"/>
        <v>18285485.136</v>
      </c>
      <c r="AA181" s="2">
        <f t="shared" si="8"/>
        <v>31231887.780000001</v>
      </c>
    </row>
    <row r="182" spans="1:27" ht="14.5" customHeight="1">
      <c r="A182" s="21" t="s">
        <v>4848</v>
      </c>
      <c r="B182" s="22" t="s">
        <v>454</v>
      </c>
      <c r="C182" s="23">
        <v>3954720</v>
      </c>
      <c r="D182" s="23">
        <v>4991101</v>
      </c>
      <c r="E182" s="60">
        <v>-20.76</v>
      </c>
      <c r="F182" s="61">
        <v>-183146</v>
      </c>
      <c r="G182" s="61">
        <v>112238</v>
      </c>
      <c r="H182" s="61">
        <v>34844</v>
      </c>
      <c r="I182" s="61">
        <v>21616</v>
      </c>
      <c r="J182" s="61">
        <v>-166379</v>
      </c>
      <c r="K182" s="61">
        <v>170926</v>
      </c>
      <c r="L182" s="60"/>
      <c r="M182" s="23">
        <v>3418675</v>
      </c>
      <c r="N182" s="60">
        <v>-0.5</v>
      </c>
      <c r="O182" s="60">
        <v>0.51</v>
      </c>
      <c r="P182" s="62">
        <v>11.22</v>
      </c>
      <c r="Q182" s="63">
        <v>44.8157459701901</v>
      </c>
      <c r="R182" s="63">
        <v>0.95125837402119695</v>
      </c>
      <c r="S182" s="63">
        <v>0.22877629260052099</v>
      </c>
      <c r="X182" s="2">
        <f t="shared" si="6"/>
        <v>0.55184254029809898</v>
      </c>
      <c r="Y182" s="2">
        <f>SUMIF(收盤價!A:A,A182,收盤價!C:C)</f>
        <v>6.7</v>
      </c>
      <c r="Z182" s="2">
        <f t="shared" si="7"/>
        <v>3835753.35</v>
      </c>
      <c r="AA182" s="2">
        <f t="shared" si="8"/>
        <v>2290512.25</v>
      </c>
    </row>
    <row r="183" spans="1:27" ht="14.5" customHeight="1">
      <c r="A183" s="24" t="s">
        <v>4849</v>
      </c>
      <c r="B183" s="25" t="s">
        <v>456</v>
      </c>
      <c r="C183" s="26">
        <v>4483371</v>
      </c>
      <c r="D183" s="26">
        <v>4735676</v>
      </c>
      <c r="E183" s="64">
        <v>-5.33</v>
      </c>
      <c r="F183" s="65">
        <v>253882</v>
      </c>
      <c r="G183" s="65">
        <v>186175</v>
      </c>
      <c r="H183" s="65">
        <v>241288</v>
      </c>
      <c r="I183" s="65">
        <v>170285</v>
      </c>
      <c r="J183" s="65">
        <v>436706</v>
      </c>
      <c r="K183" s="65">
        <v>300590</v>
      </c>
      <c r="L183" s="64">
        <v>45.28</v>
      </c>
      <c r="M183" s="26">
        <v>2225261</v>
      </c>
      <c r="N183" s="64">
        <v>1.96</v>
      </c>
      <c r="O183" s="64">
        <v>1.34</v>
      </c>
      <c r="P183" s="66">
        <v>14.08</v>
      </c>
      <c r="Q183" s="67">
        <v>49.701579633607302</v>
      </c>
      <c r="R183" s="67">
        <v>1.44760451176472</v>
      </c>
      <c r="S183" s="67">
        <v>0.42261053466148102</v>
      </c>
      <c r="X183" s="2">
        <f t="shared" si="6"/>
        <v>0.50298420366392693</v>
      </c>
      <c r="Y183" s="2">
        <f>SUMIF(收盤價!A:A,A183,收盤價!C:C)</f>
        <v>15.6</v>
      </c>
      <c r="Z183" s="2">
        <f t="shared" si="7"/>
        <v>3133167.4879999999</v>
      </c>
      <c r="AA183" s="2">
        <f t="shared" si="8"/>
        <v>3471407.16</v>
      </c>
    </row>
    <row r="184" spans="1:27" ht="14.5" customHeight="1">
      <c r="A184" s="19" t="s">
        <v>4850</v>
      </c>
      <c r="B184" s="3" t="s">
        <v>458</v>
      </c>
      <c r="C184" s="20">
        <v>11519202</v>
      </c>
      <c r="D184" s="20">
        <v>11117144</v>
      </c>
      <c r="E184" s="56">
        <v>3.62</v>
      </c>
      <c r="F184" s="57">
        <v>-263211</v>
      </c>
      <c r="G184" s="57">
        <v>67404</v>
      </c>
      <c r="H184" s="57">
        <v>-563486</v>
      </c>
      <c r="I184" s="57">
        <v>100506</v>
      </c>
      <c r="J184" s="57">
        <v>-786105</v>
      </c>
      <c r="K184" s="57">
        <v>-51155</v>
      </c>
      <c r="L184" s="56"/>
      <c r="M184" s="20">
        <v>4797520</v>
      </c>
      <c r="N184" s="56">
        <v>-1.64</v>
      </c>
      <c r="O184" s="56">
        <v>-0.11</v>
      </c>
      <c r="P184" s="58">
        <v>9.01</v>
      </c>
      <c r="Q184" s="59">
        <v>48.802111398450201</v>
      </c>
      <c r="R184" s="59">
        <v>1.43548916186842</v>
      </c>
      <c r="S184" s="59">
        <v>0.55004381004998204</v>
      </c>
      <c r="X184" s="2">
        <f t="shared" si="6"/>
        <v>0.51197888601549801</v>
      </c>
      <c r="Y184" s="2">
        <f>SUMIF(收盤價!A:A,A184,收盤價!C:C)</f>
        <v>5.44</v>
      </c>
      <c r="Z184" s="2">
        <f t="shared" si="7"/>
        <v>4322565.5199999996</v>
      </c>
      <c r="AA184" s="2">
        <f t="shared" si="8"/>
        <v>2609850.88</v>
      </c>
    </row>
    <row r="185" spans="1:27" ht="14.5" customHeight="1">
      <c r="A185" s="19" t="s">
        <v>4851</v>
      </c>
      <c r="B185" s="3" t="s">
        <v>460</v>
      </c>
      <c r="C185" s="20">
        <v>59687597</v>
      </c>
      <c r="D185" s="20">
        <v>73856189</v>
      </c>
      <c r="E185" s="56">
        <v>-19.18</v>
      </c>
      <c r="F185" s="57">
        <v>-895193</v>
      </c>
      <c r="G185" s="57">
        <v>1458510</v>
      </c>
      <c r="H185" s="57">
        <v>-1090273</v>
      </c>
      <c r="I185" s="57">
        <v>-1102964</v>
      </c>
      <c r="J185" s="57">
        <v>-1401081</v>
      </c>
      <c r="K185" s="57">
        <v>308506</v>
      </c>
      <c r="L185" s="56"/>
      <c r="M185" s="20">
        <v>19133275</v>
      </c>
      <c r="N185" s="56">
        <v>-0.73</v>
      </c>
      <c r="O185" s="56">
        <v>0.16</v>
      </c>
      <c r="P185" s="58">
        <v>13.51</v>
      </c>
      <c r="Q185" s="59">
        <v>30.8648927125619</v>
      </c>
      <c r="R185" s="59">
        <v>0.75733458045590296</v>
      </c>
      <c r="S185" s="59">
        <v>0.35442472759243798</v>
      </c>
      <c r="X185" s="2">
        <f t="shared" si="6"/>
        <v>0.69135107287438102</v>
      </c>
      <c r="Y185" s="2">
        <f>SUMIF(收盤價!A:A,A185,收盤價!C:C)</f>
        <v>9.25</v>
      </c>
      <c r="Z185" s="2">
        <f t="shared" si="7"/>
        <v>25849054.524999999</v>
      </c>
      <c r="AA185" s="2">
        <f t="shared" si="8"/>
        <v>17698279.375</v>
      </c>
    </row>
    <row r="186" spans="1:27" ht="14.5" customHeight="1">
      <c r="A186" s="19" t="s">
        <v>4852</v>
      </c>
      <c r="B186" s="3" t="s">
        <v>462</v>
      </c>
      <c r="C186" s="20">
        <v>1235991</v>
      </c>
      <c r="D186" s="20">
        <v>1447927</v>
      </c>
      <c r="E186" s="56">
        <v>-14.64</v>
      </c>
      <c r="F186" s="57">
        <v>35661</v>
      </c>
      <c r="G186" s="57">
        <v>101353</v>
      </c>
      <c r="H186" s="57">
        <v>-14596</v>
      </c>
      <c r="I186" s="57">
        <v>-7313</v>
      </c>
      <c r="J186" s="57">
        <v>17117</v>
      </c>
      <c r="K186" s="57">
        <v>74859</v>
      </c>
      <c r="L186" s="56">
        <v>-77.13</v>
      </c>
      <c r="M186" s="20">
        <v>975000</v>
      </c>
      <c r="N186" s="56">
        <v>0.18</v>
      </c>
      <c r="O186" s="56">
        <v>0.77</v>
      </c>
      <c r="P186" s="58">
        <v>11.72</v>
      </c>
      <c r="Q186" s="59">
        <v>53.632991807701998</v>
      </c>
      <c r="R186" s="59">
        <v>1.2196113017336301</v>
      </c>
      <c r="S186" s="59">
        <v>0.50969685655244301</v>
      </c>
      <c r="X186" s="2">
        <f t="shared" si="6"/>
        <v>0.46367008192298004</v>
      </c>
      <c r="Y186" s="2">
        <f>SUMIF(收盤價!A:A,A186,收盤價!C:C)</f>
        <v>12.15</v>
      </c>
      <c r="Z186" s="2">
        <f t="shared" si="7"/>
        <v>1142700</v>
      </c>
      <c r="AA186" s="2">
        <f t="shared" si="8"/>
        <v>1184625</v>
      </c>
    </row>
    <row r="187" spans="1:27" ht="14.5" customHeight="1">
      <c r="A187" s="19" t="s">
        <v>5630</v>
      </c>
      <c r="B187" s="3" t="s">
        <v>464</v>
      </c>
      <c r="C187" s="20">
        <v>1155098</v>
      </c>
      <c r="D187" s="20">
        <v>2838205</v>
      </c>
      <c r="E187" s="56">
        <v>-59.3</v>
      </c>
      <c r="F187" s="57">
        <v>-197101</v>
      </c>
      <c r="G187" s="57">
        <v>-85153</v>
      </c>
      <c r="H187" s="57">
        <v>19272</v>
      </c>
      <c r="I187" s="57">
        <v>-429278</v>
      </c>
      <c r="J187" s="57">
        <v>-177829</v>
      </c>
      <c r="K187" s="57">
        <v>-514137</v>
      </c>
      <c r="L187" s="56"/>
      <c r="M187" s="20">
        <v>2811673</v>
      </c>
      <c r="N187" s="56">
        <v>-0.63</v>
      </c>
      <c r="O187" s="56">
        <v>-1.83</v>
      </c>
      <c r="P187" s="58">
        <v>2.23</v>
      </c>
      <c r="Q187" s="59">
        <v>32.624217998544999</v>
      </c>
      <c r="R187" s="59">
        <v>1.2210935707622801</v>
      </c>
      <c r="S187" s="59">
        <v>0.30193609366005902</v>
      </c>
      <c r="X187" s="2">
        <f t="shared" si="6"/>
        <v>0.67375782001455009</v>
      </c>
      <c r="Y187" s="2">
        <f>SUMIF(收盤價!A:A,A187,收盤價!C:C)</f>
        <v>2.0299999999999998</v>
      </c>
      <c r="Z187" s="2">
        <f t="shared" si="7"/>
        <v>627003.07900000003</v>
      </c>
      <c r="AA187" s="2">
        <f t="shared" si="8"/>
        <v>570769.61899999995</v>
      </c>
    </row>
    <row r="188" spans="1:27" ht="14.5" customHeight="1">
      <c r="A188" s="19" t="s">
        <v>4853</v>
      </c>
      <c r="B188" s="3" t="s">
        <v>466</v>
      </c>
      <c r="C188" s="20">
        <v>77874374</v>
      </c>
      <c r="D188" s="20">
        <v>83710511</v>
      </c>
      <c r="E188" s="56">
        <v>-6.97</v>
      </c>
      <c r="F188" s="57">
        <v>5406763</v>
      </c>
      <c r="G188" s="57">
        <v>9255049</v>
      </c>
      <c r="H188" s="57">
        <v>-2262657</v>
      </c>
      <c r="I188" s="57">
        <v>-236408</v>
      </c>
      <c r="J188" s="57">
        <v>1820776</v>
      </c>
      <c r="K188" s="57">
        <v>6039401</v>
      </c>
      <c r="L188" s="56">
        <v>-69.849999999999994</v>
      </c>
      <c r="M188" s="20">
        <v>12337901</v>
      </c>
      <c r="N188" s="56">
        <v>1.49</v>
      </c>
      <c r="O188" s="56">
        <v>5.83</v>
      </c>
      <c r="P188" s="58">
        <v>21.99</v>
      </c>
      <c r="Q188" s="59">
        <v>24.535981090515701</v>
      </c>
      <c r="R188" s="59">
        <v>3.2582874422296499</v>
      </c>
      <c r="S188" s="59">
        <v>0.67606202109887104</v>
      </c>
      <c r="X188" s="2">
        <f t="shared" si="6"/>
        <v>0.75464018909484298</v>
      </c>
      <c r="Y188" s="2">
        <f>SUMIF(收盤價!A:A,A188,收盤價!C:C)</f>
        <v>32.049999999999997</v>
      </c>
      <c r="Z188" s="2">
        <f t="shared" si="7"/>
        <v>27131044.299000002</v>
      </c>
      <c r="AA188" s="2">
        <f t="shared" si="8"/>
        <v>39542972.704999998</v>
      </c>
    </row>
    <row r="189" spans="1:27" ht="14.5" customHeight="1">
      <c r="A189" s="19" t="s">
        <v>4854</v>
      </c>
      <c r="B189" s="3" t="s">
        <v>468</v>
      </c>
      <c r="C189" s="20">
        <v>9677237</v>
      </c>
      <c r="D189" s="20">
        <v>11116117</v>
      </c>
      <c r="E189" s="56">
        <v>-12.94</v>
      </c>
      <c r="F189" s="57">
        <v>181829</v>
      </c>
      <c r="G189" s="57">
        <v>550938</v>
      </c>
      <c r="H189" s="57">
        <v>9733</v>
      </c>
      <c r="I189" s="57">
        <v>-44960</v>
      </c>
      <c r="J189" s="57">
        <v>195189</v>
      </c>
      <c r="K189" s="57">
        <v>514217</v>
      </c>
      <c r="L189" s="56">
        <v>-62.04</v>
      </c>
      <c r="M189" s="20">
        <v>3257148</v>
      </c>
      <c r="N189" s="56">
        <v>0.6</v>
      </c>
      <c r="O189" s="56">
        <v>1.58</v>
      </c>
      <c r="P189" s="58">
        <v>7.47</v>
      </c>
      <c r="Q189" s="59">
        <v>39.927024803983201</v>
      </c>
      <c r="R189" s="59">
        <v>1.23155819766708</v>
      </c>
      <c r="S189" s="59">
        <v>0.29101911670497599</v>
      </c>
      <c r="X189" s="2">
        <f t="shared" si="6"/>
        <v>0.60072975196016798</v>
      </c>
      <c r="Y189" s="2">
        <f>SUMIF(收盤價!A:A,A189,收盤價!C:C)</f>
        <v>9.51</v>
      </c>
      <c r="Z189" s="2">
        <f t="shared" si="7"/>
        <v>2433089.5559999999</v>
      </c>
      <c r="AA189" s="2">
        <f t="shared" si="8"/>
        <v>3097547.7480000001</v>
      </c>
    </row>
    <row r="190" spans="1:27" ht="14.5" customHeight="1">
      <c r="A190" s="19" t="s">
        <v>4855</v>
      </c>
      <c r="B190" s="3" t="s">
        <v>470</v>
      </c>
      <c r="C190" s="20">
        <v>9877956</v>
      </c>
      <c r="D190" s="20">
        <v>11282054</v>
      </c>
      <c r="E190" s="56">
        <v>-12.45</v>
      </c>
      <c r="F190" s="57">
        <v>72585</v>
      </c>
      <c r="G190" s="57">
        <v>129896</v>
      </c>
      <c r="H190" s="57">
        <v>-12879</v>
      </c>
      <c r="I190" s="57">
        <v>16524</v>
      </c>
      <c r="J190" s="57">
        <v>34647</v>
      </c>
      <c r="K190" s="57">
        <v>107450</v>
      </c>
      <c r="L190" s="56">
        <v>-67.760000000000005</v>
      </c>
      <c r="M190" s="20">
        <v>3211800</v>
      </c>
      <c r="N190" s="56">
        <v>0.11</v>
      </c>
      <c r="O190" s="56">
        <v>0.33</v>
      </c>
      <c r="P190" s="58">
        <v>26.97</v>
      </c>
      <c r="Q190" s="59">
        <v>90.307152667383903</v>
      </c>
      <c r="R190" s="59">
        <v>8.9962802807679996</v>
      </c>
      <c r="S190" s="59">
        <v>4.02795042404495</v>
      </c>
      <c r="X190" s="2">
        <f t="shared" si="6"/>
        <v>9.6928473326160974E-2</v>
      </c>
      <c r="Y190" s="2">
        <f>SUMIF(收盤價!A:A,A190,收盤價!C:C)</f>
        <v>19.600000000000001</v>
      </c>
      <c r="Z190" s="2">
        <f t="shared" si="7"/>
        <v>8662224.5999999996</v>
      </c>
      <c r="AA190" s="2">
        <f t="shared" si="8"/>
        <v>6295128.0000000009</v>
      </c>
    </row>
    <row r="191" spans="1:27" ht="14.5" customHeight="1">
      <c r="A191" s="19" t="s">
        <v>4856</v>
      </c>
      <c r="B191" s="3" t="s">
        <v>472</v>
      </c>
      <c r="C191" s="20">
        <v>11984206</v>
      </c>
      <c r="D191" s="20">
        <v>13404359</v>
      </c>
      <c r="E191" s="56">
        <v>-10.59</v>
      </c>
      <c r="F191" s="57">
        <v>498072</v>
      </c>
      <c r="G191" s="57">
        <v>942591</v>
      </c>
      <c r="H191" s="57">
        <v>-104803</v>
      </c>
      <c r="I191" s="57">
        <v>-149113</v>
      </c>
      <c r="J191" s="57">
        <v>268254</v>
      </c>
      <c r="K191" s="57">
        <v>544078</v>
      </c>
      <c r="L191" s="56">
        <v>-50.7</v>
      </c>
      <c r="M191" s="20">
        <v>2865260</v>
      </c>
      <c r="N191" s="56">
        <v>0.94</v>
      </c>
      <c r="O191" s="56">
        <v>1.97</v>
      </c>
      <c r="P191" s="58">
        <v>13.94</v>
      </c>
      <c r="Q191" s="59">
        <v>37.548248761876401</v>
      </c>
      <c r="R191" s="59">
        <v>1.6063776938605301</v>
      </c>
      <c r="S191" s="59">
        <v>0.61650758246179105</v>
      </c>
      <c r="X191" s="2">
        <f t="shared" si="6"/>
        <v>0.62451751238123598</v>
      </c>
      <c r="Y191" s="2">
        <f>SUMIF(收盤價!A:A,A191,收盤價!C:C)</f>
        <v>12.45</v>
      </c>
      <c r="Z191" s="2">
        <f t="shared" si="7"/>
        <v>3994172.44</v>
      </c>
      <c r="AA191" s="2">
        <f t="shared" si="8"/>
        <v>3567248.7</v>
      </c>
    </row>
    <row r="192" spans="1:27" ht="14.5" customHeight="1">
      <c r="A192" s="19" t="s">
        <v>4857</v>
      </c>
      <c r="B192" s="3" t="s">
        <v>474</v>
      </c>
      <c r="C192" s="20">
        <v>8477785</v>
      </c>
      <c r="D192" s="20">
        <v>8694163</v>
      </c>
      <c r="E192" s="56">
        <v>-2.4900000000000002</v>
      </c>
      <c r="F192" s="57">
        <v>-97900</v>
      </c>
      <c r="G192" s="57">
        <v>428630</v>
      </c>
      <c r="H192" s="57">
        <v>222357</v>
      </c>
      <c r="I192" s="57">
        <v>713597</v>
      </c>
      <c r="J192" s="57">
        <v>120674</v>
      </c>
      <c r="K192" s="57">
        <v>978725</v>
      </c>
      <c r="L192" s="56">
        <v>-87.67</v>
      </c>
      <c r="M192" s="20">
        <v>3106877</v>
      </c>
      <c r="N192" s="56">
        <v>0.39</v>
      </c>
      <c r="O192" s="56">
        <v>3.17</v>
      </c>
      <c r="P192" s="58">
        <v>20.23</v>
      </c>
      <c r="Q192" s="59">
        <v>39.0609309821903</v>
      </c>
      <c r="R192" s="59">
        <v>1.37243801724132</v>
      </c>
      <c r="S192" s="59">
        <v>0.78311222440667105</v>
      </c>
      <c r="X192" s="2">
        <f t="shared" si="6"/>
        <v>0.60939069017809699</v>
      </c>
      <c r="Y192" s="2">
        <f>SUMIF(收盤價!A:A,A192,收盤價!C:C)</f>
        <v>31.5</v>
      </c>
      <c r="Z192" s="2">
        <f t="shared" si="7"/>
        <v>6285212.1710000001</v>
      </c>
      <c r="AA192" s="2">
        <f t="shared" si="8"/>
        <v>9786662.5500000007</v>
      </c>
    </row>
    <row r="193" spans="1:27" ht="14.5" customHeight="1">
      <c r="A193" s="19" t="s">
        <v>4858</v>
      </c>
      <c r="B193" s="3" t="s">
        <v>476</v>
      </c>
      <c r="C193" s="20">
        <v>2844436</v>
      </c>
      <c r="D193" s="20">
        <v>3067403</v>
      </c>
      <c r="E193" s="56">
        <v>-7.27</v>
      </c>
      <c r="F193" s="57">
        <v>48985</v>
      </c>
      <c r="G193" s="57">
        <v>24923</v>
      </c>
      <c r="H193" s="57">
        <v>8714</v>
      </c>
      <c r="I193" s="57">
        <v>-4892</v>
      </c>
      <c r="J193" s="57">
        <v>47375</v>
      </c>
      <c r="K193" s="57">
        <v>16402</v>
      </c>
      <c r="L193" s="56">
        <v>188.84</v>
      </c>
      <c r="M193" s="20">
        <v>1305215</v>
      </c>
      <c r="N193" s="56">
        <v>0.36</v>
      </c>
      <c r="O193" s="56">
        <v>0.13</v>
      </c>
      <c r="P193" s="58">
        <v>12.82</v>
      </c>
      <c r="Q193" s="59">
        <v>83.819200959817707</v>
      </c>
      <c r="R193" s="59">
        <v>9.8096088068276206</v>
      </c>
      <c r="S193" s="59">
        <v>7.4939644007571502</v>
      </c>
      <c r="X193" s="2">
        <f t="shared" si="6"/>
        <v>0.16180799040182292</v>
      </c>
      <c r="Y193" s="2">
        <f>SUMIF(收盤價!A:A,A193,收盤價!C:C)</f>
        <v>9.19</v>
      </c>
      <c r="Z193" s="2">
        <f t="shared" si="7"/>
        <v>1673285.6300000001</v>
      </c>
      <c r="AA193" s="2">
        <f t="shared" si="8"/>
        <v>1199492.585</v>
      </c>
    </row>
    <row r="194" spans="1:27" ht="14.5" customHeight="1">
      <c r="A194" s="19" t="s">
        <v>4859</v>
      </c>
      <c r="B194" s="3" t="s">
        <v>478</v>
      </c>
      <c r="C194" s="20">
        <v>832001</v>
      </c>
      <c r="D194" s="20">
        <v>816819</v>
      </c>
      <c r="E194" s="56">
        <v>1.86</v>
      </c>
      <c r="F194" s="57">
        <v>-6821</v>
      </c>
      <c r="G194" s="57">
        <v>11387</v>
      </c>
      <c r="H194" s="57">
        <v>43412</v>
      </c>
      <c r="I194" s="57">
        <v>4029</v>
      </c>
      <c r="J194" s="57">
        <v>36444</v>
      </c>
      <c r="K194" s="57">
        <v>11933</v>
      </c>
      <c r="L194" s="56">
        <v>205.41</v>
      </c>
      <c r="M194" s="20">
        <v>806945</v>
      </c>
      <c r="N194" s="56">
        <v>0.45</v>
      </c>
      <c r="O194" s="56">
        <v>0.15</v>
      </c>
      <c r="P194" s="58">
        <v>12.6</v>
      </c>
      <c r="Q194" s="59">
        <v>82.199720981014593</v>
      </c>
      <c r="R194" s="59">
        <v>2.4486748786860799</v>
      </c>
      <c r="S194" s="59">
        <v>1.4476496205051601</v>
      </c>
      <c r="X194" s="2">
        <f t="shared" si="6"/>
        <v>0.17800279018985407</v>
      </c>
      <c r="Y194" s="2">
        <f>SUMIF(收盤價!A:A,A194,收盤價!C:C)</f>
        <v>9.02</v>
      </c>
      <c r="Z194" s="2">
        <f t="shared" si="7"/>
        <v>1016750.7</v>
      </c>
      <c r="AA194" s="2">
        <f t="shared" si="8"/>
        <v>727864.3899999999</v>
      </c>
    </row>
    <row r="195" spans="1:27" ht="14.5" customHeight="1">
      <c r="A195" s="19" t="s">
        <v>4860</v>
      </c>
      <c r="B195" s="3" t="s">
        <v>480</v>
      </c>
      <c r="C195" s="20">
        <v>16308739</v>
      </c>
      <c r="D195" s="20">
        <v>19129638</v>
      </c>
      <c r="E195" s="56">
        <v>-14.75</v>
      </c>
      <c r="F195" s="57">
        <v>802108</v>
      </c>
      <c r="G195" s="57">
        <v>1131110</v>
      </c>
      <c r="H195" s="57">
        <v>-24744</v>
      </c>
      <c r="I195" s="57">
        <v>16953</v>
      </c>
      <c r="J195" s="57">
        <v>623729</v>
      </c>
      <c r="K195" s="57">
        <v>909851</v>
      </c>
      <c r="L195" s="56">
        <v>-31.45</v>
      </c>
      <c r="M195" s="20">
        <v>4071307</v>
      </c>
      <c r="N195" s="56">
        <v>1.53</v>
      </c>
      <c r="O195" s="56">
        <v>2.23</v>
      </c>
      <c r="P195" s="58">
        <v>18.29</v>
      </c>
      <c r="Q195" s="59">
        <v>61.341252492203502</v>
      </c>
      <c r="R195" s="59">
        <v>1.63450342944197</v>
      </c>
      <c r="S195" s="59">
        <v>0.77857211124417203</v>
      </c>
      <c r="X195" s="2">
        <f t="shared" si="6"/>
        <v>0.38658747507796498</v>
      </c>
      <c r="Y195" s="2">
        <f>SUMIF(收盤價!A:A,A195,收盤價!C:C)</f>
        <v>26</v>
      </c>
      <c r="Z195" s="2">
        <f t="shared" si="7"/>
        <v>7446420.5030000005</v>
      </c>
      <c r="AA195" s="2">
        <f t="shared" si="8"/>
        <v>10585398.199999999</v>
      </c>
    </row>
    <row r="196" spans="1:27" ht="14.5" customHeight="1">
      <c r="A196" s="19" t="s">
        <v>4861</v>
      </c>
      <c r="B196" s="3" t="s">
        <v>482</v>
      </c>
      <c r="C196" s="20">
        <v>7953592</v>
      </c>
      <c r="D196" s="20">
        <v>8142087</v>
      </c>
      <c r="E196" s="56">
        <v>-2.3199999999999998</v>
      </c>
      <c r="F196" s="57">
        <v>-332051</v>
      </c>
      <c r="G196" s="57">
        <v>-325961</v>
      </c>
      <c r="H196" s="57">
        <v>9643</v>
      </c>
      <c r="I196" s="57">
        <v>45781</v>
      </c>
      <c r="J196" s="57">
        <v>-253584</v>
      </c>
      <c r="K196" s="57">
        <v>-197432</v>
      </c>
      <c r="L196" s="56"/>
      <c r="M196" s="20">
        <v>1812645</v>
      </c>
      <c r="N196" s="56">
        <v>-1.4</v>
      </c>
      <c r="O196" s="56">
        <v>-1.0900000000000001</v>
      </c>
      <c r="P196" s="58">
        <v>16.399999999999999</v>
      </c>
      <c r="Q196" s="59">
        <v>37.642252296482802</v>
      </c>
      <c r="R196" s="59">
        <v>0.90888141082178797</v>
      </c>
      <c r="S196" s="59">
        <v>0.28038030720382101</v>
      </c>
      <c r="X196" s="2">
        <f t="shared" si="6"/>
        <v>0.62357747703517197</v>
      </c>
      <c r="Y196" s="2">
        <f>SUMIF(收盤價!A:A,A196,收盤價!C:C)</f>
        <v>7.22</v>
      </c>
      <c r="Z196" s="2">
        <f t="shared" si="7"/>
        <v>2972737.8</v>
      </c>
      <c r="AA196" s="2">
        <f t="shared" si="8"/>
        <v>1308729.69</v>
      </c>
    </row>
    <row r="197" spans="1:27" ht="14.5" customHeight="1">
      <c r="A197" s="19" t="s">
        <v>4862</v>
      </c>
      <c r="B197" s="3" t="s">
        <v>490</v>
      </c>
      <c r="C197" s="20">
        <v>8727904</v>
      </c>
      <c r="D197" s="20">
        <v>8553613</v>
      </c>
      <c r="E197" s="56">
        <v>2.04</v>
      </c>
      <c r="F197" s="57">
        <v>97619</v>
      </c>
      <c r="G197" s="57">
        <v>51354</v>
      </c>
      <c r="H197" s="57">
        <v>-80530</v>
      </c>
      <c r="I197" s="57">
        <v>943290</v>
      </c>
      <c r="J197" s="57">
        <v>7906</v>
      </c>
      <c r="K197" s="57">
        <v>870508</v>
      </c>
      <c r="L197" s="56">
        <v>-99.09</v>
      </c>
      <c r="M197" s="20">
        <v>1563868</v>
      </c>
      <c r="N197" s="56">
        <v>0.05</v>
      </c>
      <c r="O197" s="56">
        <v>5.9</v>
      </c>
      <c r="P197" s="58">
        <v>21.26</v>
      </c>
      <c r="Q197" s="59">
        <v>41.127705713134397</v>
      </c>
      <c r="R197" s="59">
        <v>1.10180002299391</v>
      </c>
      <c r="S197" s="59">
        <v>0.394690740287157</v>
      </c>
      <c r="X197" s="2">
        <f t="shared" ref="X197:X260" si="9">IF(W197&lt;&gt;"",ROUND(W197/U197,2),(100-Q197)/100)</f>
        <v>0.58872294286865601</v>
      </c>
      <c r="Y197" s="2">
        <f>SUMIF(收盤價!A:A,A197,收盤價!C:C)</f>
        <v>18.75</v>
      </c>
      <c r="Z197" s="2">
        <f t="shared" ref="Z197:Z260" si="10">IF(W197&lt;&gt;"",U197-W197,M197*P197/10)</f>
        <v>3324783.3680000002</v>
      </c>
      <c r="AA197" s="2">
        <f t="shared" ref="AA197:AA260" si="11">Y197*M197/10</f>
        <v>2932252.5</v>
      </c>
    </row>
    <row r="198" spans="1:27" ht="14.5" customHeight="1">
      <c r="A198" s="19" t="s">
        <v>4863</v>
      </c>
      <c r="B198" s="3" t="s">
        <v>1037</v>
      </c>
      <c r="C198" s="20">
        <v>2816190</v>
      </c>
      <c r="D198" s="20">
        <v>2279430</v>
      </c>
      <c r="E198" s="56">
        <v>23.55</v>
      </c>
      <c r="F198" s="57">
        <v>473471</v>
      </c>
      <c r="G198" s="57">
        <v>362631</v>
      </c>
      <c r="H198" s="57">
        <v>-15633</v>
      </c>
      <c r="I198" s="57">
        <v>25509</v>
      </c>
      <c r="J198" s="57">
        <v>350824</v>
      </c>
      <c r="K198" s="57">
        <v>301004</v>
      </c>
      <c r="L198" s="56">
        <v>16.55</v>
      </c>
      <c r="M198" s="20">
        <v>526472</v>
      </c>
      <c r="N198" s="56">
        <v>6.66</v>
      </c>
      <c r="O198" s="56">
        <v>5.72</v>
      </c>
      <c r="P198" s="58">
        <v>36.380000000000003</v>
      </c>
      <c r="Q198" s="59">
        <v>38.440211714969898</v>
      </c>
      <c r="R198" s="59">
        <v>1.27708714661169</v>
      </c>
      <c r="S198" s="59">
        <v>0.65560735044153096</v>
      </c>
      <c r="X198" s="2">
        <f t="shared" si="9"/>
        <v>0.61559788285030104</v>
      </c>
      <c r="Y198" s="2">
        <f>SUMIF(收盤價!A:A,A198,收盤價!C:C)</f>
        <v>88</v>
      </c>
      <c r="Z198" s="2">
        <f t="shared" si="10"/>
        <v>1915305.1360000004</v>
      </c>
      <c r="AA198" s="2">
        <f t="shared" si="11"/>
        <v>4632953.5999999996</v>
      </c>
    </row>
    <row r="199" spans="1:27" ht="14.5" customHeight="1">
      <c r="A199" s="19" t="s">
        <v>4864</v>
      </c>
      <c r="B199" s="3" t="s">
        <v>1434</v>
      </c>
      <c r="C199" s="20">
        <v>6549045</v>
      </c>
      <c r="D199" s="20">
        <v>7982431</v>
      </c>
      <c r="E199" s="56">
        <v>-17.96</v>
      </c>
      <c r="F199" s="57">
        <v>993106</v>
      </c>
      <c r="G199" s="57">
        <v>1387972</v>
      </c>
      <c r="H199" s="57">
        <v>41980</v>
      </c>
      <c r="I199" s="57">
        <v>45000</v>
      </c>
      <c r="J199" s="57">
        <v>817640</v>
      </c>
      <c r="K199" s="57">
        <v>1121465</v>
      </c>
      <c r="L199" s="56">
        <v>-27.09</v>
      </c>
      <c r="M199" s="20">
        <v>2949401</v>
      </c>
      <c r="N199" s="56">
        <v>2.77</v>
      </c>
      <c r="O199" s="56">
        <v>3.8</v>
      </c>
      <c r="P199" s="58">
        <v>21.29</v>
      </c>
      <c r="Q199" s="59">
        <v>80.024772224732303</v>
      </c>
      <c r="R199" s="59">
        <v>4.7316614993580304</v>
      </c>
      <c r="S199" s="59">
        <v>2.8567386822872902</v>
      </c>
      <c r="X199" s="2">
        <f t="shared" si="9"/>
        <v>0.19975227775267698</v>
      </c>
      <c r="Y199" s="2">
        <f>SUMIF(收盤價!A:A,A199,收盤價!C:C)</f>
        <v>57</v>
      </c>
      <c r="Z199" s="2">
        <f t="shared" si="10"/>
        <v>6279274.7290000003</v>
      </c>
      <c r="AA199" s="2">
        <f t="shared" si="11"/>
        <v>16811585.699999999</v>
      </c>
    </row>
    <row r="200" spans="1:27" ht="14.5" customHeight="1">
      <c r="A200" s="19" t="s">
        <v>4865</v>
      </c>
      <c r="B200" s="3" t="s">
        <v>1488</v>
      </c>
      <c r="C200" s="20">
        <v>8807059</v>
      </c>
      <c r="D200" s="20">
        <v>8886549</v>
      </c>
      <c r="E200" s="56">
        <v>-0.89</v>
      </c>
      <c r="F200" s="57">
        <v>654299</v>
      </c>
      <c r="G200" s="57">
        <v>728384</v>
      </c>
      <c r="H200" s="57">
        <v>-65824</v>
      </c>
      <c r="I200" s="57">
        <v>-56185</v>
      </c>
      <c r="J200" s="57">
        <v>466098</v>
      </c>
      <c r="K200" s="57">
        <v>535870</v>
      </c>
      <c r="L200" s="56">
        <v>-13.02</v>
      </c>
      <c r="M200" s="20">
        <v>1680000</v>
      </c>
      <c r="N200" s="56">
        <v>2.77</v>
      </c>
      <c r="O200" s="56">
        <v>3.19</v>
      </c>
      <c r="P200" s="58">
        <v>23.05</v>
      </c>
      <c r="Q200" s="59">
        <v>52.8407380797168</v>
      </c>
      <c r="R200" s="59">
        <v>2.3590738857082001</v>
      </c>
      <c r="S200" s="59">
        <v>1.24845243976867</v>
      </c>
      <c r="X200" s="2">
        <f t="shared" si="9"/>
        <v>0.47159261920283202</v>
      </c>
      <c r="Y200" s="2">
        <f>SUMIF(收盤價!A:A,A200,收盤價!C:C)</f>
        <v>31.65</v>
      </c>
      <c r="Z200" s="2">
        <f t="shared" si="10"/>
        <v>3872400</v>
      </c>
      <c r="AA200" s="2">
        <f t="shared" si="11"/>
        <v>5317200</v>
      </c>
    </row>
    <row r="201" spans="1:27" ht="14.5" customHeight="1">
      <c r="A201" s="19" t="s">
        <v>4866</v>
      </c>
      <c r="B201" s="3" t="s">
        <v>1924</v>
      </c>
      <c r="C201" s="20">
        <v>2402396</v>
      </c>
      <c r="D201" s="20">
        <v>1654761</v>
      </c>
      <c r="E201" s="56">
        <v>45.18</v>
      </c>
      <c r="F201" s="57">
        <v>115832</v>
      </c>
      <c r="G201" s="57">
        <v>64345</v>
      </c>
      <c r="H201" s="57">
        <v>646432</v>
      </c>
      <c r="I201" s="57">
        <v>-27154</v>
      </c>
      <c r="J201" s="57">
        <v>738868</v>
      </c>
      <c r="K201" s="57">
        <v>33411</v>
      </c>
      <c r="L201" s="56">
        <v>2111.4499999999998</v>
      </c>
      <c r="M201" s="20">
        <v>2094348</v>
      </c>
      <c r="N201" s="56">
        <v>3.53</v>
      </c>
      <c r="O201" s="56">
        <v>0.17</v>
      </c>
      <c r="P201" s="58">
        <v>21.22</v>
      </c>
      <c r="Q201" s="59">
        <v>39.526983961214199</v>
      </c>
      <c r="R201" s="59">
        <v>1.7010705518926299</v>
      </c>
      <c r="S201" s="59">
        <v>1.2102914987808699</v>
      </c>
      <c r="X201" s="2">
        <f t="shared" si="9"/>
        <v>0.60473016038785798</v>
      </c>
      <c r="Y201" s="2">
        <f>SUMIF(收盤價!A:A,A201,收盤價!C:C)</f>
        <v>72.2</v>
      </c>
      <c r="Z201" s="2">
        <f t="shared" si="10"/>
        <v>4444206.4559999993</v>
      </c>
      <c r="AA201" s="2">
        <f t="shared" si="11"/>
        <v>15121192.559999999</v>
      </c>
    </row>
    <row r="202" spans="1:27" ht="14.5" customHeight="1">
      <c r="A202" s="19" t="s">
        <v>4867</v>
      </c>
      <c r="B202" s="3" t="s">
        <v>492</v>
      </c>
      <c r="C202" s="20">
        <v>11111580</v>
      </c>
      <c r="D202" s="20">
        <v>10445261</v>
      </c>
      <c r="E202" s="56">
        <v>6.38</v>
      </c>
      <c r="F202" s="57">
        <v>714705</v>
      </c>
      <c r="G202" s="57">
        <v>425577</v>
      </c>
      <c r="H202" s="57">
        <v>620498</v>
      </c>
      <c r="I202" s="57">
        <v>-85154</v>
      </c>
      <c r="J202" s="57">
        <v>1135684</v>
      </c>
      <c r="K202" s="57">
        <v>183406</v>
      </c>
      <c r="L202" s="56">
        <v>519.22</v>
      </c>
      <c r="M202" s="20">
        <v>8339349</v>
      </c>
      <c r="N202" s="56">
        <v>1.42</v>
      </c>
      <c r="O202" s="56">
        <v>0.23</v>
      </c>
      <c r="P202" s="58">
        <v>13.35</v>
      </c>
      <c r="Q202" s="59">
        <v>38.740967599248599</v>
      </c>
      <c r="R202" s="59">
        <v>1.1392687646184501</v>
      </c>
      <c r="S202" s="59">
        <v>0.33111687084828201</v>
      </c>
      <c r="X202" s="2">
        <f t="shared" si="9"/>
        <v>0.61259032400751401</v>
      </c>
      <c r="Y202" s="2">
        <f>SUMIF(收盤價!A:A,A202,收盤價!C:C)</f>
        <v>48.3</v>
      </c>
      <c r="Z202" s="2">
        <f t="shared" si="10"/>
        <v>11133030.914999999</v>
      </c>
      <c r="AA202" s="2">
        <f t="shared" si="11"/>
        <v>40279055.670000002</v>
      </c>
    </row>
    <row r="203" spans="1:27" ht="14.5" customHeight="1">
      <c r="A203" s="19" t="s">
        <v>4868</v>
      </c>
      <c r="B203" s="3" t="s">
        <v>494</v>
      </c>
      <c r="C203" s="20">
        <v>4541002</v>
      </c>
      <c r="D203" s="20">
        <v>5008113</v>
      </c>
      <c r="E203" s="56">
        <v>-9.33</v>
      </c>
      <c r="F203" s="57">
        <v>-386034</v>
      </c>
      <c r="G203" s="57">
        <v>-922899</v>
      </c>
      <c r="H203" s="57">
        <v>-276394</v>
      </c>
      <c r="I203" s="57">
        <v>-462459</v>
      </c>
      <c r="J203" s="57">
        <v>-669563</v>
      </c>
      <c r="K203" s="57">
        <v>-1225568</v>
      </c>
      <c r="L203" s="56"/>
      <c r="M203" s="20">
        <v>4733292</v>
      </c>
      <c r="N203" s="56">
        <v>-1.46</v>
      </c>
      <c r="O203" s="56">
        <v>-2.67</v>
      </c>
      <c r="P203" s="58">
        <v>15.93</v>
      </c>
      <c r="Q203" s="59">
        <v>53.809818735837297</v>
      </c>
      <c r="R203" s="59">
        <v>2.7212253737882399</v>
      </c>
      <c r="S203" s="59">
        <v>1.45946554762531</v>
      </c>
      <c r="X203" s="2">
        <f t="shared" si="9"/>
        <v>0.46190181264162705</v>
      </c>
      <c r="Y203" s="2">
        <f>SUMIF(收盤價!A:A,A203,收盤價!C:C)</f>
        <v>13.95</v>
      </c>
      <c r="Z203" s="2">
        <f t="shared" si="10"/>
        <v>7540134.1560000004</v>
      </c>
      <c r="AA203" s="2">
        <f t="shared" si="11"/>
        <v>6602942.3399999999</v>
      </c>
    </row>
    <row r="204" spans="1:27" ht="14.5" customHeight="1">
      <c r="A204" s="19" t="s">
        <v>4869</v>
      </c>
      <c r="B204" s="3" t="s">
        <v>496</v>
      </c>
      <c r="C204" s="20">
        <v>28910723</v>
      </c>
      <c r="D204" s="20">
        <v>29751218</v>
      </c>
      <c r="E204" s="56">
        <v>-2.83</v>
      </c>
      <c r="F204" s="57">
        <v>1084861</v>
      </c>
      <c r="G204" s="57">
        <v>1301814</v>
      </c>
      <c r="H204" s="57">
        <v>169777</v>
      </c>
      <c r="I204" s="57">
        <v>328629</v>
      </c>
      <c r="J204" s="57">
        <v>740316</v>
      </c>
      <c r="K204" s="57">
        <v>1192186</v>
      </c>
      <c r="L204" s="56">
        <v>-37.9</v>
      </c>
      <c r="M204" s="20">
        <v>8257099</v>
      </c>
      <c r="N204" s="56">
        <v>0.9</v>
      </c>
      <c r="O204" s="56">
        <v>1.44</v>
      </c>
      <c r="P204" s="58">
        <v>18.02</v>
      </c>
      <c r="Q204" s="59">
        <v>45.750352845676403</v>
      </c>
      <c r="R204" s="59">
        <v>1.65215420403235</v>
      </c>
      <c r="S204" s="59">
        <v>0.90936800947472396</v>
      </c>
      <c r="X204" s="2">
        <f t="shared" si="9"/>
        <v>0.54249647154323599</v>
      </c>
      <c r="Y204" s="2">
        <f>SUMIF(收盤價!A:A,A204,收盤價!C:C)</f>
        <v>24.1</v>
      </c>
      <c r="Z204" s="2">
        <f t="shared" si="10"/>
        <v>14879292.397999998</v>
      </c>
      <c r="AA204" s="2">
        <f t="shared" si="11"/>
        <v>19899608.59</v>
      </c>
    </row>
    <row r="205" spans="1:27" ht="14.5" customHeight="1">
      <c r="A205" s="19" t="s">
        <v>4870</v>
      </c>
      <c r="B205" s="3" t="s">
        <v>498</v>
      </c>
      <c r="C205" s="20">
        <v>22270936</v>
      </c>
      <c r="D205" s="20">
        <v>24431724</v>
      </c>
      <c r="E205" s="56">
        <v>-8.84</v>
      </c>
      <c r="F205" s="57">
        <v>2141395</v>
      </c>
      <c r="G205" s="57">
        <v>4630135</v>
      </c>
      <c r="H205" s="57">
        <v>-50947</v>
      </c>
      <c r="I205" s="57">
        <v>-61254</v>
      </c>
      <c r="J205" s="57">
        <v>1167839</v>
      </c>
      <c r="K205" s="57">
        <v>2994196</v>
      </c>
      <c r="L205" s="56">
        <v>-61</v>
      </c>
      <c r="M205" s="20">
        <v>9847336</v>
      </c>
      <c r="N205" s="56">
        <v>1.2</v>
      </c>
      <c r="O205" s="56">
        <v>3.7</v>
      </c>
      <c r="P205" s="58">
        <v>31.12</v>
      </c>
      <c r="Q205" s="59">
        <v>58.496090154949897</v>
      </c>
      <c r="R205" s="59">
        <v>2.3007027959054498</v>
      </c>
      <c r="S205" s="59">
        <v>1.3838790103102501</v>
      </c>
      <c r="X205" s="2">
        <f t="shared" si="9"/>
        <v>0.41503909845050102</v>
      </c>
      <c r="Y205" s="2">
        <f>SUMIF(收盤價!A:A,A205,收盤價!C:C)</f>
        <v>31.4</v>
      </c>
      <c r="Z205" s="2">
        <f t="shared" si="10"/>
        <v>30644909.631999999</v>
      </c>
      <c r="AA205" s="2">
        <f t="shared" si="11"/>
        <v>30920635.039999999</v>
      </c>
    </row>
    <row r="206" spans="1:27" ht="14.5" customHeight="1">
      <c r="A206" s="19" t="s">
        <v>4871</v>
      </c>
      <c r="B206" s="3" t="s">
        <v>500</v>
      </c>
      <c r="C206" s="20">
        <v>109507773</v>
      </c>
      <c r="D206" s="20">
        <v>109221209</v>
      </c>
      <c r="E206" s="56">
        <v>0.26</v>
      </c>
      <c r="F206" s="57">
        <v>7003132</v>
      </c>
      <c r="G206" s="57">
        <v>7415189</v>
      </c>
      <c r="H206" s="57">
        <v>-1175833</v>
      </c>
      <c r="I206" s="57">
        <v>-1505548</v>
      </c>
      <c r="J206" s="57">
        <v>3466827</v>
      </c>
      <c r="K206" s="57">
        <v>3520320</v>
      </c>
      <c r="L206" s="56">
        <v>-1.52</v>
      </c>
      <c r="M206" s="20">
        <v>32414155</v>
      </c>
      <c r="N206" s="56">
        <v>1.07</v>
      </c>
      <c r="O206" s="56">
        <v>1.0900000000000001</v>
      </c>
      <c r="P206" s="58">
        <v>23.88</v>
      </c>
      <c r="Q206" s="59">
        <v>47.180916212936999</v>
      </c>
      <c r="R206" s="59">
        <v>1.3577029481081699</v>
      </c>
      <c r="S206" s="59">
        <v>0.88138193805969001</v>
      </c>
      <c r="X206" s="2">
        <f t="shared" si="9"/>
        <v>0.52819083787063004</v>
      </c>
      <c r="Y206" s="2">
        <f>SUMIF(收盤價!A:A,A206,收盤價!C:C)</f>
        <v>41.8</v>
      </c>
      <c r="Z206" s="2">
        <f t="shared" si="10"/>
        <v>77405002.140000001</v>
      </c>
      <c r="AA206" s="2">
        <f t="shared" si="11"/>
        <v>135491167.90000001</v>
      </c>
    </row>
    <row r="207" spans="1:27" ht="14.5" customHeight="1">
      <c r="A207" s="19" t="s">
        <v>4872</v>
      </c>
      <c r="B207" s="3" t="s">
        <v>502</v>
      </c>
      <c r="C207" s="20">
        <v>32127436</v>
      </c>
      <c r="D207" s="20">
        <v>31526206</v>
      </c>
      <c r="E207" s="56">
        <v>1.91</v>
      </c>
      <c r="F207" s="57">
        <v>1254531</v>
      </c>
      <c r="G207" s="57">
        <v>570145</v>
      </c>
      <c r="H207" s="57">
        <v>112447</v>
      </c>
      <c r="I207" s="57">
        <v>591149</v>
      </c>
      <c r="J207" s="57">
        <v>1013562</v>
      </c>
      <c r="K207" s="57">
        <v>689167</v>
      </c>
      <c r="L207" s="56">
        <v>47.07</v>
      </c>
      <c r="M207" s="20">
        <v>8744300</v>
      </c>
      <c r="N207" s="56">
        <v>1.1599999999999999</v>
      </c>
      <c r="O207" s="56">
        <v>0.79</v>
      </c>
      <c r="P207" s="58">
        <v>21.48</v>
      </c>
      <c r="Q207" s="59">
        <v>44.699776545739098</v>
      </c>
      <c r="R207" s="59">
        <v>2.7308198847833598</v>
      </c>
      <c r="S207" s="59">
        <v>1.3504453032508801</v>
      </c>
      <c r="X207" s="2">
        <f t="shared" si="9"/>
        <v>0.55300223454260899</v>
      </c>
      <c r="Y207" s="2">
        <f>SUMIF(收盤價!A:A,A207,收盤價!C:C)</f>
        <v>30.6</v>
      </c>
      <c r="Z207" s="2">
        <f t="shared" si="10"/>
        <v>18782756.399999999</v>
      </c>
      <c r="AA207" s="2">
        <f t="shared" si="11"/>
        <v>26757558</v>
      </c>
    </row>
    <row r="208" spans="1:27" ht="14.5" customHeight="1">
      <c r="A208" s="19" t="s">
        <v>4873</v>
      </c>
      <c r="B208" s="3" t="s">
        <v>504</v>
      </c>
      <c r="C208" s="20">
        <v>2701777</v>
      </c>
      <c r="D208" s="20">
        <v>1373818</v>
      </c>
      <c r="E208" s="56">
        <v>96.66</v>
      </c>
      <c r="F208" s="57">
        <v>423813</v>
      </c>
      <c r="G208" s="57">
        <v>101195</v>
      </c>
      <c r="H208" s="57">
        <v>128874</v>
      </c>
      <c r="I208" s="57">
        <v>159232</v>
      </c>
      <c r="J208" s="57">
        <v>538957</v>
      </c>
      <c r="K208" s="57">
        <v>215802</v>
      </c>
      <c r="L208" s="56">
        <v>149.75</v>
      </c>
      <c r="M208" s="20">
        <v>3500000</v>
      </c>
      <c r="N208" s="56">
        <v>1.54</v>
      </c>
      <c r="O208" s="56">
        <v>0.59</v>
      </c>
      <c r="P208" s="58">
        <v>30.88</v>
      </c>
      <c r="Q208" s="59">
        <v>83.259709167595403</v>
      </c>
      <c r="R208" s="59">
        <v>4.4674637160212098</v>
      </c>
      <c r="S208" s="59">
        <v>0.56537002886048005</v>
      </c>
      <c r="X208" s="2">
        <f t="shared" si="9"/>
        <v>0.16740290832404597</v>
      </c>
      <c r="Y208" s="2">
        <f>SUMIF(收盤價!A:A,A208,收盤價!C:C)</f>
        <v>18.850000000000001</v>
      </c>
      <c r="Z208" s="2">
        <f t="shared" si="10"/>
        <v>10808000</v>
      </c>
      <c r="AA208" s="2">
        <f t="shared" si="11"/>
        <v>6597500.0000000009</v>
      </c>
    </row>
    <row r="209" spans="1:27" ht="14.5" customHeight="1">
      <c r="A209" s="19" t="s">
        <v>4874</v>
      </c>
      <c r="B209" s="3" t="s">
        <v>506</v>
      </c>
      <c r="C209" s="20">
        <v>12391836</v>
      </c>
      <c r="D209" s="20">
        <v>13809832</v>
      </c>
      <c r="E209" s="56">
        <v>-10.27</v>
      </c>
      <c r="F209" s="57">
        <v>1979134</v>
      </c>
      <c r="G209" s="57">
        <v>1939898</v>
      </c>
      <c r="H209" s="57">
        <v>50892</v>
      </c>
      <c r="I209" s="57">
        <v>190162</v>
      </c>
      <c r="J209" s="57">
        <v>1426780</v>
      </c>
      <c r="K209" s="57">
        <v>1534951</v>
      </c>
      <c r="L209" s="56">
        <v>-7.05</v>
      </c>
      <c r="M209" s="20">
        <v>4924167</v>
      </c>
      <c r="N209" s="56">
        <v>2.9</v>
      </c>
      <c r="O209" s="56">
        <v>3.12</v>
      </c>
      <c r="P209" s="58">
        <v>17.010000000000002</v>
      </c>
      <c r="Q209" s="59">
        <v>78.504366454161797</v>
      </c>
      <c r="R209" s="59">
        <v>4.96417467979688</v>
      </c>
      <c r="S209" s="59">
        <v>3.1699007368621599</v>
      </c>
      <c r="X209" s="2">
        <f t="shared" si="9"/>
        <v>0.21495633545838203</v>
      </c>
      <c r="Y209" s="2">
        <f>SUMIF(收盤價!A:A,A209,收盤價!C:C)</f>
        <v>30.1</v>
      </c>
      <c r="Z209" s="2">
        <f t="shared" si="10"/>
        <v>8376008.0669999998</v>
      </c>
      <c r="AA209" s="2">
        <f t="shared" si="11"/>
        <v>14821742.670000002</v>
      </c>
    </row>
    <row r="210" spans="1:27" ht="14.5" customHeight="1">
      <c r="A210" s="19" t="s">
        <v>4875</v>
      </c>
      <c r="B210" s="3" t="s">
        <v>508</v>
      </c>
      <c r="C210" s="20">
        <v>5264937</v>
      </c>
      <c r="D210" s="20">
        <v>5256328</v>
      </c>
      <c r="E210" s="56">
        <v>0.16</v>
      </c>
      <c r="F210" s="57">
        <v>365506</v>
      </c>
      <c r="G210" s="57">
        <v>45599</v>
      </c>
      <c r="H210" s="57">
        <v>-72794</v>
      </c>
      <c r="I210" s="57">
        <v>-161790</v>
      </c>
      <c r="J210" s="57">
        <v>10891</v>
      </c>
      <c r="K210" s="57">
        <v>-253461</v>
      </c>
      <c r="L210" s="56"/>
      <c r="M210" s="20">
        <v>3323492</v>
      </c>
      <c r="N210" s="56">
        <v>0.03</v>
      </c>
      <c r="O210" s="56">
        <v>-0.76</v>
      </c>
      <c r="P210" s="58">
        <v>8.23</v>
      </c>
      <c r="Q210" s="59">
        <v>36.940028557893903</v>
      </c>
      <c r="R210" s="59">
        <v>2.0178168778458301</v>
      </c>
      <c r="S210" s="59">
        <v>1.2672962036242299</v>
      </c>
      <c r="X210" s="2">
        <f t="shared" si="9"/>
        <v>0.630599714421061</v>
      </c>
      <c r="Y210" s="2">
        <f>SUMIF(收盤價!A:A,A210,收盤價!C:C)</f>
        <v>11.05</v>
      </c>
      <c r="Z210" s="2">
        <f t="shared" si="10"/>
        <v>2735233.9160000002</v>
      </c>
      <c r="AA210" s="2">
        <f t="shared" si="11"/>
        <v>3672458.66</v>
      </c>
    </row>
    <row r="211" spans="1:27" ht="14.5" customHeight="1">
      <c r="A211" s="19" t="s">
        <v>4876</v>
      </c>
      <c r="B211" s="3" t="s">
        <v>510</v>
      </c>
      <c r="C211" s="20">
        <v>1658837</v>
      </c>
      <c r="D211" s="20">
        <v>1843877</v>
      </c>
      <c r="E211" s="56">
        <v>-10.039999999999999</v>
      </c>
      <c r="F211" s="57">
        <v>455402</v>
      </c>
      <c r="G211" s="57">
        <v>483578</v>
      </c>
      <c r="H211" s="57">
        <v>45110</v>
      </c>
      <c r="I211" s="57">
        <v>3352</v>
      </c>
      <c r="J211" s="57">
        <v>399524</v>
      </c>
      <c r="K211" s="57">
        <v>394842</v>
      </c>
      <c r="L211" s="56">
        <v>1.19</v>
      </c>
      <c r="M211" s="20">
        <v>709016</v>
      </c>
      <c r="N211" s="56">
        <v>5.63</v>
      </c>
      <c r="O211" s="56">
        <v>5.57</v>
      </c>
      <c r="P211" s="58">
        <v>33.130000000000003</v>
      </c>
      <c r="Q211" s="59">
        <v>85.5271555840514</v>
      </c>
      <c r="R211" s="59">
        <v>4.3818989197660896</v>
      </c>
      <c r="S211" s="59">
        <v>3.4781930939180001</v>
      </c>
      <c r="X211" s="2">
        <f t="shared" si="9"/>
        <v>0.14472844415948599</v>
      </c>
      <c r="Y211" s="2">
        <f>SUMIF(收盤價!A:A,A211,收盤價!C:C)</f>
        <v>82.7</v>
      </c>
      <c r="Z211" s="2">
        <f t="shared" si="10"/>
        <v>2348970.0080000004</v>
      </c>
      <c r="AA211" s="2">
        <f t="shared" si="11"/>
        <v>5863562.3200000003</v>
      </c>
    </row>
    <row r="212" spans="1:27" ht="14.5" customHeight="1">
      <c r="A212" s="19" t="s">
        <v>4877</v>
      </c>
      <c r="B212" s="3" t="s">
        <v>1680</v>
      </c>
      <c r="C212" s="20">
        <v>3271203</v>
      </c>
      <c r="D212" s="20">
        <v>3690565</v>
      </c>
      <c r="E212" s="56">
        <v>-11.36</v>
      </c>
      <c r="F212" s="57">
        <v>624790</v>
      </c>
      <c r="G212" s="57">
        <v>495587</v>
      </c>
      <c r="H212" s="57">
        <v>23205</v>
      </c>
      <c r="I212" s="57">
        <v>32863</v>
      </c>
      <c r="J212" s="57">
        <v>525375</v>
      </c>
      <c r="K212" s="57">
        <v>426961</v>
      </c>
      <c r="L212" s="56">
        <v>23.05</v>
      </c>
      <c r="M212" s="20">
        <v>1048831</v>
      </c>
      <c r="N212" s="56">
        <v>5.01</v>
      </c>
      <c r="O212" s="56">
        <v>4.08</v>
      </c>
      <c r="P212" s="58">
        <v>33.880000000000003</v>
      </c>
      <c r="Q212" s="59">
        <v>86.233658504858198</v>
      </c>
      <c r="R212" s="59">
        <v>3.2668297801715398</v>
      </c>
      <c r="S212" s="59">
        <v>1.0377088441784199</v>
      </c>
      <c r="X212" s="2">
        <f t="shared" si="9"/>
        <v>0.13766341495141801</v>
      </c>
      <c r="Y212" s="2">
        <f>SUMIF(收盤價!A:A,A212,收盤價!C:C)</f>
        <v>57.6</v>
      </c>
      <c r="Z212" s="2">
        <f t="shared" si="10"/>
        <v>3553439.4280000003</v>
      </c>
      <c r="AA212" s="2">
        <f t="shared" si="11"/>
        <v>6041266.5600000005</v>
      </c>
    </row>
    <row r="213" spans="1:27" ht="14.5" customHeight="1">
      <c r="A213" s="19" t="s">
        <v>4878</v>
      </c>
      <c r="B213" s="3" t="s">
        <v>108</v>
      </c>
      <c r="C213" s="20">
        <v>21613680</v>
      </c>
      <c r="D213" s="20">
        <v>23006584</v>
      </c>
      <c r="E213" s="56">
        <v>-6.05</v>
      </c>
      <c r="F213" s="57">
        <v>2164435</v>
      </c>
      <c r="G213" s="57">
        <v>1849634</v>
      </c>
      <c r="H213" s="57">
        <v>193108</v>
      </c>
      <c r="I213" s="57">
        <v>566777</v>
      </c>
      <c r="J213" s="57">
        <v>1984424</v>
      </c>
      <c r="K213" s="57">
        <v>1926010</v>
      </c>
      <c r="L213" s="56">
        <v>3.03</v>
      </c>
      <c r="M213" s="20">
        <v>5914771</v>
      </c>
      <c r="N213" s="56">
        <v>3.36</v>
      </c>
      <c r="O213" s="56">
        <v>3.26</v>
      </c>
      <c r="P213" s="58">
        <v>37.15</v>
      </c>
      <c r="Q213" s="59">
        <v>59.212512481353798</v>
      </c>
      <c r="R213" s="59">
        <v>1.15972124678082</v>
      </c>
      <c r="S213" s="59">
        <v>0.76529326559926603</v>
      </c>
      <c r="X213" s="2">
        <f t="shared" si="9"/>
        <v>0.40787487518646204</v>
      </c>
      <c r="Y213" s="2">
        <f>SUMIF(收盤價!A:A,A213,收盤價!C:C)</f>
        <v>46.65</v>
      </c>
      <c r="Z213" s="2">
        <f t="shared" si="10"/>
        <v>21973374.265000001</v>
      </c>
      <c r="AA213" s="2">
        <f t="shared" si="11"/>
        <v>27592406.714999996</v>
      </c>
    </row>
    <row r="214" spans="1:27" ht="14.5" customHeight="1">
      <c r="A214" s="19" t="s">
        <v>4879</v>
      </c>
      <c r="B214" s="3" t="s">
        <v>122</v>
      </c>
      <c r="C214" s="20">
        <v>7427876</v>
      </c>
      <c r="D214" s="20">
        <v>8062421</v>
      </c>
      <c r="E214" s="56">
        <v>-7.87</v>
      </c>
      <c r="F214" s="57">
        <v>585335</v>
      </c>
      <c r="G214" s="57">
        <v>697585</v>
      </c>
      <c r="H214" s="57">
        <v>-15879</v>
      </c>
      <c r="I214" s="57">
        <v>-18898</v>
      </c>
      <c r="J214" s="57">
        <v>400534</v>
      </c>
      <c r="K214" s="57">
        <v>546106</v>
      </c>
      <c r="L214" s="56">
        <v>-26.66</v>
      </c>
      <c r="M214" s="20">
        <v>838400</v>
      </c>
      <c r="N214" s="56">
        <v>4.78</v>
      </c>
      <c r="O214" s="56">
        <v>6.51</v>
      </c>
      <c r="P214" s="58">
        <v>76.12</v>
      </c>
      <c r="Q214" s="59">
        <v>63.2388965900766</v>
      </c>
      <c r="R214" s="59">
        <v>1.9558482917881601</v>
      </c>
      <c r="S214" s="59">
        <v>1.5617419082591799</v>
      </c>
      <c r="X214" s="2">
        <f t="shared" si="9"/>
        <v>0.36761103409923401</v>
      </c>
      <c r="Y214" s="2">
        <f>SUMIF(收盤價!A:A,A214,收盤價!C:C)</f>
        <v>67.3</v>
      </c>
      <c r="Z214" s="2">
        <f t="shared" si="10"/>
        <v>6381900.8000000007</v>
      </c>
      <c r="AA214" s="2">
        <f t="shared" si="11"/>
        <v>5642432</v>
      </c>
    </row>
    <row r="215" spans="1:27" ht="14.5" customHeight="1">
      <c r="A215" s="19" t="s">
        <v>4880</v>
      </c>
      <c r="B215" s="3" t="s">
        <v>124</v>
      </c>
      <c r="C215" s="20">
        <v>2654787</v>
      </c>
      <c r="D215" s="20">
        <v>2854734</v>
      </c>
      <c r="E215" s="56">
        <v>-7</v>
      </c>
      <c r="F215" s="57">
        <v>476973</v>
      </c>
      <c r="G215" s="57">
        <v>386884</v>
      </c>
      <c r="H215" s="57">
        <v>-13947</v>
      </c>
      <c r="I215" s="57">
        <v>-12680</v>
      </c>
      <c r="J215" s="57">
        <v>376363</v>
      </c>
      <c r="K215" s="57">
        <v>307904</v>
      </c>
      <c r="L215" s="56">
        <v>22.23</v>
      </c>
      <c r="M215" s="20">
        <v>741389</v>
      </c>
      <c r="N215" s="56">
        <v>5.08</v>
      </c>
      <c r="O215" s="56">
        <v>4.1500000000000004</v>
      </c>
      <c r="P215" s="58">
        <v>47.03</v>
      </c>
      <c r="Q215" s="59">
        <v>65.175919674663206</v>
      </c>
      <c r="R215" s="59">
        <v>1.7456468775265499</v>
      </c>
      <c r="S215" s="59">
        <v>1.3832601708511301</v>
      </c>
      <c r="X215" s="2">
        <f t="shared" si="9"/>
        <v>0.34824080325336793</v>
      </c>
      <c r="Y215" s="2">
        <f>SUMIF(收盤價!A:A,A215,收盤價!C:C)</f>
        <v>54</v>
      </c>
      <c r="Z215" s="2">
        <f t="shared" si="10"/>
        <v>3486752.4670000002</v>
      </c>
      <c r="AA215" s="2">
        <f t="shared" si="11"/>
        <v>4003500.6</v>
      </c>
    </row>
    <row r="216" spans="1:27" ht="14.5" customHeight="1">
      <c r="A216" s="19" t="s">
        <v>5628</v>
      </c>
      <c r="B216" s="3" t="s">
        <v>236</v>
      </c>
      <c r="C216" s="20">
        <v>1939316</v>
      </c>
      <c r="D216" s="20">
        <v>3088232</v>
      </c>
      <c r="E216" s="56">
        <v>-37.200000000000003</v>
      </c>
      <c r="F216" s="57">
        <v>-189522</v>
      </c>
      <c r="G216" s="57">
        <v>-121594</v>
      </c>
      <c r="H216" s="57">
        <v>-277386</v>
      </c>
      <c r="I216" s="57">
        <v>-67528</v>
      </c>
      <c r="J216" s="57">
        <v>-470851</v>
      </c>
      <c r="K216" s="57">
        <v>-196664</v>
      </c>
      <c r="L216" s="56"/>
      <c r="M216" s="20">
        <v>2200025</v>
      </c>
      <c r="N216" s="56">
        <v>-2.14</v>
      </c>
      <c r="O216" s="56">
        <v>-0.94</v>
      </c>
      <c r="P216" s="58">
        <v>1.1599999999999999</v>
      </c>
      <c r="Q216" s="59">
        <v>10.078110809793699</v>
      </c>
      <c r="R216" s="59">
        <v>0.927253233826003</v>
      </c>
      <c r="S216" s="59">
        <v>0.52544721771545899</v>
      </c>
      <c r="X216" s="2">
        <f t="shared" si="9"/>
        <v>0.89921889190206306</v>
      </c>
      <c r="Y216" s="2">
        <f>SUMIF(收盤價!A:A,A216,收盤價!C:C)</f>
        <v>3.83</v>
      </c>
      <c r="Z216" s="2">
        <f t="shared" si="10"/>
        <v>255202.9</v>
      </c>
      <c r="AA216" s="2">
        <f t="shared" si="11"/>
        <v>842609.57499999995</v>
      </c>
    </row>
    <row r="217" spans="1:27" ht="14.5" customHeight="1">
      <c r="A217" s="21" t="s">
        <v>4881</v>
      </c>
      <c r="B217" s="22" t="s">
        <v>250</v>
      </c>
      <c r="C217" s="23">
        <v>5390196</v>
      </c>
      <c r="D217" s="23">
        <v>5703811</v>
      </c>
      <c r="E217" s="60">
        <v>-5.5</v>
      </c>
      <c r="F217" s="61">
        <v>411978</v>
      </c>
      <c r="G217" s="61">
        <v>277019</v>
      </c>
      <c r="H217" s="61">
        <v>36373</v>
      </c>
      <c r="I217" s="61">
        <v>93783</v>
      </c>
      <c r="J217" s="61">
        <v>360457</v>
      </c>
      <c r="K217" s="61">
        <v>319207</v>
      </c>
      <c r="L217" s="60">
        <v>12.92</v>
      </c>
      <c r="M217" s="23">
        <v>762300</v>
      </c>
      <c r="N217" s="60">
        <v>4.7300000000000004</v>
      </c>
      <c r="O217" s="60">
        <v>4.1900000000000004</v>
      </c>
      <c r="P217" s="62">
        <v>24.95</v>
      </c>
      <c r="Q217" s="63">
        <v>52.284512528814503</v>
      </c>
      <c r="R217" s="63">
        <v>1.4634426723363401</v>
      </c>
      <c r="S217" s="63">
        <v>0.65836855172745501</v>
      </c>
      <c r="X217" s="2">
        <f t="shared" si="9"/>
        <v>0.47715487471185497</v>
      </c>
      <c r="Y217" s="2">
        <f>SUMIF(收盤價!A:A,A217,收盤價!C:C)</f>
        <v>64.8</v>
      </c>
      <c r="Z217" s="2">
        <f t="shared" si="10"/>
        <v>1901938.5</v>
      </c>
      <c r="AA217" s="2">
        <f t="shared" si="11"/>
        <v>4939704</v>
      </c>
    </row>
    <row r="218" spans="1:27" ht="14.5" customHeight="1">
      <c r="A218" s="24" t="s">
        <v>4882</v>
      </c>
      <c r="B218" s="25" t="s">
        <v>252</v>
      </c>
      <c r="C218" s="26">
        <v>17539920</v>
      </c>
      <c r="D218" s="26">
        <v>16621903</v>
      </c>
      <c r="E218" s="64">
        <v>5.52</v>
      </c>
      <c r="F218" s="65">
        <v>1055804</v>
      </c>
      <c r="G218" s="65">
        <v>618624</v>
      </c>
      <c r="H218" s="65">
        <v>-72299</v>
      </c>
      <c r="I218" s="65">
        <v>65144</v>
      </c>
      <c r="J218" s="65">
        <v>695130</v>
      </c>
      <c r="K218" s="65">
        <v>622939</v>
      </c>
      <c r="L218" s="64">
        <v>11.59</v>
      </c>
      <c r="M218" s="26">
        <v>3128979</v>
      </c>
      <c r="N218" s="64">
        <v>2.23</v>
      </c>
      <c r="O218" s="64">
        <v>2</v>
      </c>
      <c r="P218" s="66">
        <v>21.31</v>
      </c>
      <c r="Q218" s="67">
        <v>28.157008692555699</v>
      </c>
      <c r="R218" s="67">
        <v>1.2325210405284099</v>
      </c>
      <c r="S218" s="67">
        <v>0.56322265462010701</v>
      </c>
      <c r="X218" s="2">
        <f t="shared" si="9"/>
        <v>0.71842991307444293</v>
      </c>
      <c r="Y218" s="2">
        <f>SUMIF(收盤價!A:A,A218,收盤價!C:C)</f>
        <v>29.05</v>
      </c>
      <c r="Z218" s="2">
        <f t="shared" si="10"/>
        <v>6667854.2489999998</v>
      </c>
      <c r="AA218" s="2">
        <f t="shared" si="11"/>
        <v>9089683.995000001</v>
      </c>
    </row>
    <row r="219" spans="1:27" ht="14.5" customHeight="1">
      <c r="A219" s="19" t="s">
        <v>4883</v>
      </c>
      <c r="B219" s="3" t="s">
        <v>254</v>
      </c>
      <c r="C219" s="20">
        <v>2393718</v>
      </c>
      <c r="D219" s="20">
        <v>2416225</v>
      </c>
      <c r="E219" s="56">
        <v>-0.93</v>
      </c>
      <c r="F219" s="57">
        <v>215733</v>
      </c>
      <c r="G219" s="57">
        <v>234645</v>
      </c>
      <c r="H219" s="57">
        <v>-27127</v>
      </c>
      <c r="I219" s="57">
        <v>13518</v>
      </c>
      <c r="J219" s="57">
        <v>151322</v>
      </c>
      <c r="K219" s="57">
        <v>195088</v>
      </c>
      <c r="L219" s="56">
        <v>-22.43</v>
      </c>
      <c r="M219" s="20">
        <v>1796852</v>
      </c>
      <c r="N219" s="56">
        <v>0.84</v>
      </c>
      <c r="O219" s="56">
        <v>1.0900000000000001</v>
      </c>
      <c r="P219" s="58">
        <v>13.05</v>
      </c>
      <c r="Q219" s="59">
        <v>45.8385896756932</v>
      </c>
      <c r="R219" s="59">
        <v>0.96885464369958596</v>
      </c>
      <c r="S219" s="59">
        <v>0.60995737005654704</v>
      </c>
      <c r="X219" s="2">
        <f t="shared" si="9"/>
        <v>0.54161410324306802</v>
      </c>
      <c r="Y219" s="2">
        <f>SUMIF(收盤價!A:A,A219,收盤價!C:C)</f>
        <v>9.9499999999999993</v>
      </c>
      <c r="Z219" s="2">
        <f t="shared" si="10"/>
        <v>2344891.8600000003</v>
      </c>
      <c r="AA219" s="2">
        <f t="shared" si="11"/>
        <v>1787867.7399999998</v>
      </c>
    </row>
    <row r="220" spans="1:27" ht="14.5" customHeight="1">
      <c r="A220" s="19" t="s">
        <v>4884</v>
      </c>
      <c r="B220" s="3" t="s">
        <v>256</v>
      </c>
      <c r="C220" s="20">
        <v>1242120</v>
      </c>
      <c r="D220" s="20">
        <v>1337755</v>
      </c>
      <c r="E220" s="56">
        <v>-7.15</v>
      </c>
      <c r="F220" s="57">
        <v>29381</v>
      </c>
      <c r="G220" s="57">
        <v>35567</v>
      </c>
      <c r="H220" s="57">
        <v>392075</v>
      </c>
      <c r="I220" s="57">
        <v>503422</v>
      </c>
      <c r="J220" s="57">
        <v>289942</v>
      </c>
      <c r="K220" s="57">
        <v>453196</v>
      </c>
      <c r="L220" s="56">
        <v>-36.020000000000003</v>
      </c>
      <c r="M220" s="20">
        <v>734001</v>
      </c>
      <c r="N220" s="56">
        <v>3.95</v>
      </c>
      <c r="O220" s="56">
        <v>6.17</v>
      </c>
      <c r="P220" s="58">
        <v>55.98</v>
      </c>
      <c r="Q220" s="59">
        <v>81.516425950593401</v>
      </c>
      <c r="R220" s="59">
        <v>1.7582609018583799</v>
      </c>
      <c r="S220" s="59">
        <v>0.95029701265532196</v>
      </c>
      <c r="X220" s="2">
        <f t="shared" si="9"/>
        <v>0.18483574049406598</v>
      </c>
      <c r="Y220" s="2">
        <f>SUMIF(收盤價!A:A,A220,收盤價!C:C)</f>
        <v>56.2</v>
      </c>
      <c r="Z220" s="2">
        <f t="shared" si="10"/>
        <v>4108937.5979999998</v>
      </c>
      <c r="AA220" s="2">
        <f t="shared" si="11"/>
        <v>4125085.62</v>
      </c>
    </row>
    <row r="221" spans="1:27" ht="14.5" customHeight="1">
      <c r="A221" s="19" t="s">
        <v>4885</v>
      </c>
      <c r="B221" s="3" t="s">
        <v>272</v>
      </c>
      <c r="C221" s="20">
        <v>2804809</v>
      </c>
      <c r="D221" s="20">
        <v>2887948</v>
      </c>
      <c r="E221" s="56">
        <v>-2.88</v>
      </c>
      <c r="F221" s="57">
        <v>164910</v>
      </c>
      <c r="G221" s="57">
        <v>223621</v>
      </c>
      <c r="H221" s="57">
        <v>5792</v>
      </c>
      <c r="I221" s="57">
        <v>87242</v>
      </c>
      <c r="J221" s="57">
        <v>201666</v>
      </c>
      <c r="K221" s="57">
        <v>267439</v>
      </c>
      <c r="L221" s="56">
        <v>-24.59</v>
      </c>
      <c r="M221" s="20">
        <v>985475</v>
      </c>
      <c r="N221" s="56">
        <v>2.0499999999999998</v>
      </c>
      <c r="O221" s="56">
        <v>2.71</v>
      </c>
      <c r="P221" s="58">
        <v>25.08</v>
      </c>
      <c r="Q221" s="59">
        <v>41.827328125777498</v>
      </c>
      <c r="R221" s="59">
        <v>1.6973408634956799</v>
      </c>
      <c r="S221" s="59">
        <v>0.87377872096511799</v>
      </c>
      <c r="X221" s="2">
        <f t="shared" si="9"/>
        <v>0.58172671874222504</v>
      </c>
      <c r="Y221" s="2">
        <f>SUMIF(收盤價!A:A,A221,收盤價!C:C)</f>
        <v>38.049999999999997</v>
      </c>
      <c r="Z221" s="2">
        <f t="shared" si="10"/>
        <v>2471571.2999999998</v>
      </c>
      <c r="AA221" s="2">
        <f t="shared" si="11"/>
        <v>3749732.375</v>
      </c>
    </row>
    <row r="222" spans="1:27" ht="14.5" customHeight="1">
      <c r="A222" s="19" t="s">
        <v>4886</v>
      </c>
      <c r="B222" s="3" t="s">
        <v>276</v>
      </c>
      <c r="C222" s="20">
        <v>5968347</v>
      </c>
      <c r="D222" s="20">
        <v>7153036</v>
      </c>
      <c r="E222" s="56">
        <v>-16.559999999999999</v>
      </c>
      <c r="F222" s="57">
        <v>818529</v>
      </c>
      <c r="G222" s="57">
        <v>1335901</v>
      </c>
      <c r="H222" s="57">
        <v>-73610</v>
      </c>
      <c r="I222" s="57">
        <v>83852</v>
      </c>
      <c r="J222" s="57">
        <v>649123</v>
      </c>
      <c r="K222" s="57">
        <v>1236915</v>
      </c>
      <c r="L222" s="56">
        <v>-47.52</v>
      </c>
      <c r="M222" s="20">
        <v>2549565</v>
      </c>
      <c r="N222" s="56">
        <v>2.5499999999999998</v>
      </c>
      <c r="O222" s="56">
        <v>4.8499999999999996</v>
      </c>
      <c r="P222" s="58">
        <v>25.76</v>
      </c>
      <c r="Q222" s="59">
        <v>38.287670003215197</v>
      </c>
      <c r="R222" s="59">
        <v>1.06185823694672</v>
      </c>
      <c r="S222" s="59">
        <v>0.58977043938420504</v>
      </c>
      <c r="X222" s="2">
        <f t="shared" si="9"/>
        <v>0.61712329996784798</v>
      </c>
      <c r="Y222" s="2">
        <f>SUMIF(收盤價!A:A,A222,收盤價!C:C)</f>
        <v>115</v>
      </c>
      <c r="Z222" s="2">
        <f t="shared" si="10"/>
        <v>6567679.4400000004</v>
      </c>
      <c r="AA222" s="2">
        <f t="shared" si="11"/>
        <v>29319997.5</v>
      </c>
    </row>
    <row r="223" spans="1:27" ht="14.5" customHeight="1">
      <c r="A223" s="19" t="s">
        <v>4887</v>
      </c>
      <c r="B223" s="3" t="s">
        <v>292</v>
      </c>
      <c r="C223" s="20">
        <v>2022841</v>
      </c>
      <c r="D223" s="20">
        <v>2500814</v>
      </c>
      <c r="E223" s="56">
        <v>-19.11</v>
      </c>
      <c r="F223" s="57">
        <v>27282</v>
      </c>
      <c r="G223" s="57">
        <v>103010</v>
      </c>
      <c r="H223" s="57">
        <v>357</v>
      </c>
      <c r="I223" s="57">
        <v>15460</v>
      </c>
      <c r="J223" s="57">
        <v>27829</v>
      </c>
      <c r="K223" s="57">
        <v>94713</v>
      </c>
      <c r="L223" s="56">
        <v>-70.62</v>
      </c>
      <c r="M223" s="20">
        <v>1030865</v>
      </c>
      <c r="N223" s="56">
        <v>0.27</v>
      </c>
      <c r="O223" s="56">
        <v>0.92</v>
      </c>
      <c r="P223" s="58">
        <v>14.98</v>
      </c>
      <c r="Q223" s="59">
        <v>46.542404964891702</v>
      </c>
      <c r="R223" s="59">
        <v>1.74986619634022</v>
      </c>
      <c r="S223" s="59">
        <v>0.96082206258623803</v>
      </c>
      <c r="X223" s="2">
        <f t="shared" si="9"/>
        <v>0.53457595035108296</v>
      </c>
      <c r="Y223" s="2">
        <f>SUMIF(收盤價!A:A,A223,收盤價!C:C)</f>
        <v>19.3</v>
      </c>
      <c r="Z223" s="2">
        <f t="shared" si="10"/>
        <v>1544235.77</v>
      </c>
      <c r="AA223" s="2">
        <f t="shared" si="11"/>
        <v>1989569.45</v>
      </c>
    </row>
    <row r="224" spans="1:27" ht="14.5" customHeight="1">
      <c r="A224" s="19" t="s">
        <v>4888</v>
      </c>
      <c r="B224" s="3" t="s">
        <v>298</v>
      </c>
      <c r="C224" s="20">
        <v>1516467</v>
      </c>
      <c r="D224" s="20">
        <v>1460985</v>
      </c>
      <c r="E224" s="56">
        <v>3.8</v>
      </c>
      <c r="F224" s="57">
        <v>25279</v>
      </c>
      <c r="G224" s="57">
        <v>46475</v>
      </c>
      <c r="H224" s="57">
        <v>-17227</v>
      </c>
      <c r="I224" s="57">
        <v>20585</v>
      </c>
      <c r="J224" s="57">
        <v>3234</v>
      </c>
      <c r="K224" s="57">
        <v>38955</v>
      </c>
      <c r="L224" s="56">
        <v>-91.7</v>
      </c>
      <c r="M224" s="20">
        <v>673566</v>
      </c>
      <c r="N224" s="56">
        <v>0.05</v>
      </c>
      <c r="O224" s="56">
        <v>0.57999999999999996</v>
      </c>
      <c r="P224" s="58">
        <v>17.559999999999999</v>
      </c>
      <c r="Q224" s="59">
        <v>47.142919093944698</v>
      </c>
      <c r="R224" s="59">
        <v>1.2790570957699401</v>
      </c>
      <c r="S224" s="59">
        <v>0.58118309276494495</v>
      </c>
      <c r="X224" s="2">
        <f t="shared" si="9"/>
        <v>0.52857080906055298</v>
      </c>
      <c r="Y224" s="2">
        <f>SUMIF(收盤價!A:A,A224,收盤價!C:C)</f>
        <v>14.8</v>
      </c>
      <c r="Z224" s="2">
        <f t="shared" si="10"/>
        <v>1182781.8959999999</v>
      </c>
      <c r="AA224" s="2">
        <f t="shared" si="11"/>
        <v>996877.68</v>
      </c>
    </row>
    <row r="225" spans="1:27" ht="14.5" customHeight="1">
      <c r="A225" s="19" t="s">
        <v>4889</v>
      </c>
      <c r="B225" s="3" t="s">
        <v>304</v>
      </c>
      <c r="C225" s="20">
        <v>4948253</v>
      </c>
      <c r="D225" s="20">
        <v>4227476</v>
      </c>
      <c r="E225" s="56">
        <v>17.05</v>
      </c>
      <c r="F225" s="57">
        <v>-324555</v>
      </c>
      <c r="G225" s="57">
        <v>-261307</v>
      </c>
      <c r="H225" s="57">
        <v>-156627</v>
      </c>
      <c r="I225" s="57">
        <v>-127226</v>
      </c>
      <c r="J225" s="57">
        <v>-371812</v>
      </c>
      <c r="K225" s="57">
        <v>-349041</v>
      </c>
      <c r="L225" s="56"/>
      <c r="M225" s="20">
        <v>1109783</v>
      </c>
      <c r="N225" s="56">
        <v>-3.58</v>
      </c>
      <c r="O225" s="56">
        <v>-3.53</v>
      </c>
      <c r="P225" s="58">
        <v>21.38</v>
      </c>
      <c r="Q225" s="59">
        <v>31.714139207199601</v>
      </c>
      <c r="R225" s="59">
        <v>1.00023492574641</v>
      </c>
      <c r="S225" s="59">
        <v>0.30408401738806901</v>
      </c>
      <c r="X225" s="2">
        <f t="shared" si="9"/>
        <v>0.68285860792800401</v>
      </c>
      <c r="Y225" s="2">
        <f>SUMIF(收盤價!A:A,A225,收盤價!C:C)</f>
        <v>17.149999999999999</v>
      </c>
      <c r="Z225" s="2">
        <f t="shared" si="10"/>
        <v>2372716.054</v>
      </c>
      <c r="AA225" s="2">
        <f t="shared" si="11"/>
        <v>1903277.845</v>
      </c>
    </row>
    <row r="226" spans="1:27" ht="14.5" customHeight="1">
      <c r="A226" s="19" t="s">
        <v>4890</v>
      </c>
      <c r="B226" s="3" t="s">
        <v>512</v>
      </c>
      <c r="C226" s="20">
        <v>2716889</v>
      </c>
      <c r="D226" s="20">
        <v>2628778</v>
      </c>
      <c r="E226" s="56">
        <v>3.35</v>
      </c>
      <c r="F226" s="57">
        <v>312635</v>
      </c>
      <c r="G226" s="57">
        <v>269342</v>
      </c>
      <c r="H226" s="57">
        <v>33203</v>
      </c>
      <c r="I226" s="57">
        <v>27827</v>
      </c>
      <c r="J226" s="57">
        <v>241910</v>
      </c>
      <c r="K226" s="57">
        <v>208463</v>
      </c>
      <c r="L226" s="56">
        <v>16.04</v>
      </c>
      <c r="M226" s="20">
        <v>860632</v>
      </c>
      <c r="N226" s="56">
        <v>2.81</v>
      </c>
      <c r="O226" s="56">
        <v>2.42</v>
      </c>
      <c r="P226" s="58">
        <v>26.73</v>
      </c>
      <c r="Q226" s="59">
        <v>55.483141114189401</v>
      </c>
      <c r="R226" s="59">
        <v>2.0301627008685998</v>
      </c>
      <c r="S226" s="59">
        <v>1.4639415379426099</v>
      </c>
      <c r="X226" s="2">
        <f t="shared" si="9"/>
        <v>0.44516858885810601</v>
      </c>
      <c r="Y226" s="2">
        <f>SUMIF(收盤價!A:A,A226,收盤價!C:C)</f>
        <v>41.15</v>
      </c>
      <c r="Z226" s="2">
        <f t="shared" si="10"/>
        <v>2300469.3360000001</v>
      </c>
      <c r="AA226" s="2">
        <f t="shared" si="11"/>
        <v>3541500.6799999997</v>
      </c>
    </row>
    <row r="227" spans="1:27" ht="14.5" customHeight="1">
      <c r="A227" s="19" t="s">
        <v>4891</v>
      </c>
      <c r="B227" s="3" t="s">
        <v>514</v>
      </c>
      <c r="C227" s="20">
        <v>85800574</v>
      </c>
      <c r="D227" s="20">
        <v>88115701</v>
      </c>
      <c r="E227" s="56">
        <v>-2.63</v>
      </c>
      <c r="F227" s="57">
        <v>-30738700</v>
      </c>
      <c r="G227" s="57">
        <v>2018343</v>
      </c>
      <c r="H227" s="57">
        <v>7301552</v>
      </c>
      <c r="I227" s="57">
        <v>3366719</v>
      </c>
      <c r="J227" s="57">
        <v>-24465408</v>
      </c>
      <c r="K227" s="57">
        <v>2037032</v>
      </c>
      <c r="L227" s="56"/>
      <c r="M227" s="20">
        <v>15729199</v>
      </c>
      <c r="N227" s="56">
        <v>-16.61</v>
      </c>
      <c r="O227" s="56">
        <v>1.39</v>
      </c>
      <c r="P227" s="58">
        <v>29.36</v>
      </c>
      <c r="Q227" s="59">
        <v>14.602625977725101</v>
      </c>
      <c r="R227" s="59">
        <v>1.0058151479036599</v>
      </c>
      <c r="S227" s="59">
        <v>0.733854395954326</v>
      </c>
      <c r="X227" s="2">
        <f t="shared" si="9"/>
        <v>0.85397374022274908</v>
      </c>
      <c r="Y227" s="2">
        <f>SUMIF(收盤價!A:A,A227,收盤價!C:C)</f>
        <v>19.55</v>
      </c>
      <c r="Z227" s="2">
        <f t="shared" si="10"/>
        <v>46180928.263999999</v>
      </c>
      <c r="AA227" s="2">
        <f t="shared" si="11"/>
        <v>30750584.044999998</v>
      </c>
    </row>
    <row r="228" spans="1:27" ht="14.5" customHeight="1">
      <c r="A228" s="19" t="s">
        <v>4892</v>
      </c>
      <c r="B228" s="3" t="s">
        <v>516</v>
      </c>
      <c r="C228" s="20">
        <v>32067972</v>
      </c>
      <c r="D228" s="20">
        <v>34869514</v>
      </c>
      <c r="E228" s="56">
        <v>-8.0299999999999994</v>
      </c>
      <c r="F228" s="57">
        <v>1819908</v>
      </c>
      <c r="G228" s="57">
        <v>1898041</v>
      </c>
      <c r="H228" s="57">
        <v>-3500171</v>
      </c>
      <c r="I228" s="57">
        <v>2412672</v>
      </c>
      <c r="J228" s="57">
        <v>-2465573</v>
      </c>
      <c r="K228" s="57">
        <v>3592999</v>
      </c>
      <c r="L228" s="56"/>
      <c r="M228" s="20">
        <v>5536203</v>
      </c>
      <c r="N228" s="56">
        <v>-2.38</v>
      </c>
      <c r="O228" s="56">
        <v>2.64</v>
      </c>
      <c r="P228" s="58">
        <v>69.98</v>
      </c>
      <c r="Q228" s="59">
        <v>75.2763158334471</v>
      </c>
      <c r="R228" s="59">
        <v>2.26657420427096</v>
      </c>
      <c r="S228" s="59">
        <v>1.1823295954557</v>
      </c>
      <c r="X228" s="2">
        <f t="shared" si="9"/>
        <v>0.24723684166552901</v>
      </c>
      <c r="Y228" s="2">
        <f>SUMIF(收盤價!A:A,A228,收盤價!C:C)</f>
        <v>39.1</v>
      </c>
      <c r="Z228" s="2">
        <f t="shared" si="10"/>
        <v>38742348.593999997</v>
      </c>
      <c r="AA228" s="2">
        <f t="shared" si="11"/>
        <v>21646553.73</v>
      </c>
    </row>
    <row r="229" spans="1:27" ht="14.5" customHeight="1">
      <c r="A229" s="19" t="s">
        <v>4893</v>
      </c>
      <c r="B229" s="3" t="s">
        <v>518</v>
      </c>
      <c r="C229" s="20">
        <v>33383428</v>
      </c>
      <c r="D229" s="20">
        <v>31350738</v>
      </c>
      <c r="E229" s="56">
        <v>6.48</v>
      </c>
      <c r="F229" s="57">
        <v>450920</v>
      </c>
      <c r="G229" s="57">
        <v>-99572</v>
      </c>
      <c r="H229" s="57">
        <v>1959174</v>
      </c>
      <c r="I229" s="57">
        <v>1267588</v>
      </c>
      <c r="J229" s="57">
        <v>2226225</v>
      </c>
      <c r="K229" s="57">
        <v>1038389</v>
      </c>
      <c r="L229" s="56">
        <v>114.39</v>
      </c>
      <c r="M229" s="20">
        <v>8535956</v>
      </c>
      <c r="N229" s="56">
        <v>2.71</v>
      </c>
      <c r="O229" s="56">
        <v>1.26</v>
      </c>
      <c r="P229" s="58">
        <v>17.100000000000001</v>
      </c>
      <c r="Q229" s="59">
        <v>34.1294925806165</v>
      </c>
      <c r="R229" s="59">
        <v>1.07355338656027</v>
      </c>
      <c r="S229" s="59">
        <v>0.37270175104464798</v>
      </c>
      <c r="X229" s="2">
        <f t="shared" si="9"/>
        <v>0.65870507419383495</v>
      </c>
      <c r="Y229" s="2">
        <f>SUMIF(收盤價!A:A,A229,收盤價!C:C)</f>
        <v>21.3</v>
      </c>
      <c r="Z229" s="2">
        <f t="shared" si="10"/>
        <v>14596484.760000002</v>
      </c>
      <c r="AA229" s="2">
        <f t="shared" si="11"/>
        <v>18181586.280000001</v>
      </c>
    </row>
    <row r="230" spans="1:27" ht="14.5" customHeight="1">
      <c r="A230" s="19" t="s">
        <v>4894</v>
      </c>
      <c r="B230" s="3" t="s">
        <v>520</v>
      </c>
      <c r="C230" s="20">
        <v>213745071</v>
      </c>
      <c r="D230" s="20">
        <v>187027586</v>
      </c>
      <c r="E230" s="56">
        <v>14.29</v>
      </c>
      <c r="F230" s="57">
        <v>17372986</v>
      </c>
      <c r="G230" s="57">
        <v>15195274</v>
      </c>
      <c r="H230" s="57" t="s">
        <v>6316</v>
      </c>
      <c r="I230" s="57" t="s">
        <v>6316</v>
      </c>
      <c r="J230" s="57">
        <v>11768815</v>
      </c>
      <c r="K230" s="57">
        <v>10025535</v>
      </c>
      <c r="L230" s="56">
        <v>17.39</v>
      </c>
      <c r="M230" s="20">
        <v>5461792</v>
      </c>
      <c r="N230" s="56">
        <v>21.55</v>
      </c>
      <c r="O230" s="56">
        <v>18.36</v>
      </c>
      <c r="P230" s="58">
        <v>107.27</v>
      </c>
      <c r="Q230" s="59">
        <v>22.927056043469399</v>
      </c>
      <c r="R230" s="59">
        <v>1.080003227328</v>
      </c>
      <c r="S230" s="59">
        <v>0</v>
      </c>
      <c r="X230" s="2">
        <f t="shared" si="9"/>
        <v>0.77072943956530593</v>
      </c>
      <c r="Y230" s="2">
        <f>SUMIF(收盤價!A:A,A230,收盤價!C:C)</f>
        <v>683</v>
      </c>
      <c r="Z230" s="2">
        <f t="shared" si="10"/>
        <v>58588642.784000002</v>
      </c>
      <c r="AA230" s="2">
        <f t="shared" si="11"/>
        <v>373040393.60000002</v>
      </c>
    </row>
    <row r="231" spans="1:27" ht="14.5" customHeight="1">
      <c r="A231" s="19" t="s">
        <v>4895</v>
      </c>
      <c r="B231" s="3" t="s">
        <v>524</v>
      </c>
      <c r="C231" s="20">
        <v>32498607</v>
      </c>
      <c r="D231" s="20">
        <v>31257730</v>
      </c>
      <c r="E231" s="56">
        <v>3.97</v>
      </c>
      <c r="F231" s="57">
        <v>1364489</v>
      </c>
      <c r="G231" s="57">
        <v>1336754</v>
      </c>
      <c r="H231" s="57">
        <v>7747778</v>
      </c>
      <c r="I231" s="57">
        <v>6339806</v>
      </c>
      <c r="J231" s="57">
        <v>7281897</v>
      </c>
      <c r="K231" s="57">
        <v>5890046</v>
      </c>
      <c r="L231" s="56">
        <v>23.63</v>
      </c>
      <c r="M231" s="20">
        <v>3000000</v>
      </c>
      <c r="N231" s="56">
        <v>24.27</v>
      </c>
      <c r="O231" s="56">
        <v>19.63</v>
      </c>
      <c r="P231" s="58">
        <v>71.91</v>
      </c>
      <c r="Q231" s="59">
        <v>75.506693650288</v>
      </c>
      <c r="R231" s="59">
        <v>4.0476112464323597</v>
      </c>
      <c r="S231" s="59">
        <v>3.9898614775280499</v>
      </c>
      <c r="X231" s="2">
        <f t="shared" si="9"/>
        <v>0.24493306349711999</v>
      </c>
      <c r="Y231" s="2">
        <f>SUMIF(收盤價!A:A,A231,收盤價!C:C)</f>
        <v>287</v>
      </c>
      <c r="Z231" s="2">
        <f t="shared" si="10"/>
        <v>21573000</v>
      </c>
      <c r="AA231" s="2">
        <f t="shared" si="11"/>
        <v>86100000</v>
      </c>
    </row>
    <row r="232" spans="1:27" ht="14.5" customHeight="1">
      <c r="A232" s="19" t="s">
        <v>4896</v>
      </c>
      <c r="B232" s="3" t="s">
        <v>526</v>
      </c>
      <c r="C232" s="20">
        <v>4575808</v>
      </c>
      <c r="D232" s="20">
        <v>4223941</v>
      </c>
      <c r="E232" s="56">
        <v>8.33</v>
      </c>
      <c r="F232" s="57">
        <v>622168</v>
      </c>
      <c r="G232" s="57">
        <v>527223</v>
      </c>
      <c r="H232" s="57">
        <v>133356</v>
      </c>
      <c r="I232" s="57">
        <v>177916</v>
      </c>
      <c r="J232" s="57">
        <v>656348</v>
      </c>
      <c r="K232" s="57">
        <v>502097</v>
      </c>
      <c r="L232" s="56">
        <v>30.72</v>
      </c>
      <c r="M232" s="20">
        <v>757803</v>
      </c>
      <c r="N232" s="56">
        <v>8.66</v>
      </c>
      <c r="O232" s="56">
        <v>6.63</v>
      </c>
      <c r="P232" s="58">
        <v>52.05</v>
      </c>
      <c r="Q232" s="59">
        <v>77.449083030202999</v>
      </c>
      <c r="R232" s="59">
        <v>3.8569117603004401</v>
      </c>
      <c r="S232" s="59">
        <v>2.6579224004814899</v>
      </c>
      <c r="X232" s="2">
        <f t="shared" si="9"/>
        <v>0.22550916969797</v>
      </c>
      <c r="Y232" s="2">
        <f>SUMIF(收盤價!A:A,A232,收盤價!C:C)</f>
        <v>119.5</v>
      </c>
      <c r="Z232" s="2">
        <f t="shared" si="10"/>
        <v>3944364.6149999998</v>
      </c>
      <c r="AA232" s="2">
        <f t="shared" si="11"/>
        <v>9055745.8499999996</v>
      </c>
    </row>
    <row r="233" spans="1:27" ht="14.5" customHeight="1">
      <c r="A233" s="19" t="s">
        <v>4897</v>
      </c>
      <c r="B233" s="3" t="s">
        <v>528</v>
      </c>
      <c r="C233" s="20">
        <v>4094666</v>
      </c>
      <c r="D233" s="20">
        <v>4023647</v>
      </c>
      <c r="E233" s="56">
        <v>1.77</v>
      </c>
      <c r="F233" s="57">
        <v>1177689</v>
      </c>
      <c r="G233" s="57">
        <v>1241667</v>
      </c>
      <c r="H233" s="57">
        <v>-48841</v>
      </c>
      <c r="I233" s="57">
        <v>39716</v>
      </c>
      <c r="J233" s="57">
        <v>977780</v>
      </c>
      <c r="K233" s="57">
        <v>1087876</v>
      </c>
      <c r="L233" s="56">
        <v>-10.119999999999999</v>
      </c>
      <c r="M233" s="20">
        <v>1228212</v>
      </c>
      <c r="N233" s="56">
        <v>8</v>
      </c>
      <c r="O233" s="56">
        <v>9.0299999999999994</v>
      </c>
      <c r="P233" s="58">
        <v>33.5</v>
      </c>
      <c r="Q233" s="59">
        <v>57.1794017227773</v>
      </c>
      <c r="R233" s="59">
        <v>1.7690928029120601</v>
      </c>
      <c r="S233" s="59">
        <v>1.3073732434826799</v>
      </c>
      <c r="X233" s="2">
        <f t="shared" si="9"/>
        <v>0.42820598277222699</v>
      </c>
      <c r="Y233" s="2">
        <f>SUMIF(收盤價!A:A,A233,收盤價!C:C)</f>
        <v>249.5</v>
      </c>
      <c r="Z233" s="2">
        <f t="shared" si="10"/>
        <v>4114510.2</v>
      </c>
      <c r="AA233" s="2">
        <f t="shared" si="11"/>
        <v>30643889.399999999</v>
      </c>
    </row>
    <row r="234" spans="1:27" ht="14.5" customHeight="1">
      <c r="A234" s="19" t="s">
        <v>4898</v>
      </c>
      <c r="B234" s="3" t="s">
        <v>530</v>
      </c>
      <c r="C234" s="20">
        <v>2353988</v>
      </c>
      <c r="D234" s="20">
        <v>2549783</v>
      </c>
      <c r="E234" s="56">
        <v>-7.68</v>
      </c>
      <c r="F234" s="57">
        <v>319324</v>
      </c>
      <c r="G234" s="57">
        <v>523798</v>
      </c>
      <c r="H234" s="57">
        <v>44704</v>
      </c>
      <c r="I234" s="57">
        <v>93137</v>
      </c>
      <c r="J234" s="57">
        <v>305367</v>
      </c>
      <c r="K234" s="57">
        <v>424314</v>
      </c>
      <c r="L234" s="56">
        <v>-28.03</v>
      </c>
      <c r="M234" s="20">
        <v>602881</v>
      </c>
      <c r="N234" s="56">
        <v>5.07</v>
      </c>
      <c r="O234" s="56">
        <v>7.05</v>
      </c>
      <c r="P234" s="58">
        <v>43.4</v>
      </c>
      <c r="Q234" s="59">
        <v>67.412632780135993</v>
      </c>
      <c r="R234" s="59">
        <v>2.47836113120111</v>
      </c>
      <c r="S234" s="59">
        <v>1.74439550535308</v>
      </c>
      <c r="X234" s="2">
        <f t="shared" si="9"/>
        <v>0.32587367219864005</v>
      </c>
      <c r="Y234" s="2">
        <f>SUMIF(收盤價!A:A,A234,收盤價!C:C)</f>
        <v>72.8</v>
      </c>
      <c r="Z234" s="2">
        <f t="shared" si="10"/>
        <v>2616503.54</v>
      </c>
      <c r="AA234" s="2">
        <f t="shared" si="11"/>
        <v>4388973.68</v>
      </c>
    </row>
    <row r="235" spans="1:27" ht="14.5" customHeight="1">
      <c r="A235" s="19" t="s">
        <v>4899</v>
      </c>
      <c r="B235" s="3" t="s">
        <v>532</v>
      </c>
      <c r="C235" s="20">
        <v>1795565</v>
      </c>
      <c r="D235" s="20">
        <v>2191727</v>
      </c>
      <c r="E235" s="56">
        <v>-18.079999999999998</v>
      </c>
      <c r="F235" s="57">
        <v>113020</v>
      </c>
      <c r="G235" s="57">
        <v>219384</v>
      </c>
      <c r="H235" s="57">
        <v>-1148</v>
      </c>
      <c r="I235" s="57">
        <v>4201</v>
      </c>
      <c r="J235" s="57">
        <v>38797</v>
      </c>
      <c r="K235" s="57">
        <v>144341</v>
      </c>
      <c r="L235" s="56">
        <v>-73.12</v>
      </c>
      <c r="M235" s="20">
        <v>448268</v>
      </c>
      <c r="N235" s="56">
        <v>0.88</v>
      </c>
      <c r="O235" s="56">
        <v>3.27</v>
      </c>
      <c r="P235" s="58">
        <v>25.87</v>
      </c>
      <c r="Q235" s="59">
        <v>49.328913220034103</v>
      </c>
      <c r="R235" s="59">
        <v>2.3777905257571499</v>
      </c>
      <c r="S235" s="59">
        <v>1.37811753914115</v>
      </c>
      <c r="X235" s="2">
        <f t="shared" si="9"/>
        <v>0.50671086779965901</v>
      </c>
      <c r="Y235" s="2">
        <f>SUMIF(收盤價!A:A,A235,收盤價!C:C)</f>
        <v>23.05</v>
      </c>
      <c r="Z235" s="2">
        <f t="shared" si="10"/>
        <v>1159669.3160000001</v>
      </c>
      <c r="AA235" s="2">
        <f t="shared" si="11"/>
        <v>1033257.74</v>
      </c>
    </row>
    <row r="236" spans="1:27" ht="14.5" customHeight="1">
      <c r="A236" s="19" t="s">
        <v>4900</v>
      </c>
      <c r="B236" s="3" t="s">
        <v>534</v>
      </c>
      <c r="C236" s="20">
        <v>22239873</v>
      </c>
      <c r="D236" s="20">
        <v>21855386</v>
      </c>
      <c r="E236" s="56">
        <v>1.76</v>
      </c>
      <c r="F236" s="57">
        <v>1433506</v>
      </c>
      <c r="G236" s="57">
        <v>1952400</v>
      </c>
      <c r="H236" s="57">
        <v>-300471</v>
      </c>
      <c r="I236" s="57">
        <v>-211495</v>
      </c>
      <c r="J236" s="57">
        <v>644193</v>
      </c>
      <c r="K236" s="57">
        <v>1123400</v>
      </c>
      <c r="L236" s="56">
        <v>-42.66</v>
      </c>
      <c r="M236" s="20">
        <v>1180070</v>
      </c>
      <c r="N236" s="56">
        <v>5.46</v>
      </c>
      <c r="O236" s="56">
        <v>9.89</v>
      </c>
      <c r="P236" s="58">
        <v>91.96</v>
      </c>
      <c r="Q236" s="59">
        <v>35.946113609464199</v>
      </c>
      <c r="R236" s="59">
        <v>1.1895392338212301</v>
      </c>
      <c r="S236" s="59">
        <v>0.66653733663241499</v>
      </c>
      <c r="X236" s="2">
        <f t="shared" si="9"/>
        <v>0.64053886390535808</v>
      </c>
      <c r="Y236" s="2">
        <f>SUMIF(收盤價!A:A,A236,收盤價!C:C)</f>
        <v>95.9</v>
      </c>
      <c r="Z236" s="2">
        <f t="shared" si="10"/>
        <v>10851923.719999999</v>
      </c>
      <c r="AA236" s="2">
        <f t="shared" si="11"/>
        <v>11316871.300000001</v>
      </c>
    </row>
    <row r="237" spans="1:27" ht="14.5" customHeight="1">
      <c r="A237" s="19" t="s">
        <v>4901</v>
      </c>
      <c r="B237" s="3" t="s">
        <v>536</v>
      </c>
      <c r="C237" s="20">
        <v>1767065</v>
      </c>
      <c r="D237" s="20">
        <v>2061361</v>
      </c>
      <c r="E237" s="56">
        <v>-14.28</v>
      </c>
      <c r="F237" s="57">
        <v>-109697</v>
      </c>
      <c r="G237" s="57">
        <v>22742</v>
      </c>
      <c r="H237" s="57">
        <v>-27815</v>
      </c>
      <c r="I237" s="57">
        <v>-51172</v>
      </c>
      <c r="J237" s="57">
        <v>-131083</v>
      </c>
      <c r="K237" s="57">
        <v>-34117</v>
      </c>
      <c r="L237" s="56"/>
      <c r="M237" s="20">
        <v>457185</v>
      </c>
      <c r="N237" s="56">
        <v>-3.03</v>
      </c>
      <c r="O237" s="56">
        <v>-0.82</v>
      </c>
      <c r="P237" s="58">
        <v>18.05</v>
      </c>
      <c r="Q237" s="59">
        <v>24.9755947290667</v>
      </c>
      <c r="R237" s="59">
        <v>1.44551696095195</v>
      </c>
      <c r="S237" s="59">
        <v>0.61169248587396396</v>
      </c>
      <c r="X237" s="2">
        <f t="shared" si="9"/>
        <v>0.75024405270933303</v>
      </c>
      <c r="Y237" s="2">
        <f>SUMIF(收盤價!A:A,A237,收盤價!C:C)</f>
        <v>14.5</v>
      </c>
      <c r="Z237" s="2">
        <f t="shared" si="10"/>
        <v>825218.92500000005</v>
      </c>
      <c r="AA237" s="2">
        <f t="shared" si="11"/>
        <v>662918.25</v>
      </c>
    </row>
    <row r="238" spans="1:27" ht="14.5" customHeight="1">
      <c r="A238" s="19" t="s">
        <v>4902</v>
      </c>
      <c r="B238" s="3" t="s">
        <v>807</v>
      </c>
      <c r="C238" s="20">
        <v>2201953</v>
      </c>
      <c r="D238" s="20">
        <v>1977930</v>
      </c>
      <c r="E238" s="56">
        <v>11.33</v>
      </c>
      <c r="F238" s="57">
        <v>45199</v>
      </c>
      <c r="G238" s="57">
        <v>-267888</v>
      </c>
      <c r="H238" s="57">
        <v>-13379</v>
      </c>
      <c r="I238" s="57">
        <v>-45787</v>
      </c>
      <c r="J238" s="57">
        <v>629</v>
      </c>
      <c r="K238" s="57">
        <v>-232002</v>
      </c>
      <c r="L238" s="56"/>
      <c r="M238" s="20">
        <v>1187985</v>
      </c>
      <c r="N238" s="56">
        <v>0.01</v>
      </c>
      <c r="O238" s="56">
        <v>-1.95</v>
      </c>
      <c r="P238" s="58">
        <v>12.19</v>
      </c>
      <c r="Q238" s="59">
        <v>50.495251190385297</v>
      </c>
      <c r="R238" s="59">
        <v>1.3846042261012499</v>
      </c>
      <c r="S238" s="59">
        <v>0.95882307431942404</v>
      </c>
      <c r="X238" s="2">
        <f t="shared" si="9"/>
        <v>0.49504748809614701</v>
      </c>
      <c r="Y238" s="2">
        <f>SUMIF(收盤價!A:A,A238,收盤價!C:C)</f>
        <v>22.75</v>
      </c>
      <c r="Z238" s="2">
        <f t="shared" si="10"/>
        <v>1448153.7149999999</v>
      </c>
      <c r="AA238" s="2">
        <f t="shared" si="11"/>
        <v>2702665.875</v>
      </c>
    </row>
    <row r="239" spans="1:27" ht="14.5" customHeight="1">
      <c r="A239" s="19" t="s">
        <v>4903</v>
      </c>
      <c r="B239" s="3" t="s">
        <v>1176</v>
      </c>
      <c r="C239" s="20">
        <v>4132884</v>
      </c>
      <c r="D239" s="20">
        <v>4404913</v>
      </c>
      <c r="E239" s="56">
        <v>-6.18</v>
      </c>
      <c r="F239" s="57">
        <v>49837</v>
      </c>
      <c r="G239" s="57">
        <v>234751</v>
      </c>
      <c r="H239" s="57">
        <v>-39341</v>
      </c>
      <c r="I239" s="57">
        <v>490</v>
      </c>
      <c r="J239" s="57">
        <v>13023</v>
      </c>
      <c r="K239" s="57">
        <v>205941</v>
      </c>
      <c r="L239" s="56">
        <v>-93.68</v>
      </c>
      <c r="M239" s="20">
        <v>757840</v>
      </c>
      <c r="N239" s="56">
        <v>0.18</v>
      </c>
      <c r="O239" s="56">
        <v>3.02</v>
      </c>
      <c r="P239" s="58">
        <v>19.59</v>
      </c>
      <c r="Q239" s="59">
        <v>29.976906188483198</v>
      </c>
      <c r="R239" s="59">
        <v>1.3635493058731201</v>
      </c>
      <c r="S239" s="59">
        <v>0.85448140902957703</v>
      </c>
      <c r="X239" s="2">
        <f t="shared" si="9"/>
        <v>0.70023093811516801</v>
      </c>
      <c r="Y239" s="2">
        <f>SUMIF(收盤價!A:A,A239,收盤價!C:C)</f>
        <v>30.35</v>
      </c>
      <c r="Z239" s="2">
        <f t="shared" si="10"/>
        <v>1484608.56</v>
      </c>
      <c r="AA239" s="2">
        <f t="shared" si="11"/>
        <v>2300044.4</v>
      </c>
    </row>
    <row r="240" spans="1:27" ht="14.5" customHeight="1">
      <c r="A240" s="19" t="s">
        <v>4904</v>
      </c>
      <c r="B240" s="3" t="s">
        <v>1339</v>
      </c>
      <c r="C240" s="20">
        <v>5014098</v>
      </c>
      <c r="D240" s="20">
        <v>4424839</v>
      </c>
      <c r="E240" s="56">
        <v>13.32</v>
      </c>
      <c r="F240" s="57">
        <v>898134</v>
      </c>
      <c r="G240" s="57">
        <v>819064</v>
      </c>
      <c r="H240" s="57">
        <v>-39553</v>
      </c>
      <c r="I240" s="57">
        <v>-92395</v>
      </c>
      <c r="J240" s="57">
        <v>622427</v>
      </c>
      <c r="K240" s="57">
        <v>499709</v>
      </c>
      <c r="L240" s="56">
        <v>24.56</v>
      </c>
      <c r="M240" s="20">
        <v>819340</v>
      </c>
      <c r="N240" s="56">
        <v>7.6</v>
      </c>
      <c r="O240" s="56">
        <v>6.1</v>
      </c>
      <c r="P240" s="58">
        <v>37.97</v>
      </c>
      <c r="Q240" s="59">
        <v>35.001161523806701</v>
      </c>
      <c r="R240" s="59">
        <v>1.25941978295859</v>
      </c>
      <c r="S240" s="59">
        <v>1.01995283413825</v>
      </c>
      <c r="X240" s="2">
        <f t="shared" si="9"/>
        <v>0.64998838476193299</v>
      </c>
      <c r="Y240" s="2">
        <f>SUMIF(收盤價!A:A,A240,收盤價!C:C)</f>
        <v>173.5</v>
      </c>
      <c r="Z240" s="2">
        <f t="shared" si="10"/>
        <v>3111033.98</v>
      </c>
      <c r="AA240" s="2">
        <f t="shared" si="11"/>
        <v>14215549</v>
      </c>
    </row>
    <row r="241" spans="1:27" ht="14.5" customHeight="1">
      <c r="A241" s="19" t="s">
        <v>4905</v>
      </c>
      <c r="B241" s="3" t="s">
        <v>1345</v>
      </c>
      <c r="C241" s="20">
        <v>1627538</v>
      </c>
      <c r="D241" s="20">
        <v>1566620</v>
      </c>
      <c r="E241" s="56">
        <v>3.89</v>
      </c>
      <c r="F241" s="57">
        <v>221583</v>
      </c>
      <c r="G241" s="57">
        <v>196720</v>
      </c>
      <c r="H241" s="57">
        <v>11590</v>
      </c>
      <c r="I241" s="57">
        <v>24146</v>
      </c>
      <c r="J241" s="57">
        <v>197581</v>
      </c>
      <c r="K241" s="57">
        <v>179387</v>
      </c>
      <c r="L241" s="56">
        <v>10.14</v>
      </c>
      <c r="M241" s="20">
        <v>398080</v>
      </c>
      <c r="N241" s="56">
        <v>5.41</v>
      </c>
      <c r="O241" s="56">
        <v>5.19</v>
      </c>
      <c r="P241" s="58">
        <v>37.9</v>
      </c>
      <c r="Q241" s="59">
        <v>70.383210733949596</v>
      </c>
      <c r="R241" s="59">
        <v>2.57161574569855</v>
      </c>
      <c r="S241" s="59">
        <v>2.1128763169893601</v>
      </c>
      <c r="X241" s="2">
        <f t="shared" si="9"/>
        <v>0.29616789266050403</v>
      </c>
      <c r="Y241" s="2">
        <f>SUMIF(收盤價!A:A,A241,收盤價!C:C)</f>
        <v>70.7</v>
      </c>
      <c r="Z241" s="2">
        <f t="shared" si="10"/>
        <v>1508723.2</v>
      </c>
      <c r="AA241" s="2">
        <f t="shared" si="11"/>
        <v>2814425.6</v>
      </c>
    </row>
    <row r="242" spans="1:27" ht="14.5" customHeight="1">
      <c r="A242" s="19" t="s">
        <v>7137</v>
      </c>
      <c r="B242" s="3" t="s">
        <v>7138</v>
      </c>
      <c r="C242" s="20">
        <v>1035899</v>
      </c>
      <c r="D242" s="20">
        <v>1097619</v>
      </c>
      <c r="E242" s="56">
        <v>-5.62</v>
      </c>
      <c r="F242" s="57">
        <v>111008</v>
      </c>
      <c r="G242" s="57">
        <v>166977</v>
      </c>
      <c r="H242" s="57">
        <v>14482</v>
      </c>
      <c r="I242" s="57">
        <v>25607</v>
      </c>
      <c r="J242" s="57">
        <v>92821</v>
      </c>
      <c r="K242" s="57">
        <v>147924</v>
      </c>
      <c r="L242" s="56">
        <v>-37.25</v>
      </c>
      <c r="M242" s="20">
        <v>300000</v>
      </c>
      <c r="N242" s="56">
        <v>3.09</v>
      </c>
      <c r="O242" s="56">
        <v>4.93</v>
      </c>
      <c r="P242" s="58">
        <v>24.81</v>
      </c>
      <c r="Q242" s="59">
        <v>64.821383009201895</v>
      </c>
      <c r="R242" s="59">
        <v>2.1258239322838501</v>
      </c>
      <c r="S242" s="59">
        <v>1.44648622370923</v>
      </c>
      <c r="X242" s="2">
        <f t="shared" si="9"/>
        <v>0.35178616990798106</v>
      </c>
      <c r="Y242" s="2">
        <f>SUMIF(收盤價!A:A,A242,收盤價!C:C)</f>
        <v>0</v>
      </c>
      <c r="Z242" s="2">
        <f t="shared" si="10"/>
        <v>744300</v>
      </c>
      <c r="AA242" s="2">
        <f t="shared" si="11"/>
        <v>0</v>
      </c>
    </row>
    <row r="243" spans="1:27" ht="14.5" customHeight="1">
      <c r="A243" s="19" t="s">
        <v>4906</v>
      </c>
      <c r="B243" s="3" t="s">
        <v>1622</v>
      </c>
      <c r="C243" s="20">
        <v>4301775</v>
      </c>
      <c r="D243" s="20">
        <v>3387837</v>
      </c>
      <c r="E243" s="56">
        <v>26.98</v>
      </c>
      <c r="F243" s="57">
        <v>255387</v>
      </c>
      <c r="G243" s="57">
        <v>171180</v>
      </c>
      <c r="H243" s="57">
        <v>-11155</v>
      </c>
      <c r="I243" s="57">
        <v>30220</v>
      </c>
      <c r="J243" s="57">
        <v>206267</v>
      </c>
      <c r="K243" s="57">
        <v>148413</v>
      </c>
      <c r="L243" s="56">
        <v>38.979999999999997</v>
      </c>
      <c r="M243" s="20">
        <v>1711280</v>
      </c>
      <c r="N243" s="56">
        <v>1.21</v>
      </c>
      <c r="O243" s="56">
        <v>0.91</v>
      </c>
      <c r="P243" s="58">
        <v>13.64</v>
      </c>
      <c r="Q243" s="59">
        <v>47.477149378480597</v>
      </c>
      <c r="R243" s="59">
        <v>1.7704379646878701</v>
      </c>
      <c r="S243" s="59">
        <v>1.0503813802744899</v>
      </c>
      <c r="X243" s="2">
        <f t="shared" si="9"/>
        <v>0.52522850621519401</v>
      </c>
      <c r="Y243" s="2">
        <f>SUMIF(收盤價!A:A,A243,收盤價!C:C)</f>
        <v>26.2</v>
      </c>
      <c r="Z243" s="2">
        <f t="shared" si="10"/>
        <v>2334185.92</v>
      </c>
      <c r="AA243" s="2">
        <f t="shared" si="11"/>
        <v>4483553.5999999996</v>
      </c>
    </row>
    <row r="244" spans="1:27" ht="14.5" customHeight="1">
      <c r="A244" s="19" t="s">
        <v>4907</v>
      </c>
      <c r="B244" s="3" t="s">
        <v>1686</v>
      </c>
      <c r="C244" s="20">
        <v>15589958</v>
      </c>
      <c r="D244" s="20">
        <v>16203425</v>
      </c>
      <c r="E244" s="56">
        <v>-3.79</v>
      </c>
      <c r="F244" s="57">
        <v>1218652</v>
      </c>
      <c r="G244" s="57">
        <v>1453124</v>
      </c>
      <c r="H244" s="57">
        <v>-473605</v>
      </c>
      <c r="I244" s="57">
        <v>-191719</v>
      </c>
      <c r="J244" s="57">
        <v>644337</v>
      </c>
      <c r="K244" s="57">
        <v>938352</v>
      </c>
      <c r="L244" s="56">
        <v>-31.33</v>
      </c>
      <c r="M244" s="20">
        <v>1658164</v>
      </c>
      <c r="N244" s="56">
        <v>3.89</v>
      </c>
      <c r="O244" s="56">
        <v>5.66</v>
      </c>
      <c r="P244" s="58">
        <v>77.790000000000006</v>
      </c>
      <c r="Q244" s="59">
        <v>39.744568911045398</v>
      </c>
      <c r="R244" s="59">
        <v>1.2582802705951299</v>
      </c>
      <c r="S244" s="59">
        <v>0.65480566841390198</v>
      </c>
      <c r="X244" s="2">
        <f t="shared" si="9"/>
        <v>0.60255431088954603</v>
      </c>
      <c r="Y244" s="2">
        <f>SUMIF(收盤價!A:A,A244,收盤價!C:C)</f>
        <v>58.9</v>
      </c>
      <c r="Z244" s="2">
        <f t="shared" si="10"/>
        <v>12898857.756000001</v>
      </c>
      <c r="AA244" s="2">
        <f t="shared" si="11"/>
        <v>9766585.959999999</v>
      </c>
    </row>
    <row r="245" spans="1:27" ht="14.5" customHeight="1">
      <c r="A245" s="19" t="s">
        <v>4908</v>
      </c>
      <c r="B245" s="3" t="s">
        <v>106</v>
      </c>
      <c r="C245" s="20">
        <v>722740</v>
      </c>
      <c r="D245" s="20">
        <v>1413347</v>
      </c>
      <c r="E245" s="56">
        <v>-48.86</v>
      </c>
      <c r="F245" s="57">
        <v>-114986</v>
      </c>
      <c r="G245" s="57">
        <v>149137</v>
      </c>
      <c r="H245" s="57">
        <v>34205</v>
      </c>
      <c r="I245" s="57">
        <v>147157</v>
      </c>
      <c r="J245" s="57">
        <v>-154528</v>
      </c>
      <c r="K245" s="57">
        <v>165718</v>
      </c>
      <c r="L245" s="56"/>
      <c r="M245" s="20">
        <v>1846776</v>
      </c>
      <c r="N245" s="56">
        <v>-0.96</v>
      </c>
      <c r="O245" s="56">
        <v>1.39</v>
      </c>
      <c r="P245" s="58">
        <v>10.16</v>
      </c>
      <c r="Q245" s="59">
        <v>23.582613540113101</v>
      </c>
      <c r="R245" s="59">
        <v>1.4202895572043499</v>
      </c>
      <c r="S245" s="59">
        <v>0.106119261182932</v>
      </c>
      <c r="X245" s="2">
        <f t="shared" si="9"/>
        <v>0.76417386459886893</v>
      </c>
      <c r="Y245" s="2">
        <f>SUMIF(收盤價!A:A,A245,收盤價!C:C)</f>
        <v>14.5</v>
      </c>
      <c r="Z245" s="2">
        <f t="shared" si="10"/>
        <v>1876324.416</v>
      </c>
      <c r="AA245" s="2">
        <f t="shared" si="11"/>
        <v>2677825.2000000002</v>
      </c>
    </row>
    <row r="246" spans="1:27" ht="14.5" customHeight="1">
      <c r="A246" s="19" t="s">
        <v>4909</v>
      </c>
      <c r="B246" s="3" t="s">
        <v>156</v>
      </c>
      <c r="C246" s="20">
        <v>2074771</v>
      </c>
      <c r="D246" s="20">
        <v>2621467</v>
      </c>
      <c r="E246" s="56">
        <v>-20.85</v>
      </c>
      <c r="F246" s="57">
        <v>358399</v>
      </c>
      <c r="G246" s="57">
        <v>459745</v>
      </c>
      <c r="H246" s="57">
        <v>-76560</v>
      </c>
      <c r="I246" s="57">
        <v>-59598</v>
      </c>
      <c r="J246" s="57">
        <v>234652</v>
      </c>
      <c r="K246" s="57">
        <v>357376</v>
      </c>
      <c r="L246" s="56">
        <v>-34.340000000000003</v>
      </c>
      <c r="M246" s="20">
        <v>956340</v>
      </c>
      <c r="N246" s="56">
        <v>2.4500000000000002</v>
      </c>
      <c r="O246" s="56">
        <v>3.74</v>
      </c>
      <c r="P246" s="58">
        <v>28.2</v>
      </c>
      <c r="Q246" s="59">
        <v>28.101870013362799</v>
      </c>
      <c r="R246" s="59">
        <v>1.9173569850179499</v>
      </c>
      <c r="S246" s="59">
        <v>9.1550722384163397E-2</v>
      </c>
      <c r="X246" s="2">
        <f t="shared" si="9"/>
        <v>0.71898129986637205</v>
      </c>
      <c r="Y246" s="2">
        <f>SUMIF(收盤價!A:A,A246,收盤價!C:C)</f>
        <v>39.75</v>
      </c>
      <c r="Z246" s="2">
        <f t="shared" si="10"/>
        <v>2696878.8</v>
      </c>
      <c r="AA246" s="2">
        <f t="shared" si="11"/>
        <v>3801451.5</v>
      </c>
    </row>
    <row r="247" spans="1:27" ht="14.5" customHeight="1">
      <c r="A247" s="19" t="s">
        <v>4910</v>
      </c>
      <c r="B247" s="3" t="s">
        <v>160</v>
      </c>
      <c r="C247" s="20">
        <v>11</v>
      </c>
      <c r="D247" s="20">
        <v>17</v>
      </c>
      <c r="E247" s="56">
        <v>-35.29</v>
      </c>
      <c r="F247" s="57">
        <v>-8216</v>
      </c>
      <c r="G247" s="57">
        <v>-8196</v>
      </c>
      <c r="H247" s="57">
        <v>-2303</v>
      </c>
      <c r="I247" s="57">
        <v>-3683</v>
      </c>
      <c r="J247" s="57">
        <v>-10519</v>
      </c>
      <c r="K247" s="57">
        <v>-11879</v>
      </c>
      <c r="L247" s="56"/>
      <c r="M247" s="20">
        <v>1024115</v>
      </c>
      <c r="N247" s="56">
        <v>-0.1</v>
      </c>
      <c r="O247" s="56">
        <v>-0.12</v>
      </c>
      <c r="P247" s="58">
        <v>5.0199999999999996</v>
      </c>
      <c r="Q247" s="59">
        <v>88.084138559396095</v>
      </c>
      <c r="R247" s="59">
        <v>711.49484536082502</v>
      </c>
      <c r="S247" s="59">
        <v>18.832474226804099</v>
      </c>
      <c r="X247" s="2">
        <f t="shared" si="9"/>
        <v>0.11915861440603905</v>
      </c>
      <c r="Y247" s="2">
        <f>SUMIF(收盤價!A:A,A247,收盤價!C:C)</f>
        <v>13.2</v>
      </c>
      <c r="Z247" s="2">
        <f t="shared" si="10"/>
        <v>514105.73</v>
      </c>
      <c r="AA247" s="2">
        <f t="shared" si="11"/>
        <v>1351831.8</v>
      </c>
    </row>
    <row r="248" spans="1:27" ht="14.5" customHeight="1">
      <c r="A248" s="19" t="s">
        <v>4911</v>
      </c>
      <c r="B248" s="3" t="s">
        <v>168</v>
      </c>
      <c r="C248" s="20">
        <v>695811</v>
      </c>
      <c r="D248" s="20">
        <v>944582</v>
      </c>
      <c r="E248" s="56">
        <v>-26.34</v>
      </c>
      <c r="F248" s="57">
        <v>-41879</v>
      </c>
      <c r="G248" s="57">
        <v>131714</v>
      </c>
      <c r="H248" s="57">
        <v>182377</v>
      </c>
      <c r="I248" s="57">
        <v>10478</v>
      </c>
      <c r="J248" s="57">
        <v>100443</v>
      </c>
      <c r="K248" s="57">
        <v>120791</v>
      </c>
      <c r="L248" s="56">
        <v>-16.850000000000001</v>
      </c>
      <c r="M248" s="20">
        <v>3055783</v>
      </c>
      <c r="N248" s="56">
        <v>0.33</v>
      </c>
      <c r="O248" s="56">
        <v>0.4</v>
      </c>
      <c r="P248" s="58">
        <v>16.760000000000002</v>
      </c>
      <c r="Q248" s="59">
        <v>42.498415570952901</v>
      </c>
      <c r="R248" s="59">
        <v>5.9470866966290696</v>
      </c>
      <c r="S248" s="59">
        <v>6.0676480067420602E-2</v>
      </c>
      <c r="X248" s="2">
        <f t="shared" si="9"/>
        <v>0.57501584429047103</v>
      </c>
      <c r="Y248" s="2">
        <f>SUMIF(收盤價!A:A,A248,收盤價!C:C)</f>
        <v>19.8</v>
      </c>
      <c r="Z248" s="2">
        <f t="shared" si="10"/>
        <v>5121492.3080000002</v>
      </c>
      <c r="AA248" s="2">
        <f t="shared" si="11"/>
        <v>6050450.3399999999</v>
      </c>
    </row>
    <row r="249" spans="1:27" ht="14.5" customHeight="1">
      <c r="A249" s="19" t="s">
        <v>4912</v>
      </c>
      <c r="B249" s="3" t="s">
        <v>408</v>
      </c>
      <c r="C249" s="20">
        <v>127168</v>
      </c>
      <c r="D249" s="20">
        <v>79876</v>
      </c>
      <c r="E249" s="56">
        <v>59.21</v>
      </c>
      <c r="F249" s="57">
        <v>-60379</v>
      </c>
      <c r="G249" s="57">
        <v>-88133</v>
      </c>
      <c r="H249" s="57">
        <v>-11297</v>
      </c>
      <c r="I249" s="57">
        <v>-5391</v>
      </c>
      <c r="J249" s="57">
        <v>-72992</v>
      </c>
      <c r="K249" s="57">
        <v>-93524</v>
      </c>
      <c r="L249" s="56"/>
      <c r="M249" s="20">
        <v>1002654</v>
      </c>
      <c r="N249" s="56">
        <v>-0.91</v>
      </c>
      <c r="O249" s="56">
        <v>-1.17</v>
      </c>
      <c r="P249" s="58">
        <v>6.64</v>
      </c>
      <c r="Q249" s="59">
        <v>45.006395343730297</v>
      </c>
      <c r="R249" s="59">
        <v>1.70237720678203</v>
      </c>
      <c r="S249" s="59">
        <v>0.195218118710515</v>
      </c>
      <c r="X249" s="2">
        <f t="shared" si="9"/>
        <v>0.54993604656269701</v>
      </c>
      <c r="Y249" s="2">
        <f>SUMIF(收盤價!A:A,A249,收盤價!C:C)</f>
        <v>9.15</v>
      </c>
      <c r="Z249" s="2">
        <f t="shared" si="10"/>
        <v>665762.25599999994</v>
      </c>
      <c r="AA249" s="2">
        <f t="shared" si="11"/>
        <v>917428.40999999992</v>
      </c>
    </row>
    <row r="250" spans="1:27" ht="14.5" customHeight="1">
      <c r="A250" s="19" t="s">
        <v>4913</v>
      </c>
      <c r="B250" s="3" t="s">
        <v>412</v>
      </c>
      <c r="C250" s="20">
        <v>4198656</v>
      </c>
      <c r="D250" s="20">
        <v>13845007</v>
      </c>
      <c r="E250" s="56">
        <v>-69.67</v>
      </c>
      <c r="F250" s="57">
        <v>-77329</v>
      </c>
      <c r="G250" s="57">
        <v>2641655</v>
      </c>
      <c r="H250" s="57">
        <v>819073</v>
      </c>
      <c r="I250" s="57">
        <v>-115760</v>
      </c>
      <c r="J250" s="57">
        <v>655920</v>
      </c>
      <c r="K250" s="57">
        <v>2186464</v>
      </c>
      <c r="L250" s="56">
        <v>-70</v>
      </c>
      <c r="M250" s="20">
        <v>3083305</v>
      </c>
      <c r="N250" s="56">
        <v>2.13</v>
      </c>
      <c r="O250" s="56">
        <v>8.11</v>
      </c>
      <c r="P250" s="58">
        <v>17.89</v>
      </c>
      <c r="Q250" s="59">
        <v>18.9390302588527</v>
      </c>
      <c r="R250" s="59">
        <v>1.89701443056619</v>
      </c>
      <c r="S250" s="59">
        <v>0.24166142618061301</v>
      </c>
      <c r="X250" s="2">
        <f t="shared" si="9"/>
        <v>0.81060969741147304</v>
      </c>
      <c r="Y250" s="2">
        <f>SUMIF(收盤價!A:A,A250,收盤價!C:C)</f>
        <v>62.8</v>
      </c>
      <c r="Z250" s="2">
        <f t="shared" si="10"/>
        <v>5516032.6450000005</v>
      </c>
      <c r="AA250" s="2">
        <f t="shared" si="11"/>
        <v>19363155.399999999</v>
      </c>
    </row>
    <row r="251" spans="1:27" ht="14.5" customHeight="1">
      <c r="A251" s="19" t="s">
        <v>4914</v>
      </c>
      <c r="B251" s="3" t="s">
        <v>813</v>
      </c>
      <c r="C251" s="20">
        <v>11623928</v>
      </c>
      <c r="D251" s="20">
        <v>14294770</v>
      </c>
      <c r="E251" s="56">
        <v>-18.68</v>
      </c>
      <c r="F251" s="57">
        <v>1499287</v>
      </c>
      <c r="G251" s="57">
        <v>2228233</v>
      </c>
      <c r="H251" s="57">
        <v>71051</v>
      </c>
      <c r="I251" s="57">
        <v>2280747</v>
      </c>
      <c r="J251" s="57">
        <v>1370505</v>
      </c>
      <c r="K251" s="57">
        <v>3609611</v>
      </c>
      <c r="L251" s="56">
        <v>-62.03</v>
      </c>
      <c r="M251" s="20">
        <v>11595611</v>
      </c>
      <c r="N251" s="56">
        <v>1.18</v>
      </c>
      <c r="O251" s="56">
        <v>3.11</v>
      </c>
      <c r="P251" s="58">
        <v>21.02</v>
      </c>
      <c r="Q251" s="59">
        <v>45.366296381968702</v>
      </c>
      <c r="R251" s="59">
        <v>1.6476264190927901</v>
      </c>
      <c r="S251" s="59">
        <v>0.124229527221353</v>
      </c>
      <c r="X251" s="2">
        <f t="shared" si="9"/>
        <v>0.54633703618031293</v>
      </c>
      <c r="Y251" s="2">
        <f>SUMIF(收盤價!A:A,A251,收盤價!C:C)</f>
        <v>20.95</v>
      </c>
      <c r="Z251" s="2">
        <f t="shared" si="10"/>
        <v>24373974.322000001</v>
      </c>
      <c r="AA251" s="2">
        <f t="shared" si="11"/>
        <v>24292805.044999998</v>
      </c>
    </row>
    <row r="252" spans="1:27" ht="14.5" customHeight="1">
      <c r="A252" s="19" t="s">
        <v>4915</v>
      </c>
      <c r="B252" s="3" t="s">
        <v>815</v>
      </c>
      <c r="C252" s="20">
        <v>19005069</v>
      </c>
      <c r="D252" s="20">
        <v>18644806</v>
      </c>
      <c r="E252" s="56">
        <v>1.93</v>
      </c>
      <c r="F252" s="57">
        <v>364231</v>
      </c>
      <c r="G252" s="57">
        <v>449982</v>
      </c>
      <c r="H252" s="57">
        <v>906593</v>
      </c>
      <c r="I252" s="57">
        <v>89656</v>
      </c>
      <c r="J252" s="57">
        <v>1101659</v>
      </c>
      <c r="K252" s="57">
        <v>514839</v>
      </c>
      <c r="L252" s="56">
        <v>113.98</v>
      </c>
      <c r="M252" s="20">
        <v>13850003</v>
      </c>
      <c r="N252" s="56">
        <v>0.8</v>
      </c>
      <c r="O252" s="56">
        <v>0.37</v>
      </c>
      <c r="P252" s="58">
        <v>14.76</v>
      </c>
      <c r="Q252" s="59">
        <v>55.025922126642101</v>
      </c>
      <c r="R252" s="59">
        <v>1.4971813732383299</v>
      </c>
      <c r="S252" s="59">
        <v>1.29006835335628</v>
      </c>
      <c r="X252" s="2">
        <f t="shared" si="9"/>
        <v>0.44974077873357898</v>
      </c>
      <c r="Y252" s="2">
        <f>SUMIF(收盤價!A:A,A252,收盤價!C:C)</f>
        <v>14.4</v>
      </c>
      <c r="Z252" s="2">
        <f t="shared" si="10"/>
        <v>20442604.427999999</v>
      </c>
      <c r="AA252" s="2">
        <f t="shared" si="11"/>
        <v>19944004.32</v>
      </c>
    </row>
    <row r="253" spans="1:27" ht="14.5" customHeight="1">
      <c r="A253" s="19" t="s">
        <v>4916</v>
      </c>
      <c r="B253" s="3" t="s">
        <v>817</v>
      </c>
      <c r="C253" s="20">
        <v>1923024</v>
      </c>
      <c r="D253" s="20">
        <v>752654</v>
      </c>
      <c r="E253" s="56">
        <v>155.5</v>
      </c>
      <c r="F253" s="57">
        <v>126498</v>
      </c>
      <c r="G253" s="57">
        <v>-39351</v>
      </c>
      <c r="H253" s="57">
        <v>-63023</v>
      </c>
      <c r="I253" s="57">
        <v>-15821</v>
      </c>
      <c r="J253" s="57">
        <v>56890</v>
      </c>
      <c r="K253" s="57">
        <v>-48965</v>
      </c>
      <c r="L253" s="56"/>
      <c r="M253" s="20">
        <v>6965825</v>
      </c>
      <c r="N253" s="56">
        <v>0.08</v>
      </c>
      <c r="O253" s="56">
        <v>-0.08</v>
      </c>
      <c r="P253" s="58">
        <v>11.76</v>
      </c>
      <c r="Q253" s="59">
        <v>44.107003782941398</v>
      </c>
      <c r="R253" s="59">
        <v>1.6466691530844699</v>
      </c>
      <c r="S253" s="59">
        <v>0.198851442510322</v>
      </c>
      <c r="X253" s="2">
        <f t="shared" si="9"/>
        <v>0.55892996217058599</v>
      </c>
      <c r="Y253" s="2">
        <f>SUMIF(收盤價!A:A,A253,收盤價!C:C)</f>
        <v>16.75</v>
      </c>
      <c r="Z253" s="2">
        <f t="shared" si="10"/>
        <v>8191810.2000000002</v>
      </c>
      <c r="AA253" s="2">
        <f t="shared" si="11"/>
        <v>11667756.875</v>
      </c>
    </row>
    <row r="254" spans="1:27" ht="14.5" customHeight="1">
      <c r="A254" s="19" t="s">
        <v>4918</v>
      </c>
      <c r="B254" s="3" t="s">
        <v>821</v>
      </c>
      <c r="C254" s="20">
        <v>1730553</v>
      </c>
      <c r="D254" s="20">
        <v>3950639</v>
      </c>
      <c r="E254" s="56">
        <v>-56.2</v>
      </c>
      <c r="F254" s="57">
        <v>485110</v>
      </c>
      <c r="G254" s="57">
        <v>1142853</v>
      </c>
      <c r="H254" s="57">
        <v>6685</v>
      </c>
      <c r="I254" s="57">
        <v>-53803</v>
      </c>
      <c r="J254" s="57">
        <v>440455</v>
      </c>
      <c r="K254" s="57">
        <v>986001</v>
      </c>
      <c r="L254" s="56">
        <v>-55.33</v>
      </c>
      <c r="M254" s="20">
        <v>2041368</v>
      </c>
      <c r="N254" s="56">
        <v>2.16</v>
      </c>
      <c r="O254" s="56">
        <v>4.83</v>
      </c>
      <c r="P254" s="58">
        <v>21.7</v>
      </c>
      <c r="Q254" s="59">
        <v>51.999759598990501</v>
      </c>
      <c r="R254" s="59">
        <v>2.41832600349507</v>
      </c>
      <c r="S254" s="59">
        <v>1.16758406384298</v>
      </c>
      <c r="X254" s="2">
        <f t="shared" si="9"/>
        <v>0.48000240401009497</v>
      </c>
      <c r="Y254" s="2">
        <f>SUMIF(收盤價!A:A,A254,收盤價!C:C)</f>
        <v>23.2</v>
      </c>
      <c r="Z254" s="2">
        <f t="shared" si="10"/>
        <v>4429768.5600000005</v>
      </c>
      <c r="AA254" s="2">
        <f t="shared" si="11"/>
        <v>4735973.76</v>
      </c>
    </row>
    <row r="255" spans="1:27" ht="14.5" customHeight="1">
      <c r="A255" s="21" t="s">
        <v>4919</v>
      </c>
      <c r="B255" s="22" t="s">
        <v>823</v>
      </c>
      <c r="C255" s="23">
        <v>12199437</v>
      </c>
      <c r="D255" s="23">
        <v>11855207</v>
      </c>
      <c r="E255" s="60">
        <v>2.9</v>
      </c>
      <c r="F255" s="61">
        <v>790096</v>
      </c>
      <c r="G255" s="61">
        <v>1058833</v>
      </c>
      <c r="H255" s="61">
        <v>271972</v>
      </c>
      <c r="I255" s="61">
        <v>310575</v>
      </c>
      <c r="J255" s="61">
        <v>952767</v>
      </c>
      <c r="K255" s="61">
        <v>1252655</v>
      </c>
      <c r="L255" s="60">
        <v>-23.94</v>
      </c>
      <c r="M255" s="23">
        <v>16233261</v>
      </c>
      <c r="N255" s="60">
        <v>0.59</v>
      </c>
      <c r="O255" s="60">
        <v>0.77</v>
      </c>
      <c r="P255" s="62">
        <v>14.7</v>
      </c>
      <c r="Q255" s="63">
        <v>43.583727229939598</v>
      </c>
      <c r="R255" s="63">
        <v>2.65826268228296</v>
      </c>
      <c r="S255" s="63">
        <v>0.75501394260100496</v>
      </c>
      <c r="X255" s="2">
        <f t="shared" si="9"/>
        <v>0.56416272770060405</v>
      </c>
      <c r="Y255" s="2">
        <f>SUMIF(收盤價!A:A,A255,收盤價!C:C)</f>
        <v>11.25</v>
      </c>
      <c r="Z255" s="2">
        <f t="shared" si="10"/>
        <v>23862893.669999998</v>
      </c>
      <c r="AA255" s="2">
        <f t="shared" si="11"/>
        <v>18262418.625</v>
      </c>
    </row>
    <row r="256" spans="1:27" ht="14.5" customHeight="1">
      <c r="A256" s="24" t="s">
        <v>4920</v>
      </c>
      <c r="B256" s="25" t="s">
        <v>827</v>
      </c>
      <c r="C256" s="26">
        <v>12590753</v>
      </c>
      <c r="D256" s="26">
        <v>11062421</v>
      </c>
      <c r="E256" s="64">
        <v>13.82</v>
      </c>
      <c r="F256" s="65">
        <v>512266</v>
      </c>
      <c r="G256" s="65">
        <v>352537</v>
      </c>
      <c r="H256" s="65">
        <v>-94583</v>
      </c>
      <c r="I256" s="65">
        <v>-127658</v>
      </c>
      <c r="J256" s="65">
        <v>312886</v>
      </c>
      <c r="K256" s="65">
        <v>363334</v>
      </c>
      <c r="L256" s="64">
        <v>-13.88</v>
      </c>
      <c r="M256" s="26">
        <v>15308998</v>
      </c>
      <c r="N256" s="64">
        <v>0.2</v>
      </c>
      <c r="O256" s="64">
        <v>0.24</v>
      </c>
      <c r="P256" s="66">
        <v>13</v>
      </c>
      <c r="Q256" s="67">
        <v>46.0325441962176</v>
      </c>
      <c r="R256" s="67">
        <v>2.1359630016878901</v>
      </c>
      <c r="S256" s="67">
        <v>0.94244169059249905</v>
      </c>
      <c r="X256" s="2">
        <f t="shared" si="9"/>
        <v>0.53967455803782405</v>
      </c>
      <c r="Y256" s="2">
        <f>SUMIF(收盤價!A:A,A256,收盤價!C:C)</f>
        <v>7.78</v>
      </c>
      <c r="Z256" s="2">
        <f t="shared" si="10"/>
        <v>19901697.399999999</v>
      </c>
      <c r="AA256" s="2">
        <f t="shared" si="11"/>
        <v>11910400.444</v>
      </c>
    </row>
    <row r="257" spans="1:27" ht="14.5" customHeight="1">
      <c r="A257" s="19" t="s">
        <v>4921</v>
      </c>
      <c r="B257" s="3" t="s">
        <v>829</v>
      </c>
      <c r="C257" s="20">
        <v>7319137</v>
      </c>
      <c r="D257" s="20">
        <v>7471526</v>
      </c>
      <c r="E257" s="56">
        <v>-2.04</v>
      </c>
      <c r="F257" s="57">
        <v>-41146</v>
      </c>
      <c r="G257" s="57">
        <v>-55489</v>
      </c>
      <c r="H257" s="57">
        <v>73836</v>
      </c>
      <c r="I257" s="57">
        <v>134684</v>
      </c>
      <c r="J257" s="57">
        <v>33540</v>
      </c>
      <c r="K257" s="57">
        <v>66810</v>
      </c>
      <c r="L257" s="56">
        <v>-49.8</v>
      </c>
      <c r="M257" s="20">
        <v>2262785</v>
      </c>
      <c r="N257" s="56">
        <v>0.15</v>
      </c>
      <c r="O257" s="56">
        <v>0.3</v>
      </c>
      <c r="P257" s="58">
        <v>10.86</v>
      </c>
      <c r="Q257" s="59">
        <v>32.029030968609</v>
      </c>
      <c r="R257" s="59">
        <v>1.1899392371237201</v>
      </c>
      <c r="S257" s="59">
        <v>0.79073630412350104</v>
      </c>
      <c r="X257" s="2">
        <f t="shared" si="9"/>
        <v>0.67970969031391004</v>
      </c>
      <c r="Y257" s="2">
        <f>SUMIF(收盤價!A:A,A257,收盤價!C:C)</f>
        <v>6.05</v>
      </c>
      <c r="Z257" s="2">
        <f t="shared" si="10"/>
        <v>2457384.5099999998</v>
      </c>
      <c r="AA257" s="2">
        <f t="shared" si="11"/>
        <v>1368984.925</v>
      </c>
    </row>
    <row r="258" spans="1:27" ht="14.5" customHeight="1">
      <c r="A258" s="19" t="s">
        <v>4922</v>
      </c>
      <c r="B258" s="3" t="s">
        <v>831</v>
      </c>
      <c r="C258" s="20">
        <v>15326899</v>
      </c>
      <c r="D258" s="20">
        <v>14435680</v>
      </c>
      <c r="E258" s="56">
        <v>6.17</v>
      </c>
      <c r="F258" s="57">
        <v>2198729</v>
      </c>
      <c r="G258" s="57">
        <v>1909901</v>
      </c>
      <c r="H258" s="57">
        <v>-384465</v>
      </c>
      <c r="I258" s="57">
        <v>-829483</v>
      </c>
      <c r="J258" s="57">
        <v>1283526</v>
      </c>
      <c r="K258" s="57">
        <v>507248</v>
      </c>
      <c r="L258" s="56">
        <v>153.04</v>
      </c>
      <c r="M258" s="20">
        <v>5037910</v>
      </c>
      <c r="N258" s="56">
        <v>2.6</v>
      </c>
      <c r="O258" s="56">
        <v>1.03</v>
      </c>
      <c r="P258" s="58">
        <v>25.61</v>
      </c>
      <c r="Q258" s="59">
        <v>22.619815346055301</v>
      </c>
      <c r="R258" s="59">
        <v>1.4305716331471801</v>
      </c>
      <c r="S258" s="59">
        <v>0.28548015165517898</v>
      </c>
      <c r="X258" s="2">
        <f t="shared" si="9"/>
        <v>0.77380184653944695</v>
      </c>
      <c r="Y258" s="2">
        <f>SUMIF(收盤價!A:A,A258,收盤價!C:C)</f>
        <v>31.9</v>
      </c>
      <c r="Z258" s="2">
        <f t="shared" si="10"/>
        <v>12902087.51</v>
      </c>
      <c r="AA258" s="2">
        <f t="shared" si="11"/>
        <v>16070932.9</v>
      </c>
    </row>
    <row r="259" spans="1:27" ht="14.5" customHeight="1">
      <c r="A259" s="19" t="s">
        <v>4923</v>
      </c>
      <c r="B259" s="3" t="s">
        <v>833</v>
      </c>
      <c r="C259" s="20">
        <v>5990199</v>
      </c>
      <c r="D259" s="20">
        <v>3297861</v>
      </c>
      <c r="E259" s="56">
        <v>81.64</v>
      </c>
      <c r="F259" s="57">
        <v>1944932</v>
      </c>
      <c r="G259" s="57">
        <v>662903</v>
      </c>
      <c r="H259" s="57">
        <v>-141698</v>
      </c>
      <c r="I259" s="57">
        <v>-115923</v>
      </c>
      <c r="J259" s="57">
        <v>1656570</v>
      </c>
      <c r="K259" s="57">
        <v>497247</v>
      </c>
      <c r="L259" s="56">
        <v>233.15</v>
      </c>
      <c r="M259" s="20">
        <v>3848464</v>
      </c>
      <c r="N259" s="56">
        <v>4.3099999999999996</v>
      </c>
      <c r="O259" s="56">
        <v>1.29</v>
      </c>
      <c r="P259" s="58">
        <v>34.880000000000003</v>
      </c>
      <c r="Q259" s="59">
        <v>37.220790745471099</v>
      </c>
      <c r="R259" s="59">
        <v>2.2854898144316702</v>
      </c>
      <c r="S259" s="59">
        <v>3.9028647724633499E-2</v>
      </c>
      <c r="X259" s="2">
        <f t="shared" si="9"/>
        <v>0.627792092545289</v>
      </c>
      <c r="Y259" s="2">
        <f>SUMIF(收盤價!A:A,A259,收盤價!C:C)</f>
        <v>31.05</v>
      </c>
      <c r="Z259" s="2">
        <f t="shared" si="10"/>
        <v>13423442.432000002</v>
      </c>
      <c r="AA259" s="2">
        <f t="shared" si="11"/>
        <v>11949480.720000001</v>
      </c>
    </row>
    <row r="260" spans="1:27" ht="14.5" customHeight="1">
      <c r="A260" s="19" t="s">
        <v>4924</v>
      </c>
      <c r="B260" s="3" t="s">
        <v>835</v>
      </c>
      <c r="C260" s="20">
        <v>6418024</v>
      </c>
      <c r="D260" s="20">
        <v>4541733</v>
      </c>
      <c r="E260" s="56">
        <v>41.31</v>
      </c>
      <c r="F260" s="57">
        <v>882783</v>
      </c>
      <c r="G260" s="57">
        <v>578913</v>
      </c>
      <c r="H260" s="57">
        <v>-18849</v>
      </c>
      <c r="I260" s="57">
        <v>-33229</v>
      </c>
      <c r="J260" s="57">
        <v>742091</v>
      </c>
      <c r="K260" s="57">
        <v>418731</v>
      </c>
      <c r="L260" s="56">
        <v>77.22</v>
      </c>
      <c r="M260" s="20">
        <v>2703060</v>
      </c>
      <c r="N260" s="56">
        <v>2.84</v>
      </c>
      <c r="O260" s="56">
        <v>1.6</v>
      </c>
      <c r="P260" s="58">
        <v>30.95</v>
      </c>
      <c r="Q260" s="59">
        <v>45.037575885610103</v>
      </c>
      <c r="R260" s="59">
        <v>1.4345277209535201</v>
      </c>
      <c r="S260" s="59">
        <v>5.1231393498936302E-2</v>
      </c>
      <c r="X260" s="2">
        <f t="shared" si="9"/>
        <v>0.54962424114389896</v>
      </c>
      <c r="Y260" s="2">
        <f>SUMIF(收盤價!A:A,A260,收盤價!C:C)</f>
        <v>22.6</v>
      </c>
      <c r="Z260" s="2">
        <f t="shared" si="10"/>
        <v>8365970.7000000002</v>
      </c>
      <c r="AA260" s="2">
        <f t="shared" si="11"/>
        <v>6108915.6000000006</v>
      </c>
    </row>
    <row r="261" spans="1:27" ht="14.5" customHeight="1">
      <c r="A261" s="19" t="s">
        <v>4925</v>
      </c>
      <c r="B261" s="3" t="s">
        <v>837</v>
      </c>
      <c r="C261" s="20">
        <v>1361</v>
      </c>
      <c r="D261" s="20">
        <v>218448</v>
      </c>
      <c r="E261" s="56">
        <v>-99.38</v>
      </c>
      <c r="F261" s="57">
        <v>-145118</v>
      </c>
      <c r="G261" s="57">
        <v>-46874</v>
      </c>
      <c r="H261" s="57">
        <v>74969</v>
      </c>
      <c r="I261" s="57">
        <v>-19771</v>
      </c>
      <c r="J261" s="57">
        <v>-94242</v>
      </c>
      <c r="K261" s="57">
        <v>-70025</v>
      </c>
      <c r="L261" s="56"/>
      <c r="M261" s="20">
        <v>2770854</v>
      </c>
      <c r="N261" s="56">
        <v>-0.38</v>
      </c>
      <c r="O261" s="56">
        <v>-0.4</v>
      </c>
      <c r="P261" s="58">
        <v>10.66</v>
      </c>
      <c r="Q261" s="59">
        <v>33.561199759300699</v>
      </c>
      <c r="R261" s="59">
        <v>9.6897334581509096</v>
      </c>
      <c r="S261" s="59">
        <v>1.1270026216137501</v>
      </c>
      <c r="X261" s="2">
        <f t="shared" ref="X261:X324" si="12">IF(W261&lt;&gt;"",ROUND(W261/U261,2),(100-Q261)/100)</f>
        <v>0.66438800240699292</v>
      </c>
      <c r="Y261" s="2">
        <f>SUMIF(收盤價!A:A,A261,收盤價!C:C)</f>
        <v>20.8</v>
      </c>
      <c r="Z261" s="2">
        <f t="shared" ref="Z261:Z324" si="13">IF(W261&lt;&gt;"",U261-W261,M261*P261/10)</f>
        <v>2953730.3640000001</v>
      </c>
      <c r="AA261" s="2">
        <f t="shared" ref="AA261:AA324" si="14">Y261*M261/10</f>
        <v>5763376.3200000003</v>
      </c>
    </row>
    <row r="262" spans="1:27" ht="14.5" customHeight="1">
      <c r="A262" s="19" t="s">
        <v>4926</v>
      </c>
      <c r="B262" s="3" t="s">
        <v>839</v>
      </c>
      <c r="C262" s="20">
        <v>10170</v>
      </c>
      <c r="D262" s="20">
        <v>1212121</v>
      </c>
      <c r="E262" s="56">
        <v>-99.16</v>
      </c>
      <c r="F262" s="57">
        <v>-67951</v>
      </c>
      <c r="G262" s="57">
        <v>68178</v>
      </c>
      <c r="H262" s="57">
        <v>-5898</v>
      </c>
      <c r="I262" s="57">
        <v>-33514</v>
      </c>
      <c r="J262" s="57">
        <v>-68696</v>
      </c>
      <c r="K262" s="57">
        <v>26874</v>
      </c>
      <c r="L262" s="56"/>
      <c r="M262" s="20">
        <v>2707525</v>
      </c>
      <c r="N262" s="56">
        <v>-0.25</v>
      </c>
      <c r="O262" s="56">
        <v>0.1</v>
      </c>
      <c r="P262" s="58">
        <v>11.5</v>
      </c>
      <c r="Q262" s="59">
        <v>60.450520794395203</v>
      </c>
      <c r="R262" s="59">
        <v>2.8231152295859698</v>
      </c>
      <c r="S262" s="59">
        <v>0.131491949229806</v>
      </c>
      <c r="X262" s="2">
        <f t="shared" si="12"/>
        <v>0.39549479205604798</v>
      </c>
      <c r="Y262" s="2">
        <f>SUMIF(收盤價!A:A,A262,收盤價!C:C)</f>
        <v>16</v>
      </c>
      <c r="Z262" s="2">
        <f t="shared" si="13"/>
        <v>3113653.75</v>
      </c>
      <c r="AA262" s="2">
        <f t="shared" si="14"/>
        <v>4332040</v>
      </c>
    </row>
    <row r="263" spans="1:27" ht="14.5" customHeight="1">
      <c r="A263" s="19" t="s">
        <v>4927</v>
      </c>
      <c r="B263" s="3" t="s">
        <v>841</v>
      </c>
      <c r="C263" s="20">
        <v>5911680</v>
      </c>
      <c r="D263" s="20">
        <v>8001209</v>
      </c>
      <c r="E263" s="56">
        <v>-26.12</v>
      </c>
      <c r="F263" s="57">
        <v>1520221</v>
      </c>
      <c r="G263" s="57">
        <v>3037378</v>
      </c>
      <c r="H263" s="57">
        <v>27065</v>
      </c>
      <c r="I263" s="57">
        <v>54268</v>
      </c>
      <c r="J263" s="57">
        <v>1337841</v>
      </c>
      <c r="K263" s="57">
        <v>3004988</v>
      </c>
      <c r="L263" s="56">
        <v>-55.48</v>
      </c>
      <c r="M263" s="20">
        <v>5927850</v>
      </c>
      <c r="N263" s="56">
        <v>1.89</v>
      </c>
      <c r="O263" s="56">
        <v>4.07</v>
      </c>
      <c r="P263" s="58">
        <v>23.64</v>
      </c>
      <c r="Q263" s="59">
        <v>46.884112156994298</v>
      </c>
      <c r="R263" s="59">
        <v>2.04324283857042</v>
      </c>
      <c r="S263" s="59">
        <v>0.14164233571344301</v>
      </c>
      <c r="X263" s="2">
        <f t="shared" si="12"/>
        <v>0.53115887843005705</v>
      </c>
      <c r="Y263" s="2">
        <f>SUMIF(收盤價!A:A,A263,收盤價!C:C)</f>
        <v>25.85</v>
      </c>
      <c r="Z263" s="2">
        <f t="shared" si="13"/>
        <v>14013437.4</v>
      </c>
      <c r="AA263" s="2">
        <f t="shared" si="14"/>
        <v>15323492.25</v>
      </c>
    </row>
    <row r="264" spans="1:27" ht="14.5" customHeight="1">
      <c r="A264" s="19" t="s">
        <v>4928</v>
      </c>
      <c r="B264" s="3" t="s">
        <v>843</v>
      </c>
      <c r="C264" s="20">
        <v>10760977</v>
      </c>
      <c r="D264" s="20">
        <v>14484777</v>
      </c>
      <c r="E264" s="56">
        <v>-25.71</v>
      </c>
      <c r="F264" s="57">
        <v>774961</v>
      </c>
      <c r="G264" s="57">
        <v>677662</v>
      </c>
      <c r="H264" s="57">
        <v>41019</v>
      </c>
      <c r="I264" s="57">
        <v>31780</v>
      </c>
      <c r="J264" s="57">
        <v>630445</v>
      </c>
      <c r="K264" s="57">
        <v>545724</v>
      </c>
      <c r="L264" s="56">
        <v>15.52</v>
      </c>
      <c r="M264" s="20">
        <v>3115376</v>
      </c>
      <c r="N264" s="56">
        <v>2.2599999999999998</v>
      </c>
      <c r="O264" s="56">
        <v>2.29</v>
      </c>
      <c r="P264" s="58">
        <v>23.71</v>
      </c>
      <c r="Q264" s="59">
        <v>41.355097088373597</v>
      </c>
      <c r="R264" s="59">
        <v>1.9371495845056901</v>
      </c>
      <c r="S264" s="59">
        <v>0.94820363357074899</v>
      </c>
      <c r="X264" s="2">
        <f t="shared" si="12"/>
        <v>0.58644902911626406</v>
      </c>
      <c r="Y264" s="2">
        <f>SUMIF(收盤價!A:A,A264,收盤價!C:C)</f>
        <v>21.15</v>
      </c>
      <c r="Z264" s="2">
        <f t="shared" si="13"/>
        <v>7386556.4960000012</v>
      </c>
      <c r="AA264" s="2">
        <f t="shared" si="14"/>
        <v>6589020.2400000002</v>
      </c>
    </row>
    <row r="265" spans="1:27" ht="14.5" customHeight="1">
      <c r="A265" s="19" t="s">
        <v>4929</v>
      </c>
      <c r="B265" s="3" t="s">
        <v>845</v>
      </c>
      <c r="C265" s="20">
        <v>2885896</v>
      </c>
      <c r="D265" s="20">
        <v>3918005</v>
      </c>
      <c r="E265" s="56">
        <v>-26.34</v>
      </c>
      <c r="F265" s="57">
        <v>566066</v>
      </c>
      <c r="G265" s="57">
        <v>432625</v>
      </c>
      <c r="H265" s="57">
        <v>114627</v>
      </c>
      <c r="I265" s="57">
        <v>88217</v>
      </c>
      <c r="J265" s="57">
        <v>607727</v>
      </c>
      <c r="K265" s="57">
        <v>444704</v>
      </c>
      <c r="L265" s="56">
        <v>36.659999999999997</v>
      </c>
      <c r="M265" s="20">
        <v>3328087</v>
      </c>
      <c r="N265" s="56">
        <v>1.83</v>
      </c>
      <c r="O265" s="56">
        <v>1.34</v>
      </c>
      <c r="P265" s="58">
        <v>35.86</v>
      </c>
      <c r="Q265" s="59">
        <v>60.255357083170502</v>
      </c>
      <c r="R265" s="59">
        <v>2.5001509915709001</v>
      </c>
      <c r="S265" s="59">
        <v>0.16686860592196001</v>
      </c>
      <c r="X265" s="2">
        <f t="shared" si="12"/>
        <v>0.39744642916829498</v>
      </c>
      <c r="Y265" s="2">
        <f>SUMIF(收盤價!A:A,A265,收盤價!C:C)</f>
        <v>24.4</v>
      </c>
      <c r="Z265" s="2">
        <f t="shared" si="13"/>
        <v>11934519.981999999</v>
      </c>
      <c r="AA265" s="2">
        <f t="shared" si="14"/>
        <v>8120532.2799999993</v>
      </c>
    </row>
    <row r="266" spans="1:27" ht="14.5" customHeight="1">
      <c r="A266" s="19" t="s">
        <v>4930</v>
      </c>
      <c r="B266" s="3" t="s">
        <v>847</v>
      </c>
      <c r="C266" s="20">
        <v>788704</v>
      </c>
      <c r="D266" s="20">
        <v>1900407</v>
      </c>
      <c r="E266" s="56">
        <v>-58.5</v>
      </c>
      <c r="F266" s="57">
        <v>-97413</v>
      </c>
      <c r="G266" s="57">
        <v>82392</v>
      </c>
      <c r="H266" s="57">
        <v>-159115</v>
      </c>
      <c r="I266" s="57">
        <v>-37368</v>
      </c>
      <c r="J266" s="57">
        <v>-264298</v>
      </c>
      <c r="K266" s="57">
        <v>28444</v>
      </c>
      <c r="L266" s="56"/>
      <c r="M266" s="20">
        <v>3005579</v>
      </c>
      <c r="N266" s="56">
        <v>-0.88</v>
      </c>
      <c r="O266" s="56">
        <v>0.09</v>
      </c>
      <c r="P266" s="58">
        <v>12.83</v>
      </c>
      <c r="Q266" s="59">
        <v>43.662265072680903</v>
      </c>
      <c r="R266" s="59">
        <v>2.0021873590026802</v>
      </c>
      <c r="S266" s="59">
        <v>0.10656509438009699</v>
      </c>
      <c r="X266" s="2">
        <f t="shared" si="12"/>
        <v>0.56337734927319094</v>
      </c>
      <c r="Y266" s="2">
        <f>SUMIF(收盤價!A:A,A266,收盤價!C:C)</f>
        <v>10.9</v>
      </c>
      <c r="Z266" s="2">
        <f t="shared" si="13"/>
        <v>3856157.8569999998</v>
      </c>
      <c r="AA266" s="2">
        <f t="shared" si="14"/>
        <v>3276081.1100000003</v>
      </c>
    </row>
    <row r="267" spans="1:27" ht="14.5" customHeight="1">
      <c r="A267" s="19" t="s">
        <v>4931</v>
      </c>
      <c r="B267" s="3" t="s">
        <v>849</v>
      </c>
      <c r="C267" s="20">
        <v>173826</v>
      </c>
      <c r="D267" s="20">
        <v>148334</v>
      </c>
      <c r="E267" s="56">
        <v>17.190000000000001</v>
      </c>
      <c r="F267" s="57">
        <v>-102756</v>
      </c>
      <c r="G267" s="57">
        <v>-14936</v>
      </c>
      <c r="H267" s="57">
        <v>-182615</v>
      </c>
      <c r="I267" s="57">
        <v>69185</v>
      </c>
      <c r="J267" s="57">
        <v>-296692</v>
      </c>
      <c r="K267" s="57">
        <v>45287</v>
      </c>
      <c r="L267" s="56"/>
      <c r="M267" s="20">
        <v>4384488</v>
      </c>
      <c r="N267" s="56">
        <v>-0.68</v>
      </c>
      <c r="O267" s="56">
        <v>0.1</v>
      </c>
      <c r="P267" s="58">
        <v>15.31</v>
      </c>
      <c r="Q267" s="59">
        <v>33.375412759933802</v>
      </c>
      <c r="R267" s="59">
        <v>1.5048381322956399</v>
      </c>
      <c r="S267" s="59">
        <v>2.3758497155502399E-2</v>
      </c>
      <c r="X267" s="2">
        <f t="shared" si="12"/>
        <v>0.66624587240066202</v>
      </c>
      <c r="Y267" s="2">
        <f>SUMIF(收盤價!A:A,A267,收盤價!C:C)</f>
        <v>12.9</v>
      </c>
      <c r="Z267" s="2">
        <f t="shared" si="13"/>
        <v>6712651.1280000005</v>
      </c>
      <c r="AA267" s="2">
        <f t="shared" si="14"/>
        <v>5655989.5200000005</v>
      </c>
    </row>
    <row r="268" spans="1:27" ht="14.5" customHeight="1">
      <c r="A268" s="19" t="s">
        <v>4932</v>
      </c>
      <c r="B268" s="3" t="s">
        <v>851</v>
      </c>
      <c r="C268" s="20">
        <v>7431114</v>
      </c>
      <c r="D268" s="20">
        <v>3792103</v>
      </c>
      <c r="E268" s="56">
        <v>95.96</v>
      </c>
      <c r="F268" s="57">
        <v>1651707</v>
      </c>
      <c r="G268" s="57">
        <v>529015</v>
      </c>
      <c r="H268" s="57">
        <v>-18173</v>
      </c>
      <c r="I268" s="57">
        <v>-12320</v>
      </c>
      <c r="J268" s="57">
        <v>1488505</v>
      </c>
      <c r="K268" s="57">
        <v>450294</v>
      </c>
      <c r="L268" s="56">
        <v>230.56</v>
      </c>
      <c r="M268" s="20">
        <v>4637887</v>
      </c>
      <c r="N268" s="56">
        <v>3.22</v>
      </c>
      <c r="O268" s="56">
        <v>0.98</v>
      </c>
      <c r="P268" s="58">
        <v>15.6</v>
      </c>
      <c r="Q268" s="59">
        <v>52.978017623694399</v>
      </c>
      <c r="R268" s="59">
        <v>2.91229414553329</v>
      </c>
      <c r="S268" s="59">
        <v>0.168834609093587</v>
      </c>
      <c r="X268" s="2">
        <f t="shared" si="12"/>
        <v>0.47021982376305599</v>
      </c>
      <c r="Y268" s="2">
        <f>SUMIF(收盤價!A:A,A268,收盤價!C:C)</f>
        <v>29.5</v>
      </c>
      <c r="Z268" s="2">
        <f t="shared" si="13"/>
        <v>7235103.7200000007</v>
      </c>
      <c r="AA268" s="2">
        <f t="shared" si="14"/>
        <v>13681766.65</v>
      </c>
    </row>
    <row r="269" spans="1:27" ht="14.5" customHeight="1">
      <c r="A269" s="19" t="s">
        <v>4933</v>
      </c>
      <c r="B269" s="3" t="s">
        <v>853</v>
      </c>
      <c r="C269" s="20">
        <v>2221028</v>
      </c>
      <c r="D269" s="20">
        <v>1860434</v>
      </c>
      <c r="E269" s="56">
        <v>19.38</v>
      </c>
      <c r="F269" s="57">
        <v>423617</v>
      </c>
      <c r="G269" s="57">
        <v>328763</v>
      </c>
      <c r="H269" s="57">
        <v>-136870</v>
      </c>
      <c r="I269" s="57">
        <v>-89401</v>
      </c>
      <c r="J269" s="57">
        <v>202613</v>
      </c>
      <c r="K269" s="57">
        <v>184853</v>
      </c>
      <c r="L269" s="56">
        <v>9.61</v>
      </c>
      <c r="M269" s="20">
        <v>1466000</v>
      </c>
      <c r="N269" s="56">
        <v>1.38</v>
      </c>
      <c r="O269" s="56">
        <v>1.26</v>
      </c>
      <c r="P269" s="58">
        <v>29.77</v>
      </c>
      <c r="Q269" s="59">
        <v>34.332217505868698</v>
      </c>
      <c r="R269" s="59">
        <v>1.6582826976190199</v>
      </c>
      <c r="S269" s="59">
        <v>0.17748547341454399</v>
      </c>
      <c r="X269" s="2">
        <f t="shared" si="12"/>
        <v>0.65667782494131299</v>
      </c>
      <c r="Y269" s="2">
        <f>SUMIF(收盤價!A:A,A269,收盤價!C:C)</f>
        <v>26.7</v>
      </c>
      <c r="Z269" s="2">
        <f t="shared" si="13"/>
        <v>4364282</v>
      </c>
      <c r="AA269" s="2">
        <f t="shared" si="14"/>
        <v>3914220</v>
      </c>
    </row>
    <row r="270" spans="1:27" ht="14.5" customHeight="1">
      <c r="A270" s="19" t="s">
        <v>4934</v>
      </c>
      <c r="B270" s="3" t="s">
        <v>855</v>
      </c>
      <c r="C270" s="20">
        <v>23798201</v>
      </c>
      <c r="D270" s="20">
        <v>44204971</v>
      </c>
      <c r="E270" s="56">
        <v>-46.16</v>
      </c>
      <c r="F270" s="57">
        <v>3505992</v>
      </c>
      <c r="G270" s="57">
        <v>9503362</v>
      </c>
      <c r="H270" s="57">
        <v>445780</v>
      </c>
      <c r="I270" s="57">
        <v>-52490</v>
      </c>
      <c r="J270" s="57">
        <v>3029789</v>
      </c>
      <c r="K270" s="57">
        <v>6856144</v>
      </c>
      <c r="L270" s="56">
        <v>-55.81</v>
      </c>
      <c r="M270" s="20">
        <v>11666288</v>
      </c>
      <c r="N270" s="56">
        <v>2.66</v>
      </c>
      <c r="O270" s="56">
        <v>6.01</v>
      </c>
      <c r="P270" s="58">
        <v>26.66</v>
      </c>
      <c r="Q270" s="59">
        <v>20.5625524675382</v>
      </c>
      <c r="R270" s="59">
        <v>1.65907993201919</v>
      </c>
      <c r="S270" s="59">
        <v>0.19101300961046699</v>
      </c>
      <c r="X270" s="2">
        <f t="shared" si="12"/>
        <v>0.79437447532461802</v>
      </c>
      <c r="Y270" s="2">
        <f>SUMIF(收盤價!A:A,A270,收盤價!C:C)</f>
        <v>46.3</v>
      </c>
      <c r="Z270" s="2">
        <f t="shared" si="13"/>
        <v>31102323.807999998</v>
      </c>
      <c r="AA270" s="2">
        <f t="shared" si="14"/>
        <v>54014913.439999998</v>
      </c>
    </row>
    <row r="271" spans="1:27" ht="14.5" customHeight="1">
      <c r="A271" s="19" t="s">
        <v>4935</v>
      </c>
      <c r="B271" s="3" t="s">
        <v>857</v>
      </c>
      <c r="C271" s="20">
        <v>5620826</v>
      </c>
      <c r="D271" s="20">
        <v>4457132</v>
      </c>
      <c r="E271" s="56">
        <v>26.11</v>
      </c>
      <c r="F271" s="57">
        <v>36804</v>
      </c>
      <c r="G271" s="57">
        <v>-516448</v>
      </c>
      <c r="H271" s="57">
        <v>-16477</v>
      </c>
      <c r="I271" s="57">
        <v>-6102</v>
      </c>
      <c r="J271" s="57">
        <v>23070</v>
      </c>
      <c r="K271" s="57">
        <v>-513230</v>
      </c>
      <c r="L271" s="56"/>
      <c r="M271" s="20">
        <v>2419837</v>
      </c>
      <c r="N271" s="56">
        <v>0.1</v>
      </c>
      <c r="O271" s="56">
        <v>-2.16</v>
      </c>
      <c r="P271" s="58">
        <v>8.32</v>
      </c>
      <c r="Q271" s="59">
        <v>25.944376491979899</v>
      </c>
      <c r="R271" s="59">
        <v>1.23159553837856</v>
      </c>
      <c r="S271" s="59">
        <v>0.80499832215364497</v>
      </c>
      <c r="X271" s="2">
        <f t="shared" si="12"/>
        <v>0.74055623508020108</v>
      </c>
      <c r="Y271" s="2">
        <f>SUMIF(收盤價!A:A,A271,收盤價!C:C)</f>
        <v>7.36</v>
      </c>
      <c r="Z271" s="2">
        <f t="shared" si="13"/>
        <v>2013304.3840000001</v>
      </c>
      <c r="AA271" s="2">
        <f t="shared" si="14"/>
        <v>1781000.0320000001</v>
      </c>
    </row>
    <row r="272" spans="1:27" ht="14.5" customHeight="1">
      <c r="A272" s="19" t="s">
        <v>4936</v>
      </c>
      <c r="B272" s="3" t="s">
        <v>859</v>
      </c>
      <c r="C272" s="20">
        <v>3192577</v>
      </c>
      <c r="D272" s="20">
        <v>3060891</v>
      </c>
      <c r="E272" s="56">
        <v>4.3</v>
      </c>
      <c r="F272" s="57">
        <v>378138</v>
      </c>
      <c r="G272" s="57">
        <v>553877</v>
      </c>
      <c r="H272" s="57">
        <v>-320965</v>
      </c>
      <c r="I272" s="57">
        <v>340352</v>
      </c>
      <c r="J272" s="57">
        <v>14338</v>
      </c>
      <c r="K272" s="57">
        <v>847389</v>
      </c>
      <c r="L272" s="56">
        <v>-98.31</v>
      </c>
      <c r="M272" s="20">
        <v>3277348</v>
      </c>
      <c r="N272" s="56">
        <v>0.04</v>
      </c>
      <c r="O272" s="56">
        <v>2.59</v>
      </c>
      <c r="P272" s="58">
        <v>30.73</v>
      </c>
      <c r="Q272" s="59">
        <v>25.025964536854499</v>
      </c>
      <c r="R272" s="59">
        <v>1.2890106207631</v>
      </c>
      <c r="S272" s="59">
        <v>7.2981263070723307E-2</v>
      </c>
      <c r="X272" s="2">
        <f t="shared" si="12"/>
        <v>0.74974035463145494</v>
      </c>
      <c r="Y272" s="2">
        <f>SUMIF(收盤價!A:A,A272,收盤價!C:C)</f>
        <v>40</v>
      </c>
      <c r="Z272" s="2">
        <f t="shared" si="13"/>
        <v>10071290.404000001</v>
      </c>
      <c r="AA272" s="2">
        <f t="shared" si="14"/>
        <v>13109392</v>
      </c>
    </row>
    <row r="273" spans="1:27" ht="14.5" customHeight="1">
      <c r="A273" s="19" t="s">
        <v>4937</v>
      </c>
      <c r="B273" s="3" t="s">
        <v>861</v>
      </c>
      <c r="C273" s="20">
        <v>11462442</v>
      </c>
      <c r="D273" s="20">
        <v>11429192</v>
      </c>
      <c r="E273" s="56">
        <v>0.28999999999999998</v>
      </c>
      <c r="F273" s="57">
        <v>470381</v>
      </c>
      <c r="G273" s="57">
        <v>502819</v>
      </c>
      <c r="H273" s="57">
        <v>29533</v>
      </c>
      <c r="I273" s="57">
        <v>14380</v>
      </c>
      <c r="J273" s="57">
        <v>402348</v>
      </c>
      <c r="K273" s="57">
        <v>407506</v>
      </c>
      <c r="L273" s="56">
        <v>-1.27</v>
      </c>
      <c r="M273" s="20">
        <v>1060357</v>
      </c>
      <c r="N273" s="56">
        <v>3.79</v>
      </c>
      <c r="O273" s="56">
        <v>3.84</v>
      </c>
      <c r="P273" s="58">
        <v>25.85</v>
      </c>
      <c r="Q273" s="59">
        <v>33.116000197176497</v>
      </c>
      <c r="R273" s="59">
        <v>1.42017604709329</v>
      </c>
      <c r="S273" s="59">
        <v>1.33324084182017</v>
      </c>
      <c r="X273" s="2">
        <f t="shared" si="12"/>
        <v>0.66883999802823491</v>
      </c>
      <c r="Y273" s="2">
        <f>SUMIF(收盤價!A:A,A273,收盤價!C:C)</f>
        <v>37.6</v>
      </c>
      <c r="Z273" s="2">
        <f t="shared" si="13"/>
        <v>2741022.8450000002</v>
      </c>
      <c r="AA273" s="2">
        <f t="shared" si="14"/>
        <v>3986942.3200000003</v>
      </c>
    </row>
    <row r="274" spans="1:27" ht="14.5" customHeight="1">
      <c r="A274" s="19" t="s">
        <v>4938</v>
      </c>
      <c r="B274" s="3" t="s">
        <v>863</v>
      </c>
      <c r="C274" s="20">
        <v>6325345</v>
      </c>
      <c r="D274" s="20">
        <v>31947334</v>
      </c>
      <c r="E274" s="56">
        <v>-80.2</v>
      </c>
      <c r="F274" s="57">
        <v>611347</v>
      </c>
      <c r="G274" s="57">
        <v>4287880</v>
      </c>
      <c r="H274" s="57">
        <v>191228</v>
      </c>
      <c r="I274" s="57">
        <v>-534397</v>
      </c>
      <c r="J274" s="57">
        <v>406731</v>
      </c>
      <c r="K274" s="57">
        <v>3368318</v>
      </c>
      <c r="L274" s="56">
        <v>-87.92</v>
      </c>
      <c r="M274" s="20">
        <v>9123076</v>
      </c>
      <c r="N274" s="56">
        <v>0.45</v>
      </c>
      <c r="O274" s="56">
        <v>3.69</v>
      </c>
      <c r="P274" s="58">
        <v>12.87</v>
      </c>
      <c r="Q274" s="59">
        <v>20.9355698782114</v>
      </c>
      <c r="R274" s="59">
        <v>1.05615765444853</v>
      </c>
      <c r="S274" s="59">
        <v>0.28946587807528201</v>
      </c>
      <c r="X274" s="2">
        <f t="shared" si="12"/>
        <v>0.79064430121788609</v>
      </c>
      <c r="Y274" s="2">
        <f>SUMIF(收盤價!A:A,A274,收盤價!C:C)</f>
        <v>11.65</v>
      </c>
      <c r="Z274" s="2">
        <f t="shared" si="13"/>
        <v>11741398.811999999</v>
      </c>
      <c r="AA274" s="2">
        <f t="shared" si="14"/>
        <v>10628383.540000001</v>
      </c>
    </row>
    <row r="275" spans="1:27" ht="14.5" customHeight="1">
      <c r="A275" s="19" t="s">
        <v>4939</v>
      </c>
      <c r="B275" s="3" t="s">
        <v>865</v>
      </c>
      <c r="C275" s="20">
        <v>19819800</v>
      </c>
      <c r="D275" s="20">
        <v>4638016</v>
      </c>
      <c r="E275" s="56">
        <v>327.33</v>
      </c>
      <c r="F275" s="57">
        <v>3766081</v>
      </c>
      <c r="G275" s="57">
        <v>757089</v>
      </c>
      <c r="H275" s="57">
        <v>74504</v>
      </c>
      <c r="I275" s="57">
        <v>294463</v>
      </c>
      <c r="J275" s="57">
        <v>3140875</v>
      </c>
      <c r="K275" s="57">
        <v>863542</v>
      </c>
      <c r="L275" s="56">
        <v>263.72000000000003</v>
      </c>
      <c r="M275" s="20">
        <v>2768127</v>
      </c>
      <c r="N275" s="56">
        <v>11.35</v>
      </c>
      <c r="O275" s="56">
        <v>3.12</v>
      </c>
      <c r="P275" s="58">
        <v>60.31</v>
      </c>
      <c r="Q275" s="59">
        <v>46.122299533297102</v>
      </c>
      <c r="R275" s="59">
        <v>2.1825587541160099</v>
      </c>
      <c r="S275" s="59">
        <v>0.110768452060918</v>
      </c>
      <c r="X275" s="2">
        <f t="shared" si="12"/>
        <v>0.53877700466702894</v>
      </c>
      <c r="Y275" s="2">
        <f>SUMIF(收盤價!A:A,A275,收盤價!C:C)</f>
        <v>92.6</v>
      </c>
      <c r="Z275" s="2">
        <f t="shared" si="13"/>
        <v>16694573.937000001</v>
      </c>
      <c r="AA275" s="2">
        <f t="shared" si="14"/>
        <v>25632856.02</v>
      </c>
    </row>
    <row r="276" spans="1:27" ht="14.5" customHeight="1">
      <c r="A276" s="19" t="s">
        <v>4940</v>
      </c>
      <c r="B276" s="3" t="s">
        <v>867</v>
      </c>
      <c r="C276" s="20">
        <v>11637322</v>
      </c>
      <c r="D276" s="20">
        <v>8646070</v>
      </c>
      <c r="E276" s="56">
        <v>34.6</v>
      </c>
      <c r="F276" s="57">
        <v>718156</v>
      </c>
      <c r="G276" s="57">
        <v>632466</v>
      </c>
      <c r="H276" s="57">
        <v>164561</v>
      </c>
      <c r="I276" s="57">
        <v>228415</v>
      </c>
      <c r="J276" s="57">
        <v>679710</v>
      </c>
      <c r="K276" s="57">
        <v>660906</v>
      </c>
      <c r="L276" s="56">
        <v>2.85</v>
      </c>
      <c r="M276" s="20">
        <v>1350000</v>
      </c>
      <c r="N276" s="56">
        <v>5.03</v>
      </c>
      <c r="O276" s="56">
        <v>4.9000000000000004</v>
      </c>
      <c r="P276" s="58">
        <v>28.57</v>
      </c>
      <c r="Q276" s="59">
        <v>34.657517335366997</v>
      </c>
      <c r="R276" s="59">
        <v>1.29057008706506</v>
      </c>
      <c r="S276" s="59">
        <v>1.1078776005340001</v>
      </c>
      <c r="X276" s="2">
        <f t="shared" si="12"/>
        <v>0.65342482664632995</v>
      </c>
      <c r="Y276" s="2">
        <f>SUMIF(收盤價!A:A,A276,收盤價!C:C)</f>
        <v>62.2</v>
      </c>
      <c r="Z276" s="2">
        <f t="shared" si="13"/>
        <v>3856950</v>
      </c>
      <c r="AA276" s="2">
        <f t="shared" si="14"/>
        <v>8397000</v>
      </c>
    </row>
    <row r="277" spans="1:27" ht="14.5" customHeight="1">
      <c r="A277" s="19" t="s">
        <v>4941</v>
      </c>
      <c r="B277" s="3" t="s">
        <v>959</v>
      </c>
      <c r="C277" s="20">
        <v>393930</v>
      </c>
      <c r="D277" s="20">
        <v>365755</v>
      </c>
      <c r="E277" s="56">
        <v>7.7</v>
      </c>
      <c r="F277" s="57">
        <v>-721958</v>
      </c>
      <c r="G277" s="57">
        <v>-661207</v>
      </c>
      <c r="H277" s="57">
        <v>1006764</v>
      </c>
      <c r="I277" s="57">
        <v>1083857</v>
      </c>
      <c r="J277" s="57">
        <v>295480</v>
      </c>
      <c r="K277" s="57">
        <v>401337</v>
      </c>
      <c r="L277" s="56">
        <v>-26.38</v>
      </c>
      <c r="M277" s="20">
        <v>7609436</v>
      </c>
      <c r="N277" s="56">
        <v>0.4</v>
      </c>
      <c r="O277" s="56">
        <v>0.54</v>
      </c>
      <c r="P277" s="58">
        <v>26.06</v>
      </c>
      <c r="Q277" s="59">
        <v>52.516822344637198</v>
      </c>
      <c r="R277" s="59">
        <v>1.0069360041123701</v>
      </c>
      <c r="S277" s="59">
        <v>0.76934648386969195</v>
      </c>
      <c r="X277" s="2">
        <f t="shared" si="12"/>
        <v>0.47483177655362802</v>
      </c>
      <c r="Y277" s="2">
        <f>SUMIF(收盤價!A:A,A277,收盤價!C:C)</f>
        <v>8.98</v>
      </c>
      <c r="Z277" s="2">
        <f t="shared" si="13"/>
        <v>19830190.215999998</v>
      </c>
      <c r="AA277" s="2">
        <f t="shared" si="14"/>
        <v>6833273.5279999999</v>
      </c>
    </row>
    <row r="278" spans="1:27" ht="14.5" customHeight="1">
      <c r="A278" s="19" t="s">
        <v>4942</v>
      </c>
      <c r="B278" s="3" t="s">
        <v>1025</v>
      </c>
      <c r="C278" s="20">
        <v>5737206</v>
      </c>
      <c r="D278" s="20">
        <v>6928722</v>
      </c>
      <c r="E278" s="56">
        <v>-17.2</v>
      </c>
      <c r="F278" s="57">
        <v>-649231</v>
      </c>
      <c r="G278" s="57">
        <v>4172758</v>
      </c>
      <c r="H278" s="57">
        <v>291142</v>
      </c>
      <c r="I278" s="57">
        <v>-996037</v>
      </c>
      <c r="J278" s="57">
        <v>8209089</v>
      </c>
      <c r="K278" s="57">
        <v>1631299</v>
      </c>
      <c r="L278" s="56">
        <v>403.22</v>
      </c>
      <c r="M278" s="20">
        <v>17402970</v>
      </c>
      <c r="N278" s="56">
        <v>4.72</v>
      </c>
      <c r="O278" s="56">
        <v>0.94</v>
      </c>
      <c r="P278" s="58">
        <v>31.45</v>
      </c>
      <c r="Q278" s="59">
        <v>44.300233756436803</v>
      </c>
      <c r="R278" s="59">
        <v>3.9349565489600602</v>
      </c>
      <c r="S278" s="59">
        <v>0.97502688319754405</v>
      </c>
      <c r="X278" s="2">
        <f t="shared" si="12"/>
        <v>0.55699766243563198</v>
      </c>
      <c r="Y278" s="2">
        <f>SUMIF(收盤價!A:A,A278,收盤價!C:C)</f>
        <v>27.05</v>
      </c>
      <c r="Z278" s="2">
        <f t="shared" si="13"/>
        <v>54732340.649999999</v>
      </c>
      <c r="AA278" s="2">
        <f t="shared" si="14"/>
        <v>47075033.850000001</v>
      </c>
    </row>
    <row r="279" spans="1:27" ht="14.5" customHeight="1">
      <c r="A279" s="19" t="s">
        <v>4943</v>
      </c>
      <c r="B279" s="3" t="s">
        <v>1123</v>
      </c>
      <c r="C279" s="20">
        <v>5623832</v>
      </c>
      <c r="D279" s="20">
        <v>1070737</v>
      </c>
      <c r="E279" s="56">
        <v>425.23</v>
      </c>
      <c r="F279" s="57">
        <v>239566</v>
      </c>
      <c r="G279" s="57">
        <v>-204369</v>
      </c>
      <c r="H279" s="57">
        <v>4418</v>
      </c>
      <c r="I279" s="57">
        <v>474</v>
      </c>
      <c r="J279" s="57">
        <v>175432</v>
      </c>
      <c r="K279" s="57">
        <v>-135918</v>
      </c>
      <c r="L279" s="56"/>
      <c r="M279" s="20">
        <v>2287135</v>
      </c>
      <c r="N279" s="56">
        <v>0.87</v>
      </c>
      <c r="O279" s="56">
        <v>-0.68</v>
      </c>
      <c r="P279" s="58">
        <v>14.28</v>
      </c>
      <c r="Q279" s="59">
        <v>35.182165768706902</v>
      </c>
      <c r="R279" s="59">
        <v>1.6124067562523701</v>
      </c>
      <c r="S279" s="59">
        <v>0.64029829394194004</v>
      </c>
      <c r="X279" s="2">
        <f t="shared" si="12"/>
        <v>0.64817834231293092</v>
      </c>
      <c r="Y279" s="2">
        <f>SUMIF(收盤價!A:A,A279,收盤價!C:C)</f>
        <v>12.15</v>
      </c>
      <c r="Z279" s="2">
        <f t="shared" si="13"/>
        <v>3266028.78</v>
      </c>
      <c r="AA279" s="2">
        <f t="shared" si="14"/>
        <v>2778869.0249999999</v>
      </c>
    </row>
    <row r="280" spans="1:27" ht="14.5" customHeight="1">
      <c r="A280" s="19" t="s">
        <v>4944</v>
      </c>
      <c r="B280" s="3" t="s">
        <v>1129</v>
      </c>
      <c r="C280" s="20">
        <v>3742423</v>
      </c>
      <c r="D280" s="20">
        <v>2661309</v>
      </c>
      <c r="E280" s="56">
        <v>40.619999999999997</v>
      </c>
      <c r="F280" s="57">
        <v>488243</v>
      </c>
      <c r="G280" s="57">
        <v>377623</v>
      </c>
      <c r="H280" s="57">
        <v>19749</v>
      </c>
      <c r="I280" s="57">
        <v>28604</v>
      </c>
      <c r="J280" s="57">
        <v>471367</v>
      </c>
      <c r="K280" s="57">
        <v>333505</v>
      </c>
      <c r="L280" s="56">
        <v>41.34</v>
      </c>
      <c r="M280" s="20">
        <v>2092877</v>
      </c>
      <c r="N280" s="56">
        <v>2.25</v>
      </c>
      <c r="O280" s="56">
        <v>1.46</v>
      </c>
      <c r="P280" s="58">
        <v>22.96</v>
      </c>
      <c r="Q280" s="59">
        <v>33.8275765139594</v>
      </c>
      <c r="R280" s="59">
        <v>1.47777955683505</v>
      </c>
      <c r="S280" s="59">
        <v>8.0989068851762602E-2</v>
      </c>
      <c r="X280" s="2">
        <f t="shared" si="12"/>
        <v>0.66172423486040599</v>
      </c>
      <c r="Y280" s="2">
        <f>SUMIF(收盤價!A:A,A280,收盤價!C:C)</f>
        <v>31.6</v>
      </c>
      <c r="Z280" s="2">
        <f t="shared" si="13"/>
        <v>4805245.5920000002</v>
      </c>
      <c r="AA280" s="2">
        <f t="shared" si="14"/>
        <v>6613491.3200000003</v>
      </c>
    </row>
    <row r="281" spans="1:27" ht="14.5" customHeight="1">
      <c r="A281" s="19" t="s">
        <v>4945</v>
      </c>
      <c r="B281" s="3" t="s">
        <v>1161</v>
      </c>
      <c r="C281" s="20">
        <v>1969081</v>
      </c>
      <c r="D281" s="20">
        <v>2725277</v>
      </c>
      <c r="E281" s="56">
        <v>-27.75</v>
      </c>
      <c r="F281" s="57">
        <v>228360</v>
      </c>
      <c r="G281" s="57">
        <v>123331</v>
      </c>
      <c r="H281" s="57">
        <v>19493</v>
      </c>
      <c r="I281" s="57">
        <v>40557</v>
      </c>
      <c r="J281" s="57">
        <v>209901</v>
      </c>
      <c r="K281" s="57">
        <v>106414</v>
      </c>
      <c r="L281" s="56">
        <v>97.25</v>
      </c>
      <c r="M281" s="20">
        <v>3523143</v>
      </c>
      <c r="N281" s="56">
        <v>0.6</v>
      </c>
      <c r="O281" s="56">
        <v>0.3</v>
      </c>
      <c r="P281" s="58">
        <v>14.69</v>
      </c>
      <c r="Q281" s="59">
        <v>46.563187817476297</v>
      </c>
      <c r="R281" s="59">
        <v>1.93761186633692</v>
      </c>
      <c r="S281" s="59">
        <v>0.17877373495462401</v>
      </c>
      <c r="X281" s="2">
        <f t="shared" si="12"/>
        <v>0.53436812182523707</v>
      </c>
      <c r="Y281" s="2">
        <f>SUMIF(收盤價!A:A,A281,收盤價!C:C)</f>
        <v>15.3</v>
      </c>
      <c r="Z281" s="2">
        <f t="shared" si="13"/>
        <v>5175497.0669999998</v>
      </c>
      <c r="AA281" s="2">
        <f t="shared" si="14"/>
        <v>5390408.790000001</v>
      </c>
    </row>
    <row r="282" spans="1:27" ht="14.5" customHeight="1">
      <c r="A282" s="19" t="s">
        <v>4946</v>
      </c>
      <c r="B282" s="3" t="s">
        <v>1279</v>
      </c>
      <c r="C282" s="20">
        <v>22665087</v>
      </c>
      <c r="D282" s="20">
        <v>25154111</v>
      </c>
      <c r="E282" s="56">
        <v>-9.9</v>
      </c>
      <c r="F282" s="57">
        <v>1324943</v>
      </c>
      <c r="G282" s="57">
        <v>2350154</v>
      </c>
      <c r="H282" s="57">
        <v>-702011</v>
      </c>
      <c r="I282" s="57">
        <v>-188361</v>
      </c>
      <c r="J282" s="57">
        <v>97007</v>
      </c>
      <c r="K282" s="57">
        <v>1941677</v>
      </c>
      <c r="L282" s="56">
        <v>-95</v>
      </c>
      <c r="M282" s="20">
        <v>8232160</v>
      </c>
      <c r="N282" s="56">
        <v>0.12</v>
      </c>
      <c r="O282" s="56">
        <v>2.36</v>
      </c>
      <c r="P282" s="58">
        <v>27.47</v>
      </c>
      <c r="Q282" s="59">
        <v>35.579311654833198</v>
      </c>
      <c r="R282" s="59">
        <v>1.60127713701065</v>
      </c>
      <c r="S282" s="59">
        <v>0.47670409507431899</v>
      </c>
      <c r="X282" s="2">
        <f t="shared" si="12"/>
        <v>0.6442068834516681</v>
      </c>
      <c r="Y282" s="2">
        <f>SUMIF(收盤價!A:A,A282,收盤價!C:C)</f>
        <v>13.3</v>
      </c>
      <c r="Z282" s="2">
        <f t="shared" si="13"/>
        <v>22613743.52</v>
      </c>
      <c r="AA282" s="2">
        <f t="shared" si="14"/>
        <v>10948772.800000001</v>
      </c>
    </row>
    <row r="283" spans="1:27" ht="14.5" customHeight="1">
      <c r="A283" s="19" t="s">
        <v>4947</v>
      </c>
      <c r="B283" s="3" t="s">
        <v>1472</v>
      </c>
      <c r="C283" s="20">
        <v>6331757</v>
      </c>
      <c r="D283" s="20">
        <v>6824128</v>
      </c>
      <c r="E283" s="56">
        <v>-7.22</v>
      </c>
      <c r="F283" s="57">
        <v>173157</v>
      </c>
      <c r="G283" s="57">
        <v>360280</v>
      </c>
      <c r="H283" s="57">
        <v>121268</v>
      </c>
      <c r="I283" s="57">
        <v>14843</v>
      </c>
      <c r="J283" s="57">
        <v>179635</v>
      </c>
      <c r="K283" s="57">
        <v>205671</v>
      </c>
      <c r="L283" s="56">
        <v>-12.66</v>
      </c>
      <c r="M283" s="20">
        <v>2674401</v>
      </c>
      <c r="N283" s="56">
        <v>0.56999999999999995</v>
      </c>
      <c r="O283" s="56">
        <v>0.62</v>
      </c>
      <c r="P283" s="58">
        <v>16.260000000000002</v>
      </c>
      <c r="Q283" s="59">
        <v>50.901575936313201</v>
      </c>
      <c r="R283" s="59">
        <v>2.9347234810664302</v>
      </c>
      <c r="S283" s="59">
        <v>2.4484955138246001</v>
      </c>
      <c r="X283" s="2">
        <f t="shared" si="12"/>
        <v>0.49098424063686802</v>
      </c>
      <c r="Y283" s="2">
        <f>SUMIF(收盤價!A:A,A283,收盤價!C:C)</f>
        <v>10.75</v>
      </c>
      <c r="Z283" s="2">
        <f t="shared" si="13"/>
        <v>4348576.0260000005</v>
      </c>
      <c r="AA283" s="2">
        <f t="shared" si="14"/>
        <v>2874981.0750000002</v>
      </c>
    </row>
    <row r="284" spans="1:27" ht="14.5" customHeight="1">
      <c r="A284" s="19" t="s">
        <v>4948</v>
      </c>
      <c r="B284" s="3" t="s">
        <v>1474</v>
      </c>
      <c r="C284" s="20">
        <v>4394621</v>
      </c>
      <c r="D284" s="20">
        <v>2577520</v>
      </c>
      <c r="E284" s="56">
        <v>70.5</v>
      </c>
      <c r="F284" s="57">
        <v>535999</v>
      </c>
      <c r="G284" s="57">
        <v>460886</v>
      </c>
      <c r="H284" s="57">
        <v>13141</v>
      </c>
      <c r="I284" s="57">
        <v>13968</v>
      </c>
      <c r="J284" s="57">
        <v>489267</v>
      </c>
      <c r="K284" s="57">
        <v>443086</v>
      </c>
      <c r="L284" s="56">
        <v>10.42</v>
      </c>
      <c r="M284" s="20">
        <v>2173405</v>
      </c>
      <c r="N284" s="56">
        <v>2.4300000000000002</v>
      </c>
      <c r="O284" s="56">
        <v>2.41</v>
      </c>
      <c r="P284" s="58">
        <v>20.13</v>
      </c>
      <c r="Q284" s="59">
        <v>48.888270809370503</v>
      </c>
      <c r="R284" s="59">
        <v>4.6892668671926003</v>
      </c>
      <c r="S284" s="59">
        <v>0.38682237755251297</v>
      </c>
      <c r="X284" s="2">
        <f t="shared" si="12"/>
        <v>0.51111729190629496</v>
      </c>
      <c r="Y284" s="2">
        <f>SUMIF(收盤價!A:A,A284,收盤價!C:C)</f>
        <v>16.600000000000001</v>
      </c>
      <c r="Z284" s="2">
        <f t="shared" si="13"/>
        <v>4375064.2649999997</v>
      </c>
      <c r="AA284" s="2">
        <f t="shared" si="14"/>
        <v>3607852.3</v>
      </c>
    </row>
    <row r="285" spans="1:27" ht="14.5" customHeight="1">
      <c r="A285" s="19" t="s">
        <v>4949</v>
      </c>
      <c r="B285" s="3" t="s">
        <v>1476</v>
      </c>
      <c r="C285" s="20">
        <v>4282904</v>
      </c>
      <c r="D285" s="20">
        <v>3844011</v>
      </c>
      <c r="E285" s="56">
        <v>11.42</v>
      </c>
      <c r="F285" s="57">
        <v>6944</v>
      </c>
      <c r="G285" s="57">
        <v>-133819</v>
      </c>
      <c r="H285" s="57">
        <v>-9026</v>
      </c>
      <c r="I285" s="57">
        <v>27484</v>
      </c>
      <c r="J285" s="57">
        <v>-24014</v>
      </c>
      <c r="K285" s="57">
        <v>-68950</v>
      </c>
      <c r="L285" s="56"/>
      <c r="M285" s="20">
        <v>4475274</v>
      </c>
      <c r="N285" s="56">
        <v>-7.0000000000000007E-2</v>
      </c>
      <c r="O285" s="56">
        <v>-0.2</v>
      </c>
      <c r="P285" s="58">
        <v>9.5399999999999991</v>
      </c>
      <c r="Q285" s="59">
        <v>44.861696127390701</v>
      </c>
      <c r="R285" s="59">
        <v>1.83699952513881</v>
      </c>
      <c r="S285" s="59">
        <v>1.01982820779096</v>
      </c>
      <c r="X285" s="2">
        <f t="shared" si="12"/>
        <v>0.55138303872609296</v>
      </c>
      <c r="Y285" s="2">
        <f>SUMIF(收盤價!A:A,A285,收盤價!C:C)</f>
        <v>9.44</v>
      </c>
      <c r="Z285" s="2">
        <f t="shared" si="13"/>
        <v>4269411.3959999997</v>
      </c>
      <c r="AA285" s="2">
        <f t="shared" si="14"/>
        <v>4224658.6559999995</v>
      </c>
    </row>
    <row r="286" spans="1:27" ht="14.5" customHeight="1">
      <c r="A286" s="19" t="s">
        <v>4950</v>
      </c>
      <c r="B286" s="3" t="s">
        <v>1478</v>
      </c>
      <c r="C286" s="20">
        <v>20672958</v>
      </c>
      <c r="D286" s="20">
        <v>24241619</v>
      </c>
      <c r="E286" s="56">
        <v>-14.72</v>
      </c>
      <c r="F286" s="57">
        <v>4197427</v>
      </c>
      <c r="G286" s="57">
        <v>3188838</v>
      </c>
      <c r="H286" s="57">
        <v>-277307</v>
      </c>
      <c r="I286" s="57">
        <v>-172574</v>
      </c>
      <c r="J286" s="57">
        <v>3138954</v>
      </c>
      <c r="K286" s="57">
        <v>2003517</v>
      </c>
      <c r="L286" s="56">
        <v>56.67</v>
      </c>
      <c r="M286" s="20">
        <v>8062592</v>
      </c>
      <c r="N286" s="56">
        <v>3.89</v>
      </c>
      <c r="O286" s="56">
        <v>2.42</v>
      </c>
      <c r="P286" s="58">
        <v>51.63</v>
      </c>
      <c r="Q286" s="59">
        <v>47.869741670659799</v>
      </c>
      <c r="R286" s="59">
        <v>1.9936836721472699</v>
      </c>
      <c r="S286" s="59">
        <v>0.27252729880267101</v>
      </c>
      <c r="X286" s="2">
        <f t="shared" si="12"/>
        <v>0.52130258329340196</v>
      </c>
      <c r="Y286" s="2">
        <f>SUMIF(收盤價!A:A,A286,收盤價!C:C)</f>
        <v>40.299999999999997</v>
      </c>
      <c r="Z286" s="2">
        <f t="shared" si="13"/>
        <v>41627162.496000007</v>
      </c>
      <c r="AA286" s="2">
        <f t="shared" si="14"/>
        <v>32492245.759999998</v>
      </c>
    </row>
    <row r="287" spans="1:27" ht="14.5" customHeight="1">
      <c r="A287" s="19" t="s">
        <v>4951</v>
      </c>
      <c r="B287" s="3" t="s">
        <v>1480</v>
      </c>
      <c r="C287" s="20">
        <v>2588275</v>
      </c>
      <c r="D287" s="20">
        <v>4187845</v>
      </c>
      <c r="E287" s="56">
        <v>-38.200000000000003</v>
      </c>
      <c r="F287" s="57">
        <v>428505</v>
      </c>
      <c r="G287" s="57">
        <v>1015412</v>
      </c>
      <c r="H287" s="57">
        <v>-13257</v>
      </c>
      <c r="I287" s="57">
        <v>2837</v>
      </c>
      <c r="J287" s="57">
        <v>392726</v>
      </c>
      <c r="K287" s="57">
        <v>928325</v>
      </c>
      <c r="L287" s="56">
        <v>-57.7</v>
      </c>
      <c r="M287" s="20">
        <v>2449919</v>
      </c>
      <c r="N287" s="56">
        <v>1.66</v>
      </c>
      <c r="O287" s="56">
        <v>3.92</v>
      </c>
      <c r="P287" s="58">
        <v>19.14</v>
      </c>
      <c r="Q287" s="59">
        <v>36.9707052854571</v>
      </c>
      <c r="R287" s="59">
        <v>1.2141244412092</v>
      </c>
      <c r="S287" s="59">
        <v>0.14808051260268401</v>
      </c>
      <c r="X287" s="2">
        <f t="shared" si="12"/>
        <v>0.63029294714542905</v>
      </c>
      <c r="Y287" s="2">
        <f>SUMIF(收盤價!A:A,A287,收盤價!C:C)</f>
        <v>23.3</v>
      </c>
      <c r="Z287" s="2">
        <f t="shared" si="13"/>
        <v>4689144.966</v>
      </c>
      <c r="AA287" s="2">
        <f t="shared" si="14"/>
        <v>5708311.2700000005</v>
      </c>
    </row>
    <row r="288" spans="1:27" ht="14.5" customHeight="1">
      <c r="A288" s="19" t="s">
        <v>4952</v>
      </c>
      <c r="B288" s="3" t="s">
        <v>1482</v>
      </c>
      <c r="C288" s="20">
        <v>7803579</v>
      </c>
      <c r="D288" s="20">
        <v>7313145</v>
      </c>
      <c r="E288" s="56">
        <v>6.71</v>
      </c>
      <c r="F288" s="57">
        <v>1550425</v>
      </c>
      <c r="G288" s="57">
        <v>685556</v>
      </c>
      <c r="H288" s="57">
        <v>-666776</v>
      </c>
      <c r="I288" s="57">
        <v>-531838</v>
      </c>
      <c r="J288" s="57">
        <v>64860</v>
      </c>
      <c r="K288" s="57">
        <v>162391</v>
      </c>
      <c r="L288" s="56">
        <v>-60.06</v>
      </c>
      <c r="M288" s="20">
        <v>9824742</v>
      </c>
      <c r="N288" s="56">
        <v>7.0000000000000007E-2</v>
      </c>
      <c r="O288" s="56">
        <v>0.17</v>
      </c>
      <c r="P288" s="58">
        <v>11.67</v>
      </c>
      <c r="Q288" s="59">
        <v>33.926691778481903</v>
      </c>
      <c r="R288" s="59">
        <v>1.6205567327508601</v>
      </c>
      <c r="S288" s="59">
        <v>0.10243472371387401</v>
      </c>
      <c r="X288" s="2">
        <f t="shared" si="12"/>
        <v>0.6607330822151809</v>
      </c>
      <c r="Y288" s="2">
        <f>SUMIF(收盤價!A:A,A288,收盤價!C:C)</f>
        <v>10.95</v>
      </c>
      <c r="Z288" s="2">
        <f t="shared" si="13"/>
        <v>11465473.914000001</v>
      </c>
      <c r="AA288" s="2">
        <f t="shared" si="14"/>
        <v>10758092.489999998</v>
      </c>
    </row>
    <row r="289" spans="1:27" ht="14.5" customHeight="1">
      <c r="A289" s="19" t="s">
        <v>4953</v>
      </c>
      <c r="B289" s="3" t="s">
        <v>1484</v>
      </c>
      <c r="C289" s="20">
        <v>1631542</v>
      </c>
      <c r="D289" s="20">
        <v>2265460</v>
      </c>
      <c r="E289" s="56">
        <v>-27.98</v>
      </c>
      <c r="F289" s="57">
        <v>170261</v>
      </c>
      <c r="G289" s="57">
        <v>362013</v>
      </c>
      <c r="H289" s="57">
        <v>-55113</v>
      </c>
      <c r="I289" s="57">
        <v>-88273</v>
      </c>
      <c r="J289" s="57">
        <v>94338</v>
      </c>
      <c r="K289" s="57">
        <v>234147</v>
      </c>
      <c r="L289" s="56">
        <v>-59.71</v>
      </c>
      <c r="M289" s="20">
        <v>2852450</v>
      </c>
      <c r="N289" s="56">
        <v>0.33</v>
      </c>
      <c r="O289" s="56">
        <v>0.82</v>
      </c>
      <c r="P289" s="58">
        <v>25.72</v>
      </c>
      <c r="Q289" s="59">
        <v>48.964576134523902</v>
      </c>
      <c r="R289" s="59">
        <v>1.84490715836254</v>
      </c>
      <c r="S289" s="59">
        <v>9.0941603672070007E-2</v>
      </c>
      <c r="X289" s="2">
        <f t="shared" si="12"/>
        <v>0.51035423865476093</v>
      </c>
      <c r="Y289" s="2">
        <f>SUMIF(收盤價!A:A,A289,收盤價!C:C)</f>
        <v>15.9</v>
      </c>
      <c r="Z289" s="2">
        <f t="shared" si="13"/>
        <v>7336501.4000000004</v>
      </c>
      <c r="AA289" s="2">
        <f t="shared" si="14"/>
        <v>4535395.5</v>
      </c>
    </row>
    <row r="290" spans="1:27" ht="14.5" customHeight="1">
      <c r="A290" s="19" t="s">
        <v>4954</v>
      </c>
      <c r="B290" s="3" t="s">
        <v>1486</v>
      </c>
      <c r="C290" s="20">
        <v>9617999</v>
      </c>
      <c r="D290" s="20">
        <v>12106364</v>
      </c>
      <c r="E290" s="56">
        <v>-20.55</v>
      </c>
      <c r="F290" s="57">
        <v>3163333</v>
      </c>
      <c r="G290" s="57">
        <v>4211242</v>
      </c>
      <c r="H290" s="57">
        <v>257715</v>
      </c>
      <c r="I290" s="57">
        <v>228157</v>
      </c>
      <c r="J290" s="57">
        <v>3171992</v>
      </c>
      <c r="K290" s="57">
        <v>4164652</v>
      </c>
      <c r="L290" s="56">
        <v>-23.84</v>
      </c>
      <c r="M290" s="20">
        <v>2903260</v>
      </c>
      <c r="N290" s="56">
        <v>10.93</v>
      </c>
      <c r="O290" s="56">
        <v>14.34</v>
      </c>
      <c r="P290" s="58">
        <v>60.3</v>
      </c>
      <c r="Q290" s="59">
        <v>57.669841048332302</v>
      </c>
      <c r="R290" s="59">
        <v>2.5043516947692499</v>
      </c>
      <c r="S290" s="59">
        <v>0.16449174826516599</v>
      </c>
      <c r="X290" s="2">
        <f t="shared" si="12"/>
        <v>0.42330158951667696</v>
      </c>
      <c r="Y290" s="2">
        <f>SUMIF(收盤價!A:A,A290,收盤價!C:C)</f>
        <v>81.3</v>
      </c>
      <c r="Z290" s="2">
        <f t="shared" si="13"/>
        <v>17506657.800000001</v>
      </c>
      <c r="AA290" s="2">
        <f t="shared" si="14"/>
        <v>23603503.800000001</v>
      </c>
    </row>
    <row r="291" spans="1:27" ht="14.5" customHeight="1">
      <c r="A291" s="19" t="s">
        <v>4955</v>
      </c>
      <c r="B291" s="3" t="s">
        <v>1554</v>
      </c>
      <c r="C291" s="20">
        <v>6627484</v>
      </c>
      <c r="D291" s="20">
        <v>1457868</v>
      </c>
      <c r="E291" s="56">
        <v>354.6</v>
      </c>
      <c r="F291" s="57">
        <v>1126742</v>
      </c>
      <c r="G291" s="57">
        <v>132498</v>
      </c>
      <c r="H291" s="57">
        <v>-160283</v>
      </c>
      <c r="I291" s="57">
        <v>-80826</v>
      </c>
      <c r="J291" s="57">
        <v>922045</v>
      </c>
      <c r="K291" s="57">
        <v>47311</v>
      </c>
      <c r="L291" s="56">
        <v>1848.9</v>
      </c>
      <c r="M291" s="20">
        <v>2571444</v>
      </c>
      <c r="N291" s="56">
        <v>3.59</v>
      </c>
      <c r="O291" s="56">
        <v>0.19</v>
      </c>
      <c r="P291" s="58">
        <v>17.829999999999998</v>
      </c>
      <c r="Q291" s="59">
        <v>20.2691119442032</v>
      </c>
      <c r="R291" s="59">
        <v>1.5584221618040299</v>
      </c>
      <c r="S291" s="59">
        <v>3.5438145937805303E-2</v>
      </c>
      <c r="X291" s="2">
        <f t="shared" si="12"/>
        <v>0.797308880557968</v>
      </c>
      <c r="Y291" s="2">
        <f>SUMIF(收盤價!A:A,A291,收盤價!C:C)</f>
        <v>28.65</v>
      </c>
      <c r="Z291" s="2">
        <f t="shared" si="13"/>
        <v>4584884.6519999998</v>
      </c>
      <c r="AA291" s="2">
        <f t="shared" si="14"/>
        <v>7367187.0599999996</v>
      </c>
    </row>
    <row r="292" spans="1:27" ht="14.5" customHeight="1">
      <c r="A292" s="19" t="s">
        <v>4956</v>
      </c>
      <c r="B292" s="3" t="s">
        <v>1858</v>
      </c>
      <c r="C292" s="20">
        <v>16875</v>
      </c>
      <c r="D292" s="20">
        <v>298384</v>
      </c>
      <c r="E292" s="56">
        <v>-94.34</v>
      </c>
      <c r="F292" s="57">
        <v>-71944</v>
      </c>
      <c r="G292" s="57">
        <v>-20392</v>
      </c>
      <c r="H292" s="57">
        <v>-9636</v>
      </c>
      <c r="I292" s="57">
        <v>-9841</v>
      </c>
      <c r="J292" s="57">
        <v>-81580</v>
      </c>
      <c r="K292" s="57">
        <v>-30233</v>
      </c>
      <c r="L292" s="56"/>
      <c r="M292" s="20">
        <v>833439</v>
      </c>
      <c r="N292" s="56">
        <v>-0.98</v>
      </c>
      <c r="O292" s="56">
        <v>-0.36</v>
      </c>
      <c r="P292" s="58">
        <v>9.61</v>
      </c>
      <c r="Q292" s="59">
        <v>11.9860392396807</v>
      </c>
      <c r="R292" s="59">
        <v>2.2234552912333201</v>
      </c>
      <c r="S292" s="59">
        <v>2.4085483443619798E-2</v>
      </c>
      <c r="X292" s="2">
        <f t="shared" si="12"/>
        <v>0.88013960760319288</v>
      </c>
      <c r="Y292" s="2">
        <f>SUMIF(收盤價!A:A,A292,收盤價!C:C)</f>
        <v>20.45</v>
      </c>
      <c r="Z292" s="2">
        <f t="shared" si="13"/>
        <v>800934.87899999996</v>
      </c>
      <c r="AA292" s="2">
        <f t="shared" si="14"/>
        <v>1704382.7550000001</v>
      </c>
    </row>
    <row r="293" spans="1:27" ht="14.5" customHeight="1">
      <c r="A293" s="19" t="s">
        <v>4957</v>
      </c>
      <c r="B293" s="3" t="s">
        <v>1920</v>
      </c>
      <c r="C293" s="20">
        <v>5079135</v>
      </c>
      <c r="D293" s="20">
        <v>1571713</v>
      </c>
      <c r="E293" s="56">
        <v>223.16</v>
      </c>
      <c r="F293" s="57">
        <v>1588910</v>
      </c>
      <c r="G293" s="57">
        <v>380058</v>
      </c>
      <c r="H293" s="57">
        <v>-9420</v>
      </c>
      <c r="I293" s="57">
        <v>-7490</v>
      </c>
      <c r="J293" s="57">
        <v>1588304</v>
      </c>
      <c r="K293" s="57">
        <v>346652</v>
      </c>
      <c r="L293" s="56">
        <v>358.18</v>
      </c>
      <c r="M293" s="20">
        <v>3008209</v>
      </c>
      <c r="N293" s="56">
        <v>5.28</v>
      </c>
      <c r="O293" s="56">
        <v>1.1499999999999999</v>
      </c>
      <c r="P293" s="58">
        <v>22.3</v>
      </c>
      <c r="Q293" s="59">
        <v>58.012679292457797</v>
      </c>
      <c r="R293" s="59">
        <v>4.1554584356752002</v>
      </c>
      <c r="S293" s="59">
        <v>1.2848349981110501</v>
      </c>
      <c r="X293" s="2">
        <f t="shared" si="12"/>
        <v>0.41987320707542203</v>
      </c>
      <c r="Y293" s="2">
        <f>SUMIF(收盤價!A:A,A293,收盤價!C:C)</f>
        <v>27.05</v>
      </c>
      <c r="Z293" s="2">
        <f t="shared" si="13"/>
        <v>6708306.0700000003</v>
      </c>
      <c r="AA293" s="2">
        <f t="shared" si="14"/>
        <v>8137205.3450000007</v>
      </c>
    </row>
    <row r="294" spans="1:27" ht="14.5" customHeight="1">
      <c r="A294" s="24" t="s">
        <v>4958</v>
      </c>
      <c r="B294" s="25" t="s">
        <v>522</v>
      </c>
      <c r="C294" s="26">
        <v>16540899</v>
      </c>
      <c r="D294" s="26">
        <v>13012326</v>
      </c>
      <c r="E294" s="64">
        <v>27.12</v>
      </c>
      <c r="F294" s="65">
        <v>-1706140</v>
      </c>
      <c r="G294" s="65">
        <v>-3417597</v>
      </c>
      <c r="H294" s="65">
        <v>-102770</v>
      </c>
      <c r="I294" s="65">
        <v>78656</v>
      </c>
      <c r="J294" s="65">
        <v>-1818470</v>
      </c>
      <c r="K294" s="65">
        <v>-3100211</v>
      </c>
      <c r="L294" s="64"/>
      <c r="M294" s="26">
        <v>4729918</v>
      </c>
      <c r="N294" s="64">
        <v>-3.91</v>
      </c>
      <c r="O294" s="64">
        <v>-8.8699999999999992</v>
      </c>
      <c r="P294" s="66">
        <v>13.65</v>
      </c>
      <c r="Q294" s="67">
        <v>18.409235872758899</v>
      </c>
      <c r="R294" s="67">
        <v>1.0724175953700901</v>
      </c>
      <c r="S294" s="67">
        <v>0.65910725673131298</v>
      </c>
      <c r="X294" s="2">
        <f t="shared" si="12"/>
        <v>0.815907641272411</v>
      </c>
      <c r="Y294" s="2">
        <f>SUMIF(收盤價!A:A,A294,收盤價!C:C)</f>
        <v>26.85</v>
      </c>
      <c r="Z294" s="2">
        <f t="shared" si="13"/>
        <v>6456338.0700000003</v>
      </c>
      <c r="AA294" s="2">
        <f t="shared" si="14"/>
        <v>12699829.830000002</v>
      </c>
    </row>
    <row r="295" spans="1:27" ht="14.5" customHeight="1">
      <c r="A295" s="19" t="s">
        <v>4959</v>
      </c>
      <c r="B295" s="3" t="s">
        <v>871</v>
      </c>
      <c r="C295" s="20">
        <v>190589281</v>
      </c>
      <c r="D295" s="20">
        <v>169236653</v>
      </c>
      <c r="E295" s="56">
        <v>12.62</v>
      </c>
      <c r="F295" s="57">
        <v>4658270</v>
      </c>
      <c r="G295" s="57">
        <v>926217</v>
      </c>
      <c r="H295" s="57">
        <v>-3879370</v>
      </c>
      <c r="I295" s="57">
        <v>269187</v>
      </c>
      <c r="J295" s="57">
        <v>112519</v>
      </c>
      <c r="K295" s="57">
        <v>293919</v>
      </c>
      <c r="L295" s="56">
        <v>-61.72</v>
      </c>
      <c r="M295" s="20">
        <v>48129738</v>
      </c>
      <c r="N295" s="56">
        <v>0.02</v>
      </c>
      <c r="O295" s="56">
        <v>7.0000000000000007E-2</v>
      </c>
      <c r="P295" s="58">
        <v>14.55</v>
      </c>
      <c r="Q295" s="59">
        <v>22.846306443537902</v>
      </c>
      <c r="R295" s="59">
        <v>1.04490855772177</v>
      </c>
      <c r="S295" s="59">
        <v>0.87442607242997294</v>
      </c>
      <c r="X295" s="2">
        <f t="shared" si="12"/>
        <v>0.771536935564621</v>
      </c>
      <c r="Y295" s="2">
        <f>SUMIF(收盤價!A:A,A295,收盤價!C:C)</f>
        <v>12.4</v>
      </c>
      <c r="Z295" s="2">
        <f t="shared" si="13"/>
        <v>70028768.789999992</v>
      </c>
      <c r="AA295" s="2">
        <f t="shared" si="14"/>
        <v>59680875.120000005</v>
      </c>
    </row>
    <row r="296" spans="1:27" ht="14.5" customHeight="1">
      <c r="A296" s="19" t="s">
        <v>4960</v>
      </c>
      <c r="B296" s="3" t="s">
        <v>873</v>
      </c>
      <c r="C296" s="20">
        <v>4317241</v>
      </c>
      <c r="D296" s="20">
        <v>3773082</v>
      </c>
      <c r="E296" s="56">
        <v>14.42</v>
      </c>
      <c r="F296" s="57">
        <v>363676</v>
      </c>
      <c r="G296" s="57">
        <v>353832</v>
      </c>
      <c r="H296" s="57">
        <v>-168702</v>
      </c>
      <c r="I296" s="57">
        <v>-233014</v>
      </c>
      <c r="J296" s="57">
        <v>88316</v>
      </c>
      <c r="K296" s="57">
        <v>61777</v>
      </c>
      <c r="L296" s="56">
        <v>42.96</v>
      </c>
      <c r="M296" s="20">
        <v>5853533</v>
      </c>
      <c r="N296" s="56">
        <v>0.15</v>
      </c>
      <c r="O296" s="56">
        <v>0.11</v>
      </c>
      <c r="P296" s="58">
        <v>26.48</v>
      </c>
      <c r="Q296" s="59">
        <v>66.506082830516505</v>
      </c>
      <c r="R296" s="59">
        <v>2.5433792372116502</v>
      </c>
      <c r="S296" s="59">
        <v>2.1855956585383001</v>
      </c>
      <c r="X296" s="2">
        <f t="shared" si="12"/>
        <v>0.33493917169483495</v>
      </c>
      <c r="Y296" s="2">
        <f>SUMIF(收盤價!A:A,A296,收盤價!C:C)</f>
        <v>16.850000000000001</v>
      </c>
      <c r="Z296" s="2">
        <f t="shared" si="13"/>
        <v>15500155.384</v>
      </c>
      <c r="AA296" s="2">
        <f t="shared" si="14"/>
        <v>9863203.1050000004</v>
      </c>
    </row>
    <row r="297" spans="1:27" ht="14.5" customHeight="1">
      <c r="A297" s="19" t="s">
        <v>4961</v>
      </c>
      <c r="B297" s="3" t="s">
        <v>875</v>
      </c>
      <c r="C297" s="20">
        <v>10067914</v>
      </c>
      <c r="D297" s="20">
        <v>11523222</v>
      </c>
      <c r="E297" s="56">
        <v>-12.63</v>
      </c>
      <c r="F297" s="57">
        <v>1455727</v>
      </c>
      <c r="G297" s="57">
        <v>1333009</v>
      </c>
      <c r="H297" s="57">
        <v>284073</v>
      </c>
      <c r="I297" s="57">
        <v>300095</v>
      </c>
      <c r="J297" s="57">
        <v>1621695</v>
      </c>
      <c r="K297" s="57">
        <v>1668840</v>
      </c>
      <c r="L297" s="56">
        <v>-2.83</v>
      </c>
      <c r="M297" s="20">
        <v>8450557</v>
      </c>
      <c r="N297" s="56">
        <v>1.92</v>
      </c>
      <c r="O297" s="56">
        <v>1.97</v>
      </c>
      <c r="P297" s="58">
        <v>31.77</v>
      </c>
      <c r="Q297" s="59">
        <v>43.117571623446402</v>
      </c>
      <c r="R297" s="59">
        <v>1.7924810585106199</v>
      </c>
      <c r="S297" s="59">
        <v>1.2576416090547</v>
      </c>
      <c r="X297" s="2">
        <f t="shared" si="12"/>
        <v>0.56882428376553595</v>
      </c>
      <c r="Y297" s="2">
        <f>SUMIF(收盤價!A:A,A297,收盤價!C:C)</f>
        <v>33.6</v>
      </c>
      <c r="Z297" s="2">
        <f t="shared" si="13"/>
        <v>26847419.588999998</v>
      </c>
      <c r="AA297" s="2">
        <f t="shared" si="14"/>
        <v>28393871.52</v>
      </c>
    </row>
    <row r="298" spans="1:27" ht="14.5" customHeight="1">
      <c r="A298" s="19" t="s">
        <v>4962</v>
      </c>
      <c r="B298" s="3" t="s">
        <v>877</v>
      </c>
      <c r="C298" s="20">
        <v>7730682</v>
      </c>
      <c r="D298" s="20">
        <v>7742438</v>
      </c>
      <c r="E298" s="56">
        <v>-0.15</v>
      </c>
      <c r="F298" s="57">
        <v>917411</v>
      </c>
      <c r="G298" s="57">
        <v>974198</v>
      </c>
      <c r="H298" s="57">
        <v>96894</v>
      </c>
      <c r="I298" s="57">
        <v>116221</v>
      </c>
      <c r="J298" s="57">
        <v>838194</v>
      </c>
      <c r="K298" s="57">
        <v>863837</v>
      </c>
      <c r="L298" s="56">
        <v>-2.97</v>
      </c>
      <c r="M298" s="20">
        <v>10671411</v>
      </c>
      <c r="N298" s="56">
        <v>0.79</v>
      </c>
      <c r="O298" s="56">
        <v>0.81</v>
      </c>
      <c r="P298" s="58">
        <v>21.25</v>
      </c>
      <c r="Q298" s="59">
        <v>64.760896911275793</v>
      </c>
      <c r="R298" s="59">
        <v>2.2644454308383701</v>
      </c>
      <c r="S298" s="59">
        <v>1.84838558138675</v>
      </c>
      <c r="X298" s="2">
        <f t="shared" si="12"/>
        <v>0.35239103088724205</v>
      </c>
      <c r="Y298" s="2">
        <f>SUMIF(收盤價!A:A,A298,收盤價!C:C)</f>
        <v>14.35</v>
      </c>
      <c r="Z298" s="2">
        <f t="shared" si="13"/>
        <v>22676748.375</v>
      </c>
      <c r="AA298" s="2">
        <f t="shared" si="14"/>
        <v>15313474.785</v>
      </c>
    </row>
    <row r="299" spans="1:27" ht="14.5" customHeight="1">
      <c r="A299" s="19" t="s">
        <v>4963</v>
      </c>
      <c r="B299" s="3" t="s">
        <v>879</v>
      </c>
      <c r="C299" s="20">
        <v>11855676</v>
      </c>
      <c r="D299" s="20">
        <v>10383996</v>
      </c>
      <c r="E299" s="56">
        <v>14.17</v>
      </c>
      <c r="F299" s="57">
        <v>1708658</v>
      </c>
      <c r="G299" s="57">
        <v>1435239</v>
      </c>
      <c r="H299" s="57">
        <v>16165</v>
      </c>
      <c r="I299" s="57">
        <v>119398</v>
      </c>
      <c r="J299" s="57">
        <v>1352312</v>
      </c>
      <c r="K299" s="57">
        <v>1216548</v>
      </c>
      <c r="L299" s="56">
        <v>11.16</v>
      </c>
      <c r="M299" s="20">
        <v>4670005</v>
      </c>
      <c r="N299" s="56">
        <v>2.9</v>
      </c>
      <c r="O299" s="56">
        <v>2.61</v>
      </c>
      <c r="P299" s="58">
        <v>20.309999999999999</v>
      </c>
      <c r="Q299" s="59">
        <v>44.068180711421498</v>
      </c>
      <c r="R299" s="59">
        <v>1.04970223393938</v>
      </c>
      <c r="S299" s="59">
        <v>1.0140422588235001</v>
      </c>
      <c r="X299" s="2">
        <f t="shared" si="12"/>
        <v>0.55931819288578499</v>
      </c>
      <c r="Y299" s="2">
        <f>SUMIF(收盤價!A:A,A299,收盤價!C:C)</f>
        <v>39.200000000000003</v>
      </c>
      <c r="Z299" s="2">
        <f t="shared" si="13"/>
        <v>9484780.1549999993</v>
      </c>
      <c r="AA299" s="2">
        <f t="shared" si="14"/>
        <v>18306419.600000001</v>
      </c>
    </row>
    <row r="300" spans="1:27" ht="14.5" customHeight="1">
      <c r="A300" s="19" t="s">
        <v>4964</v>
      </c>
      <c r="B300" s="3" t="s">
        <v>881</v>
      </c>
      <c r="C300" s="20">
        <v>149181262</v>
      </c>
      <c r="D300" s="20">
        <v>141832929</v>
      </c>
      <c r="E300" s="56">
        <v>5.18</v>
      </c>
      <c r="F300" s="57">
        <v>-1014685</v>
      </c>
      <c r="G300" s="57">
        <v>-5666392</v>
      </c>
      <c r="H300" s="57">
        <v>-2573130</v>
      </c>
      <c r="I300" s="57">
        <v>-1413816</v>
      </c>
      <c r="J300" s="57">
        <v>-4309957</v>
      </c>
      <c r="K300" s="57">
        <v>-6590955</v>
      </c>
      <c r="L300" s="56"/>
      <c r="M300" s="20">
        <v>26013357</v>
      </c>
      <c r="N300" s="56">
        <v>-1.66</v>
      </c>
      <c r="O300" s="56">
        <v>-2.5299999999999998</v>
      </c>
      <c r="P300" s="58">
        <v>6.33</v>
      </c>
      <c r="Q300" s="59">
        <v>8.6195683173500708</v>
      </c>
      <c r="R300" s="59">
        <v>0.58479170636779798</v>
      </c>
      <c r="S300" s="59">
        <v>0.480153488764542</v>
      </c>
      <c r="X300" s="2">
        <f t="shared" si="12"/>
        <v>0.91380431682649932</v>
      </c>
      <c r="Y300" s="2">
        <f>SUMIF(收盤價!A:A,A300,收盤價!C:C)</f>
        <v>7.21</v>
      </c>
      <c r="Z300" s="2">
        <f t="shared" si="13"/>
        <v>16466454.981000001</v>
      </c>
      <c r="AA300" s="2">
        <f t="shared" si="14"/>
        <v>18755630.397</v>
      </c>
    </row>
    <row r="301" spans="1:27" ht="14.5" customHeight="1">
      <c r="A301" s="19" t="s">
        <v>4965</v>
      </c>
      <c r="B301" s="3" t="s">
        <v>883</v>
      </c>
      <c r="C301" s="20">
        <v>168444160</v>
      </c>
      <c r="D301" s="20">
        <v>170711607</v>
      </c>
      <c r="E301" s="56">
        <v>-1.33</v>
      </c>
      <c r="F301" s="57">
        <v>2665821</v>
      </c>
      <c r="G301" s="57">
        <v>4022383</v>
      </c>
      <c r="H301" s="57">
        <v>-2762638</v>
      </c>
      <c r="I301" s="57">
        <v>-941134</v>
      </c>
      <c r="J301" s="57">
        <v>-1199798</v>
      </c>
      <c r="K301" s="57">
        <v>1790361</v>
      </c>
      <c r="L301" s="56"/>
      <c r="M301" s="20">
        <v>54209846</v>
      </c>
      <c r="N301" s="56">
        <v>-0.22</v>
      </c>
      <c r="O301" s="56">
        <v>0.33</v>
      </c>
      <c r="P301" s="58">
        <v>10.44</v>
      </c>
      <c r="Q301" s="59">
        <v>19.298468528254201</v>
      </c>
      <c r="R301" s="59">
        <v>0.67873353731353703</v>
      </c>
      <c r="S301" s="59">
        <v>0.50132734084021702</v>
      </c>
      <c r="X301" s="2">
        <f t="shared" si="12"/>
        <v>0.80701531471745791</v>
      </c>
      <c r="Y301" s="2">
        <f>SUMIF(收盤價!A:A,A301,收盤價!C:C)</f>
        <v>9.06</v>
      </c>
      <c r="Z301" s="2">
        <f t="shared" si="13"/>
        <v>56595079.223999999</v>
      </c>
      <c r="AA301" s="2">
        <f t="shared" si="14"/>
        <v>49114120.476000004</v>
      </c>
    </row>
    <row r="302" spans="1:27" ht="14.5" customHeight="1">
      <c r="A302" s="19" t="s">
        <v>4966</v>
      </c>
      <c r="B302" s="3" t="s">
        <v>885</v>
      </c>
      <c r="C302" s="20">
        <v>902882</v>
      </c>
      <c r="D302" s="20">
        <v>937679</v>
      </c>
      <c r="E302" s="56">
        <v>-3.71</v>
      </c>
      <c r="F302" s="57">
        <v>11200</v>
      </c>
      <c r="G302" s="57">
        <v>-2884</v>
      </c>
      <c r="H302" s="57">
        <v>-177924</v>
      </c>
      <c r="I302" s="57">
        <v>46695</v>
      </c>
      <c r="J302" s="57">
        <v>-125149</v>
      </c>
      <c r="K302" s="57">
        <v>51558</v>
      </c>
      <c r="L302" s="56"/>
      <c r="M302" s="20">
        <v>1759942</v>
      </c>
      <c r="N302" s="56">
        <v>-0.71</v>
      </c>
      <c r="O302" s="56">
        <v>0.28999999999999998</v>
      </c>
      <c r="P302" s="58">
        <v>13.84</v>
      </c>
      <c r="Q302" s="59">
        <v>51.951301866866999</v>
      </c>
      <c r="R302" s="59">
        <v>1.43004372510555</v>
      </c>
      <c r="S302" s="59">
        <v>0.75754415993368096</v>
      </c>
      <c r="X302" s="2">
        <f t="shared" si="12"/>
        <v>0.48048698133133</v>
      </c>
      <c r="Y302" s="2">
        <f>SUMIF(收盤價!A:A,A302,收盤價!C:C)</f>
        <v>6.92</v>
      </c>
      <c r="Z302" s="2">
        <f t="shared" si="13"/>
        <v>2435759.7280000001</v>
      </c>
      <c r="AA302" s="2">
        <f t="shared" si="14"/>
        <v>1217879.8640000001</v>
      </c>
    </row>
    <row r="303" spans="1:27" ht="14.5" customHeight="1">
      <c r="A303" s="19" t="s">
        <v>4967</v>
      </c>
      <c r="B303" s="3" t="s">
        <v>887</v>
      </c>
      <c r="C303" s="20">
        <v>3762725</v>
      </c>
      <c r="D303" s="20">
        <v>3820224</v>
      </c>
      <c r="E303" s="56">
        <v>-1.51</v>
      </c>
      <c r="F303" s="57">
        <v>459651</v>
      </c>
      <c r="G303" s="57">
        <v>606859</v>
      </c>
      <c r="H303" s="57">
        <v>-81393</v>
      </c>
      <c r="I303" s="57">
        <v>-47626</v>
      </c>
      <c r="J303" s="57">
        <v>323842</v>
      </c>
      <c r="K303" s="57">
        <v>513711</v>
      </c>
      <c r="L303" s="56">
        <v>-36.96</v>
      </c>
      <c r="M303" s="20">
        <v>1974846</v>
      </c>
      <c r="N303" s="56">
        <v>1.64</v>
      </c>
      <c r="O303" s="56">
        <v>2.6</v>
      </c>
      <c r="P303" s="58">
        <v>50.3</v>
      </c>
      <c r="Q303" s="59">
        <v>49.779789853181001</v>
      </c>
      <c r="R303" s="59">
        <v>1.2731170209345</v>
      </c>
      <c r="S303" s="59">
        <v>1.15525677718108</v>
      </c>
      <c r="X303" s="2">
        <f t="shared" si="12"/>
        <v>0.50220210146819</v>
      </c>
      <c r="Y303" s="2">
        <f>SUMIF(收盤價!A:A,A303,收盤價!C:C)</f>
        <v>29.75</v>
      </c>
      <c r="Z303" s="2">
        <f t="shared" si="13"/>
        <v>9933475.379999999</v>
      </c>
      <c r="AA303" s="2">
        <f t="shared" si="14"/>
        <v>5875166.8499999996</v>
      </c>
    </row>
    <row r="304" spans="1:27" ht="14.5" customHeight="1">
      <c r="A304" s="19" t="s">
        <v>4968</v>
      </c>
      <c r="B304" s="3" t="s">
        <v>889</v>
      </c>
      <c r="C304" s="20">
        <v>2878819</v>
      </c>
      <c r="D304" s="20">
        <v>2850915</v>
      </c>
      <c r="E304" s="56">
        <v>0.98</v>
      </c>
      <c r="F304" s="57">
        <v>185678</v>
      </c>
      <c r="G304" s="57">
        <v>108508</v>
      </c>
      <c r="H304" s="57">
        <v>-133014</v>
      </c>
      <c r="I304" s="57">
        <v>-36690</v>
      </c>
      <c r="J304" s="57">
        <v>35377</v>
      </c>
      <c r="K304" s="57">
        <v>58468</v>
      </c>
      <c r="L304" s="56">
        <v>-39.49</v>
      </c>
      <c r="M304" s="20">
        <v>1484235</v>
      </c>
      <c r="N304" s="56">
        <v>0.27</v>
      </c>
      <c r="O304" s="56">
        <v>0.53</v>
      </c>
      <c r="P304" s="58">
        <v>22.19</v>
      </c>
      <c r="Q304" s="59">
        <v>26.142089773548101</v>
      </c>
      <c r="R304" s="59">
        <v>0.83187848460871305</v>
      </c>
      <c r="S304" s="59">
        <v>0.661933505580658</v>
      </c>
      <c r="X304" s="2">
        <f t="shared" si="12"/>
        <v>0.73857910226451906</v>
      </c>
      <c r="Y304" s="2">
        <f>SUMIF(收盤價!A:A,A304,收盤價!C:C)</f>
        <v>14.3</v>
      </c>
      <c r="Z304" s="2">
        <f t="shared" si="13"/>
        <v>3293517.4650000003</v>
      </c>
      <c r="AA304" s="2">
        <f t="shared" si="14"/>
        <v>2122456.0499999998</v>
      </c>
    </row>
    <row r="305" spans="1:27" ht="14.5" customHeight="1">
      <c r="A305" s="19" t="s">
        <v>4969</v>
      </c>
      <c r="B305" s="3" t="s">
        <v>893</v>
      </c>
      <c r="C305" s="20">
        <v>72951183</v>
      </c>
      <c r="D305" s="20">
        <v>66778676</v>
      </c>
      <c r="E305" s="56">
        <v>9.24</v>
      </c>
      <c r="F305" s="57">
        <v>2851286</v>
      </c>
      <c r="G305" s="57">
        <v>989001</v>
      </c>
      <c r="H305" s="57">
        <v>1703907</v>
      </c>
      <c r="I305" s="57">
        <v>788306</v>
      </c>
      <c r="J305" s="57">
        <v>3573703</v>
      </c>
      <c r="K305" s="57">
        <v>1117906</v>
      </c>
      <c r="L305" s="56">
        <v>219.68</v>
      </c>
      <c r="M305" s="20">
        <v>22182975</v>
      </c>
      <c r="N305" s="56">
        <v>1.61</v>
      </c>
      <c r="O305" s="56">
        <v>0.5</v>
      </c>
      <c r="P305" s="58">
        <v>16.28</v>
      </c>
      <c r="Q305" s="59">
        <v>41.212819213387</v>
      </c>
      <c r="R305" s="59">
        <v>1.64540970847428</v>
      </c>
      <c r="S305" s="59">
        <v>1.42218973047498</v>
      </c>
      <c r="X305" s="2">
        <f t="shared" si="12"/>
        <v>0.58787180786613003</v>
      </c>
      <c r="Y305" s="2">
        <f>SUMIF(收盤價!A:A,A305,收盤價!C:C)</f>
        <v>18.5</v>
      </c>
      <c r="Z305" s="2">
        <f t="shared" si="13"/>
        <v>36113883.299999997</v>
      </c>
      <c r="AA305" s="2">
        <f t="shared" si="14"/>
        <v>41038503.75</v>
      </c>
    </row>
    <row r="306" spans="1:27" ht="14.5" customHeight="1">
      <c r="A306" s="19" t="s">
        <v>4970</v>
      </c>
      <c r="B306" s="3" t="s">
        <v>897</v>
      </c>
      <c r="C306" s="20">
        <v>3113990</v>
      </c>
      <c r="D306" s="20">
        <v>3367236</v>
      </c>
      <c r="E306" s="56">
        <v>-7.52</v>
      </c>
      <c r="F306" s="57">
        <v>603799</v>
      </c>
      <c r="G306" s="57">
        <v>715408</v>
      </c>
      <c r="H306" s="57">
        <v>162097</v>
      </c>
      <c r="I306" s="57">
        <v>273227</v>
      </c>
      <c r="J306" s="57">
        <v>601096</v>
      </c>
      <c r="K306" s="57">
        <v>957635</v>
      </c>
      <c r="L306" s="56">
        <v>-37.229999999999997</v>
      </c>
      <c r="M306" s="20">
        <v>4172945</v>
      </c>
      <c r="N306" s="56">
        <v>1.44</v>
      </c>
      <c r="O306" s="56">
        <v>2.29</v>
      </c>
      <c r="P306" s="58">
        <v>24.54</v>
      </c>
      <c r="Q306" s="59">
        <v>67.761005706724006</v>
      </c>
      <c r="R306" s="59">
        <v>3.1488468565372498</v>
      </c>
      <c r="S306" s="59">
        <v>1.00163717899033</v>
      </c>
      <c r="X306" s="2">
        <f t="shared" si="12"/>
        <v>0.32238994293275991</v>
      </c>
      <c r="Y306" s="2">
        <f>SUMIF(收盤價!A:A,A306,收盤價!C:C)</f>
        <v>17.75</v>
      </c>
      <c r="Z306" s="2">
        <f t="shared" si="13"/>
        <v>10240407.029999999</v>
      </c>
      <c r="AA306" s="2">
        <f t="shared" si="14"/>
        <v>7406977.375</v>
      </c>
    </row>
    <row r="307" spans="1:27" ht="14.5" customHeight="1">
      <c r="A307" s="19" t="s">
        <v>4971</v>
      </c>
      <c r="B307" s="3" t="s">
        <v>899</v>
      </c>
      <c r="C307" s="20">
        <v>181275258</v>
      </c>
      <c r="D307" s="20">
        <v>179907332</v>
      </c>
      <c r="E307" s="56">
        <v>0.76</v>
      </c>
      <c r="F307" s="57">
        <v>9442727</v>
      </c>
      <c r="G307" s="57">
        <v>8889128</v>
      </c>
      <c r="H307" s="57">
        <v>-3384378</v>
      </c>
      <c r="I307" s="57">
        <v>266803</v>
      </c>
      <c r="J307" s="57">
        <v>3982467</v>
      </c>
      <c r="K307" s="57">
        <v>6552827</v>
      </c>
      <c r="L307" s="56">
        <v>-39.229999999999997</v>
      </c>
      <c r="M307" s="20">
        <v>48535695</v>
      </c>
      <c r="N307" s="56">
        <v>0.83</v>
      </c>
      <c r="O307" s="56">
        <v>1.45</v>
      </c>
      <c r="P307" s="58">
        <v>14.68</v>
      </c>
      <c r="Q307" s="59">
        <v>20.000517387013499</v>
      </c>
      <c r="R307" s="59">
        <v>0.93641642462192798</v>
      </c>
      <c r="S307" s="59">
        <v>0.867965398342332</v>
      </c>
      <c r="X307" s="2">
        <f t="shared" si="12"/>
        <v>0.79999482612986494</v>
      </c>
      <c r="Y307" s="2">
        <f>SUMIF(收盤價!A:A,A307,收盤價!C:C)</f>
        <v>13.75</v>
      </c>
      <c r="Z307" s="2">
        <f t="shared" si="13"/>
        <v>71250400.260000005</v>
      </c>
      <c r="AA307" s="2">
        <f t="shared" si="14"/>
        <v>66736580.625</v>
      </c>
    </row>
    <row r="308" spans="1:27" ht="14.5" customHeight="1">
      <c r="A308" s="19" t="s">
        <v>4972</v>
      </c>
      <c r="B308" s="3" t="s">
        <v>901</v>
      </c>
      <c r="C308" s="20">
        <v>3913291</v>
      </c>
      <c r="D308" s="20">
        <v>2719354</v>
      </c>
      <c r="E308" s="56">
        <v>43.91</v>
      </c>
      <c r="F308" s="57">
        <v>78753</v>
      </c>
      <c r="G308" s="57">
        <v>14240</v>
      </c>
      <c r="H308" s="57">
        <v>-19341</v>
      </c>
      <c r="I308" s="57">
        <v>-6380</v>
      </c>
      <c r="J308" s="57">
        <v>45011</v>
      </c>
      <c r="K308" s="57">
        <v>15405</v>
      </c>
      <c r="L308" s="56">
        <v>192.18</v>
      </c>
      <c r="M308" s="20">
        <v>1201200</v>
      </c>
      <c r="N308" s="56">
        <v>0.37</v>
      </c>
      <c r="O308" s="56">
        <v>0.13</v>
      </c>
      <c r="P308" s="58">
        <v>13.35</v>
      </c>
      <c r="Q308" s="59">
        <v>35.2820022734508</v>
      </c>
      <c r="R308" s="59">
        <v>1.9210669278864001</v>
      </c>
      <c r="S308" s="59">
        <v>0.96596179433838103</v>
      </c>
      <c r="X308" s="2">
        <f t="shared" si="12"/>
        <v>0.64717997726549203</v>
      </c>
      <c r="Y308" s="2">
        <f>SUMIF(收盤價!A:A,A308,收盤價!C:C)</f>
        <v>18.600000000000001</v>
      </c>
      <c r="Z308" s="2">
        <f t="shared" si="13"/>
        <v>1603602</v>
      </c>
      <c r="AA308" s="2">
        <f t="shared" si="14"/>
        <v>2234232</v>
      </c>
    </row>
    <row r="309" spans="1:27" ht="14.5" customHeight="1">
      <c r="A309" s="19" t="s">
        <v>4973</v>
      </c>
      <c r="B309" s="3" t="s">
        <v>903</v>
      </c>
      <c r="C309" s="20">
        <v>47507390</v>
      </c>
      <c r="D309" s="20">
        <v>45415007</v>
      </c>
      <c r="E309" s="56">
        <v>4.6100000000000003</v>
      </c>
      <c r="F309" s="57">
        <v>20511953</v>
      </c>
      <c r="G309" s="57">
        <v>19144964</v>
      </c>
      <c r="H309" s="57">
        <v>-12736845</v>
      </c>
      <c r="I309" s="57">
        <v>-11833141</v>
      </c>
      <c r="J309" s="57">
        <v>8007033</v>
      </c>
      <c r="K309" s="57">
        <v>10696381</v>
      </c>
      <c r="L309" s="56">
        <v>-25.14</v>
      </c>
      <c r="M309" s="20">
        <v>56282930</v>
      </c>
      <c r="N309" s="56">
        <v>1.42</v>
      </c>
      <c r="O309" s="56">
        <v>1.9</v>
      </c>
      <c r="P309" s="58">
        <v>12.63</v>
      </c>
      <c r="Q309" s="59">
        <v>16.042371879348199</v>
      </c>
      <c r="R309" s="59">
        <v>3.21638966342559</v>
      </c>
      <c r="S309" s="59">
        <v>1.2753468546279301</v>
      </c>
      <c r="X309" s="2">
        <f t="shared" si="12"/>
        <v>0.83957628120651806</v>
      </c>
      <c r="Y309" s="2">
        <f>SUMIF(收盤價!A:A,A309,收盤價!C:C)</f>
        <v>38.4</v>
      </c>
      <c r="Z309" s="2">
        <f t="shared" si="13"/>
        <v>71085340.590000004</v>
      </c>
      <c r="AA309" s="2">
        <f t="shared" si="14"/>
        <v>216126451.19999999</v>
      </c>
    </row>
    <row r="310" spans="1:27" ht="14.5" customHeight="1">
      <c r="A310" s="19" t="s">
        <v>4974</v>
      </c>
      <c r="B310" s="3" t="s">
        <v>905</v>
      </c>
      <c r="C310" s="20">
        <v>28540207</v>
      </c>
      <c r="D310" s="20">
        <v>28182098</v>
      </c>
      <c r="E310" s="56">
        <v>1.27</v>
      </c>
      <c r="F310" s="57">
        <v>2445366</v>
      </c>
      <c r="G310" s="57">
        <v>2346158</v>
      </c>
      <c r="H310" s="57">
        <v>-73829</v>
      </c>
      <c r="I310" s="57">
        <v>305860</v>
      </c>
      <c r="J310" s="57">
        <v>1874287</v>
      </c>
      <c r="K310" s="57">
        <v>2092016</v>
      </c>
      <c r="L310" s="56">
        <v>-10.41</v>
      </c>
      <c r="M310" s="20">
        <v>9418671</v>
      </c>
      <c r="N310" s="56">
        <v>1.99</v>
      </c>
      <c r="O310" s="56">
        <v>2.2200000000000002</v>
      </c>
      <c r="P310" s="58">
        <v>15.63</v>
      </c>
      <c r="Q310" s="59">
        <v>31.947071214809998</v>
      </c>
      <c r="R310" s="59">
        <v>1.6583463262901399</v>
      </c>
      <c r="S310" s="59">
        <v>0.763901174412697</v>
      </c>
      <c r="X310" s="2">
        <f t="shared" si="12"/>
        <v>0.68052928785190003</v>
      </c>
      <c r="Y310" s="2">
        <f>SUMIF(收盤價!A:A,A310,收盤價!C:C)</f>
        <v>35.9</v>
      </c>
      <c r="Z310" s="2">
        <f t="shared" si="13"/>
        <v>14721382.773000002</v>
      </c>
      <c r="AA310" s="2">
        <f t="shared" si="14"/>
        <v>33813028.890000001</v>
      </c>
    </row>
    <row r="311" spans="1:27" ht="14.5" customHeight="1">
      <c r="A311" s="19" t="s">
        <v>4975</v>
      </c>
      <c r="B311" s="3" t="s">
        <v>907</v>
      </c>
      <c r="C311" s="20">
        <v>11258071</v>
      </c>
      <c r="D311" s="20">
        <v>11536269</v>
      </c>
      <c r="E311" s="56">
        <v>-2.41</v>
      </c>
      <c r="F311" s="57">
        <v>296660</v>
      </c>
      <c r="G311" s="57">
        <v>376198</v>
      </c>
      <c r="H311" s="57">
        <v>14155</v>
      </c>
      <c r="I311" s="57">
        <v>30827</v>
      </c>
      <c r="J311" s="57">
        <v>249047</v>
      </c>
      <c r="K311" s="57">
        <v>354930</v>
      </c>
      <c r="L311" s="56">
        <v>-29.83</v>
      </c>
      <c r="M311" s="20">
        <v>1171575</v>
      </c>
      <c r="N311" s="56">
        <v>2.15</v>
      </c>
      <c r="O311" s="56">
        <v>3.07</v>
      </c>
      <c r="P311" s="58">
        <v>20.81</v>
      </c>
      <c r="Q311" s="59">
        <v>39.841729044885902</v>
      </c>
      <c r="R311" s="59">
        <v>1.4700502554698101</v>
      </c>
      <c r="S311" s="59">
        <v>1.36779572422784</v>
      </c>
      <c r="X311" s="2">
        <f t="shared" si="12"/>
        <v>0.60158270955114101</v>
      </c>
      <c r="Y311" s="2">
        <f>SUMIF(收盤價!A:A,A311,收盤價!C:C)</f>
        <v>24.15</v>
      </c>
      <c r="Z311" s="2">
        <f t="shared" si="13"/>
        <v>2438047.5750000002</v>
      </c>
      <c r="AA311" s="2">
        <f t="shared" si="14"/>
        <v>2829353.625</v>
      </c>
    </row>
    <row r="312" spans="1:27" ht="14.5" customHeight="1">
      <c r="A312" s="19" t="s">
        <v>4976</v>
      </c>
      <c r="B312" s="3" t="s">
        <v>909</v>
      </c>
      <c r="C312" s="20">
        <v>13833457</v>
      </c>
      <c r="D312" s="20">
        <v>13067626</v>
      </c>
      <c r="E312" s="56">
        <v>5.86</v>
      </c>
      <c r="F312" s="57">
        <v>3407919</v>
      </c>
      <c r="G312" s="57">
        <v>3491150</v>
      </c>
      <c r="H312" s="57">
        <v>-1191891</v>
      </c>
      <c r="I312" s="57">
        <v>-1661595</v>
      </c>
      <c r="J312" s="57">
        <v>2198583</v>
      </c>
      <c r="K312" s="57">
        <v>1809206</v>
      </c>
      <c r="L312" s="56">
        <v>21.52</v>
      </c>
      <c r="M312" s="20">
        <v>6891074</v>
      </c>
      <c r="N312" s="56">
        <v>3.38</v>
      </c>
      <c r="O312" s="56">
        <v>2.92</v>
      </c>
      <c r="P312" s="58">
        <v>42.52</v>
      </c>
      <c r="Q312" s="59">
        <v>33.7220365459549</v>
      </c>
      <c r="R312" s="59">
        <v>0.333834099289047</v>
      </c>
      <c r="S312" s="59">
        <v>0.14486275674518201</v>
      </c>
      <c r="X312" s="2">
        <f t="shared" si="12"/>
        <v>0.66277963454045108</v>
      </c>
      <c r="Y312" s="2">
        <f>SUMIF(收盤價!A:A,A312,收盤價!C:C)</f>
        <v>29.55</v>
      </c>
      <c r="Z312" s="2">
        <f t="shared" si="13"/>
        <v>29300846.648000002</v>
      </c>
      <c r="AA312" s="2">
        <f t="shared" si="14"/>
        <v>20363123.670000002</v>
      </c>
    </row>
    <row r="313" spans="1:27" ht="14.5" customHeight="1">
      <c r="A313" s="19" t="s">
        <v>4977</v>
      </c>
      <c r="B313" s="3" t="s">
        <v>911</v>
      </c>
      <c r="C313" s="20">
        <v>3712520</v>
      </c>
      <c r="D313" s="20">
        <v>3360947</v>
      </c>
      <c r="E313" s="56">
        <v>10.46</v>
      </c>
      <c r="F313" s="57">
        <v>204287</v>
      </c>
      <c r="G313" s="57">
        <v>73847</v>
      </c>
      <c r="H313" s="57">
        <v>-2461</v>
      </c>
      <c r="I313" s="57">
        <v>5072</v>
      </c>
      <c r="J313" s="57">
        <v>161608</v>
      </c>
      <c r="K313" s="57">
        <v>68475</v>
      </c>
      <c r="L313" s="56">
        <v>136.01</v>
      </c>
      <c r="M313" s="20">
        <v>954670</v>
      </c>
      <c r="N313" s="56">
        <v>1.69</v>
      </c>
      <c r="O313" s="56">
        <v>0.72</v>
      </c>
      <c r="P313" s="58">
        <v>18.11</v>
      </c>
      <c r="Q313" s="59">
        <v>48.312721674859603</v>
      </c>
      <c r="R313" s="59">
        <v>2.0066227216827901</v>
      </c>
      <c r="S313" s="59">
        <v>1.8661700868192601</v>
      </c>
      <c r="X313" s="2">
        <f t="shared" si="12"/>
        <v>0.51687278325140396</v>
      </c>
      <c r="Y313" s="2">
        <f>SUMIF(收盤價!A:A,A313,收盤價!C:C)</f>
        <v>30.55</v>
      </c>
      <c r="Z313" s="2">
        <f t="shared" si="13"/>
        <v>1728907.3699999999</v>
      </c>
      <c r="AA313" s="2">
        <f t="shared" si="14"/>
        <v>2916516.85</v>
      </c>
    </row>
    <row r="314" spans="1:27" ht="14.5" customHeight="1">
      <c r="A314" s="19" t="s">
        <v>4978</v>
      </c>
      <c r="B314" s="3" t="s">
        <v>1490</v>
      </c>
      <c r="C314" s="20">
        <v>2273598</v>
      </c>
      <c r="D314" s="20">
        <v>1698195</v>
      </c>
      <c r="E314" s="56">
        <v>33.880000000000003</v>
      </c>
      <c r="F314" s="57">
        <v>991200</v>
      </c>
      <c r="G314" s="57">
        <v>455715</v>
      </c>
      <c r="H314" s="57">
        <v>-92945</v>
      </c>
      <c r="I314" s="57">
        <v>-52188</v>
      </c>
      <c r="J314" s="57">
        <v>553255</v>
      </c>
      <c r="K314" s="57">
        <v>220657</v>
      </c>
      <c r="L314" s="56">
        <v>150.72999999999999</v>
      </c>
      <c r="M314" s="20">
        <v>2299791</v>
      </c>
      <c r="N314" s="56">
        <v>3.04</v>
      </c>
      <c r="O314" s="56">
        <v>1.3</v>
      </c>
      <c r="P314" s="58">
        <v>23.23</v>
      </c>
      <c r="Q314" s="59">
        <v>39.856741602582098</v>
      </c>
      <c r="R314" s="59">
        <v>2.6974311028396798</v>
      </c>
      <c r="S314" s="59">
        <v>2.3791162993768502</v>
      </c>
      <c r="X314" s="2">
        <f t="shared" si="12"/>
        <v>0.60143258397417898</v>
      </c>
      <c r="Y314" s="2">
        <f>SUMIF(收盤價!A:A,A314,收盤價!C:C)</f>
        <v>25.95</v>
      </c>
      <c r="Z314" s="2">
        <f t="shared" si="13"/>
        <v>5342414.4929999998</v>
      </c>
      <c r="AA314" s="2">
        <f t="shared" si="14"/>
        <v>5967957.6449999996</v>
      </c>
    </row>
    <row r="315" spans="1:27" ht="14.5" customHeight="1">
      <c r="A315" s="19" t="s">
        <v>4979</v>
      </c>
      <c r="B315" s="3" t="s">
        <v>1492</v>
      </c>
      <c r="C315" s="20">
        <v>3804396</v>
      </c>
      <c r="D315" s="20">
        <v>4024044</v>
      </c>
      <c r="E315" s="56">
        <v>-5.46</v>
      </c>
      <c r="F315" s="57">
        <v>134196</v>
      </c>
      <c r="G315" s="57">
        <v>301837</v>
      </c>
      <c r="H315" s="57">
        <v>-592372</v>
      </c>
      <c r="I315" s="57">
        <v>-574419</v>
      </c>
      <c r="J315" s="57">
        <v>-352868</v>
      </c>
      <c r="K315" s="57">
        <v>-151002</v>
      </c>
      <c r="L315" s="56"/>
      <c r="M315" s="20">
        <v>2792671</v>
      </c>
      <c r="N315" s="56">
        <v>-1.26</v>
      </c>
      <c r="O315" s="56">
        <v>-0.54</v>
      </c>
      <c r="P315" s="58">
        <v>16.45</v>
      </c>
      <c r="Q315" s="59">
        <v>18.853655682290299</v>
      </c>
      <c r="R315" s="59">
        <v>0.256762550054702</v>
      </c>
      <c r="S315" s="59">
        <v>9.5028351167407807E-2</v>
      </c>
      <c r="X315" s="2">
        <f t="shared" si="12"/>
        <v>0.81146344317709707</v>
      </c>
      <c r="Y315" s="2">
        <f>SUMIF(收盤價!A:A,A315,收盤價!C:C)</f>
        <v>8.1</v>
      </c>
      <c r="Z315" s="2">
        <f t="shared" si="13"/>
        <v>4593943.7949999999</v>
      </c>
      <c r="AA315" s="2">
        <f t="shared" si="14"/>
        <v>2262063.5099999998</v>
      </c>
    </row>
    <row r="316" spans="1:27" ht="14.5" customHeight="1">
      <c r="A316" s="19" t="s">
        <v>4980</v>
      </c>
      <c r="B316" s="3" t="s">
        <v>1770</v>
      </c>
      <c r="C316" s="20">
        <v>1834310</v>
      </c>
      <c r="D316" s="20">
        <v>1649772</v>
      </c>
      <c r="E316" s="56">
        <v>11.19</v>
      </c>
      <c r="F316" s="57">
        <v>290269</v>
      </c>
      <c r="G316" s="57">
        <v>215197</v>
      </c>
      <c r="H316" s="57">
        <v>-32997</v>
      </c>
      <c r="I316" s="57">
        <v>-28589</v>
      </c>
      <c r="J316" s="57">
        <v>155714</v>
      </c>
      <c r="K316" s="57">
        <v>148204</v>
      </c>
      <c r="L316" s="56">
        <v>5.07</v>
      </c>
      <c r="M316" s="20">
        <v>811319</v>
      </c>
      <c r="N316" s="56">
        <v>1.92</v>
      </c>
      <c r="O316" s="56">
        <v>1.96</v>
      </c>
      <c r="P316" s="58">
        <v>24.74</v>
      </c>
      <c r="Q316" s="59">
        <v>28.117579081177102</v>
      </c>
      <c r="R316" s="59">
        <v>1.13969016430402</v>
      </c>
      <c r="S316" s="59">
        <v>1.08328847295264</v>
      </c>
      <c r="X316" s="2">
        <f t="shared" si="12"/>
        <v>0.71882420918822898</v>
      </c>
      <c r="Y316" s="2">
        <f>SUMIF(收盤價!A:A,A316,收盤價!C:C)</f>
        <v>28.5</v>
      </c>
      <c r="Z316" s="2">
        <f t="shared" si="13"/>
        <v>2007203.2059999998</v>
      </c>
      <c r="AA316" s="2">
        <f t="shared" si="14"/>
        <v>2312259.15</v>
      </c>
    </row>
    <row r="317" spans="1:27" ht="14.5" customHeight="1">
      <c r="A317" s="19" t="s">
        <v>4981</v>
      </c>
      <c r="B317" s="3" t="s">
        <v>913</v>
      </c>
      <c r="C317" s="20">
        <v>348551</v>
      </c>
      <c r="D317" s="20">
        <v>364536</v>
      </c>
      <c r="E317" s="56">
        <v>-4.3899999999999997</v>
      </c>
      <c r="F317" s="57">
        <v>174923</v>
      </c>
      <c r="G317" s="57">
        <v>171257</v>
      </c>
      <c r="H317" s="57">
        <v>314181</v>
      </c>
      <c r="I317" s="57">
        <v>330424</v>
      </c>
      <c r="J317" s="57">
        <v>399559</v>
      </c>
      <c r="K317" s="57">
        <v>329239</v>
      </c>
      <c r="L317" s="56">
        <v>21.36</v>
      </c>
      <c r="M317" s="20">
        <v>4499678</v>
      </c>
      <c r="N317" s="56">
        <v>0.89</v>
      </c>
      <c r="O317" s="56">
        <v>0.73</v>
      </c>
      <c r="P317" s="58">
        <v>17.34</v>
      </c>
      <c r="Q317" s="59">
        <v>86.174649435486202</v>
      </c>
      <c r="R317" s="59">
        <v>10.5889616028125</v>
      </c>
      <c r="S317" s="59">
        <v>2.16861864723864</v>
      </c>
      <c r="X317" s="2">
        <f t="shared" si="12"/>
        <v>0.13825350564513797</v>
      </c>
      <c r="Y317" s="2">
        <f>SUMIF(收盤價!A:A,A317,收盤價!C:C)</f>
        <v>13.35</v>
      </c>
      <c r="Z317" s="2">
        <f t="shared" si="13"/>
        <v>7802441.6519999998</v>
      </c>
      <c r="AA317" s="2">
        <f t="shared" si="14"/>
        <v>6007070.1299999999</v>
      </c>
    </row>
    <row r="318" spans="1:27" ht="14.5" customHeight="1">
      <c r="A318" s="19" t="s">
        <v>4982</v>
      </c>
      <c r="B318" s="3" t="s">
        <v>915</v>
      </c>
      <c r="C318" s="20">
        <v>1520242</v>
      </c>
      <c r="D318" s="20">
        <v>1169715</v>
      </c>
      <c r="E318" s="56">
        <v>29.97</v>
      </c>
      <c r="F318" s="57">
        <v>219650</v>
      </c>
      <c r="G318" s="57">
        <v>82040</v>
      </c>
      <c r="H318" s="57">
        <v>-191358</v>
      </c>
      <c r="I318" s="57">
        <v>316443</v>
      </c>
      <c r="J318" s="57">
        <v>-4692</v>
      </c>
      <c r="K318" s="57">
        <v>212662</v>
      </c>
      <c r="L318" s="56"/>
      <c r="M318" s="20">
        <v>1104856</v>
      </c>
      <c r="N318" s="56">
        <v>-0.04</v>
      </c>
      <c r="O318" s="56">
        <v>1.92</v>
      </c>
      <c r="P318" s="58">
        <v>11.67</v>
      </c>
      <c r="Q318" s="59">
        <v>16.861016749657502</v>
      </c>
      <c r="R318" s="59">
        <v>0.74876922280644598</v>
      </c>
      <c r="S318" s="59">
        <v>0.39881443502988301</v>
      </c>
      <c r="X318" s="2">
        <f t="shared" si="12"/>
        <v>0.83138983250342502</v>
      </c>
      <c r="Y318" s="2">
        <f>SUMIF(收盤價!A:A,A318,收盤價!C:C)</f>
        <v>23.25</v>
      </c>
      <c r="Z318" s="2">
        <f t="shared" si="13"/>
        <v>1289366.952</v>
      </c>
      <c r="AA318" s="2">
        <f t="shared" si="14"/>
        <v>2568790.2000000002</v>
      </c>
    </row>
    <row r="319" spans="1:27" ht="14.5" customHeight="1">
      <c r="A319" s="19" t="s">
        <v>4983</v>
      </c>
      <c r="B319" s="3" t="s">
        <v>917</v>
      </c>
      <c r="C319" s="20">
        <v>2915703</v>
      </c>
      <c r="D319" s="20">
        <v>2977046</v>
      </c>
      <c r="E319" s="56">
        <v>-2.06</v>
      </c>
      <c r="F319" s="57">
        <v>190142</v>
      </c>
      <c r="G319" s="57">
        <v>320103</v>
      </c>
      <c r="H319" s="57">
        <v>232668</v>
      </c>
      <c r="I319" s="57">
        <v>188559</v>
      </c>
      <c r="J319" s="57">
        <v>383635</v>
      </c>
      <c r="K319" s="57">
        <v>404343</v>
      </c>
      <c r="L319" s="56">
        <v>-5.12</v>
      </c>
      <c r="M319" s="20">
        <v>3669234</v>
      </c>
      <c r="N319" s="56">
        <v>1.05</v>
      </c>
      <c r="O319" s="56">
        <v>1.1000000000000001</v>
      </c>
      <c r="P319" s="58">
        <v>29.08</v>
      </c>
      <c r="Q319" s="59">
        <v>87.672450926046295</v>
      </c>
      <c r="R319" s="59">
        <v>3.3178847135760998</v>
      </c>
      <c r="S319" s="59">
        <v>0.579396786966622</v>
      </c>
      <c r="X319" s="2">
        <f t="shared" si="12"/>
        <v>0.12327549073953704</v>
      </c>
      <c r="Y319" s="2">
        <f>SUMIF(收盤價!A:A,A319,收盤價!C:C)</f>
        <v>29.65</v>
      </c>
      <c r="Z319" s="2">
        <f t="shared" si="13"/>
        <v>10670132.471999999</v>
      </c>
      <c r="AA319" s="2">
        <f t="shared" si="14"/>
        <v>10879278.809999999</v>
      </c>
    </row>
    <row r="320" spans="1:27" ht="14.5" customHeight="1">
      <c r="A320" s="19" t="s">
        <v>4984</v>
      </c>
      <c r="B320" s="3" t="s">
        <v>919</v>
      </c>
      <c r="C320" s="20">
        <v>2226820</v>
      </c>
      <c r="D320" s="20">
        <v>2024588</v>
      </c>
      <c r="E320" s="56">
        <v>9.99</v>
      </c>
      <c r="F320" s="57">
        <v>-341806</v>
      </c>
      <c r="G320" s="57">
        <v>-138795</v>
      </c>
      <c r="H320" s="57">
        <v>-180719</v>
      </c>
      <c r="I320" s="57">
        <v>-90321</v>
      </c>
      <c r="J320" s="57">
        <v>-546503</v>
      </c>
      <c r="K320" s="57">
        <v>-1314168</v>
      </c>
      <c r="L320" s="56"/>
      <c r="M320" s="20">
        <v>1865366</v>
      </c>
      <c r="N320" s="56">
        <v>-2.93</v>
      </c>
      <c r="O320" s="56">
        <v>-7.05</v>
      </c>
      <c r="P320" s="58">
        <v>8.68</v>
      </c>
      <c r="Q320" s="59">
        <v>13.4818127200611</v>
      </c>
      <c r="R320" s="59">
        <v>0.18305353800507099</v>
      </c>
      <c r="S320" s="59">
        <v>0.12669020863067401</v>
      </c>
      <c r="X320" s="2">
        <f t="shared" si="12"/>
        <v>0.86518187279938896</v>
      </c>
      <c r="Y320" s="2">
        <f>SUMIF(收盤價!A:A,A320,收盤價!C:C)</f>
        <v>15.5</v>
      </c>
      <c r="Z320" s="2">
        <f t="shared" si="13"/>
        <v>1619137.6879999998</v>
      </c>
      <c r="AA320" s="2">
        <f t="shared" si="14"/>
        <v>2891317.3</v>
      </c>
    </row>
    <row r="321" spans="1:27" ht="14.5" customHeight="1">
      <c r="A321" s="19" t="s">
        <v>4985</v>
      </c>
      <c r="B321" s="3" t="s">
        <v>921</v>
      </c>
      <c r="C321" s="20">
        <v>346735</v>
      </c>
      <c r="D321" s="20">
        <v>330487</v>
      </c>
      <c r="E321" s="56">
        <v>4.92</v>
      </c>
      <c r="F321" s="57">
        <v>225613</v>
      </c>
      <c r="G321" s="57">
        <v>210952</v>
      </c>
      <c r="H321" s="57">
        <v>434042</v>
      </c>
      <c r="I321" s="57">
        <v>474393</v>
      </c>
      <c r="J321" s="57">
        <v>532032</v>
      </c>
      <c r="K321" s="57">
        <v>430208</v>
      </c>
      <c r="L321" s="56">
        <v>23.67</v>
      </c>
      <c r="M321" s="20">
        <v>4999984</v>
      </c>
      <c r="N321" s="56">
        <v>1.06</v>
      </c>
      <c r="O321" s="56">
        <v>0.86</v>
      </c>
      <c r="P321" s="58">
        <v>18.73</v>
      </c>
      <c r="Q321" s="59">
        <v>86.509937313553607</v>
      </c>
      <c r="R321" s="59">
        <v>20.7614252642826</v>
      </c>
      <c r="S321" s="59">
        <v>2.5356963623706901</v>
      </c>
      <c r="X321" s="2">
        <f t="shared" si="12"/>
        <v>0.13490062686446394</v>
      </c>
      <c r="Y321" s="2">
        <f>SUMIF(收盤價!A:A,A321,收盤價!C:C)</f>
        <v>15.65</v>
      </c>
      <c r="Z321" s="2">
        <f t="shared" si="13"/>
        <v>9364970.0320000015</v>
      </c>
      <c r="AA321" s="2">
        <f t="shared" si="14"/>
        <v>7824974.9600000009</v>
      </c>
    </row>
    <row r="322" spans="1:27" ht="14.5" customHeight="1">
      <c r="A322" s="19" t="s">
        <v>4986</v>
      </c>
      <c r="B322" s="3" t="s">
        <v>923</v>
      </c>
      <c r="C322" s="20">
        <v>6535609</v>
      </c>
      <c r="D322" s="20">
        <v>6675944</v>
      </c>
      <c r="E322" s="56">
        <v>-2.1</v>
      </c>
      <c r="F322" s="57">
        <v>1263103</v>
      </c>
      <c r="G322" s="57">
        <v>1133315</v>
      </c>
      <c r="H322" s="57">
        <v>367893</v>
      </c>
      <c r="I322" s="57">
        <v>540947</v>
      </c>
      <c r="J322" s="57">
        <v>1344181</v>
      </c>
      <c r="K322" s="57">
        <v>1368866</v>
      </c>
      <c r="L322" s="56">
        <v>-1.8</v>
      </c>
      <c r="M322" s="20">
        <v>1274020</v>
      </c>
      <c r="N322" s="56">
        <v>10.58</v>
      </c>
      <c r="O322" s="56">
        <v>10.8</v>
      </c>
      <c r="P322" s="58">
        <v>25.66</v>
      </c>
      <c r="Q322" s="59">
        <v>28.853437889680499</v>
      </c>
      <c r="R322" s="59">
        <v>1.0808548805584599</v>
      </c>
      <c r="S322" s="59">
        <v>0.85743058865135702</v>
      </c>
      <c r="X322" s="2">
        <f t="shared" si="12"/>
        <v>0.71146562110319511</v>
      </c>
      <c r="Y322" s="2">
        <f>SUMIF(收盤價!A:A,A322,收盤價!C:C)</f>
        <v>168</v>
      </c>
      <c r="Z322" s="2">
        <f t="shared" si="13"/>
        <v>3269135.32</v>
      </c>
      <c r="AA322" s="2">
        <f t="shared" si="14"/>
        <v>21403536</v>
      </c>
    </row>
    <row r="323" spans="1:27" ht="14.5" customHeight="1">
      <c r="A323" s="19" t="s">
        <v>4987</v>
      </c>
      <c r="B323" s="3" t="s">
        <v>925</v>
      </c>
      <c r="C323" s="20">
        <v>425243</v>
      </c>
      <c r="D323" s="20">
        <v>370434</v>
      </c>
      <c r="E323" s="56">
        <v>14.8</v>
      </c>
      <c r="F323" s="57">
        <v>-16034</v>
      </c>
      <c r="G323" s="57">
        <v>-38391</v>
      </c>
      <c r="H323" s="57">
        <v>-484</v>
      </c>
      <c r="I323" s="57">
        <v>-716</v>
      </c>
      <c r="J323" s="57">
        <v>-15974</v>
      </c>
      <c r="K323" s="57">
        <v>-31348</v>
      </c>
      <c r="L323" s="56"/>
      <c r="M323" s="20">
        <v>1050000</v>
      </c>
      <c r="N323" s="56">
        <v>-0.15</v>
      </c>
      <c r="O323" s="56">
        <v>-0.3</v>
      </c>
      <c r="P323" s="58">
        <v>11.27</v>
      </c>
      <c r="Q323" s="59">
        <v>79.407628757250805</v>
      </c>
      <c r="R323" s="59">
        <v>0.44715597841756199</v>
      </c>
      <c r="S323" s="59">
        <v>0.36349657454315798</v>
      </c>
      <c r="X323" s="2">
        <f t="shared" si="12"/>
        <v>0.20592371242749194</v>
      </c>
      <c r="Y323" s="2">
        <f>SUMIF(收盤價!A:A,A323,收盤價!C:C)</f>
        <v>54</v>
      </c>
      <c r="Z323" s="2">
        <f t="shared" si="13"/>
        <v>1183350</v>
      </c>
      <c r="AA323" s="2">
        <f t="shared" si="14"/>
        <v>5670000</v>
      </c>
    </row>
    <row r="324" spans="1:27" ht="14.5" customHeight="1">
      <c r="A324" s="19" t="s">
        <v>4988</v>
      </c>
      <c r="B324" s="3" t="s">
        <v>927</v>
      </c>
      <c r="C324" s="20">
        <v>753006</v>
      </c>
      <c r="D324" s="20">
        <v>670301</v>
      </c>
      <c r="E324" s="56">
        <v>12.34</v>
      </c>
      <c r="F324" s="57">
        <v>32838</v>
      </c>
      <c r="G324" s="57">
        <v>-10712</v>
      </c>
      <c r="H324" s="57">
        <v>7249</v>
      </c>
      <c r="I324" s="57">
        <v>36244</v>
      </c>
      <c r="J324" s="57">
        <v>40001</v>
      </c>
      <c r="K324" s="57">
        <v>21126</v>
      </c>
      <c r="L324" s="56">
        <v>89.34</v>
      </c>
      <c r="M324" s="20">
        <v>1115229</v>
      </c>
      <c r="N324" s="56">
        <v>0.36</v>
      </c>
      <c r="O324" s="56">
        <v>0.19</v>
      </c>
      <c r="P324" s="58">
        <v>15.3</v>
      </c>
      <c r="Q324" s="59">
        <v>67.525287483235005</v>
      </c>
      <c r="R324" s="59">
        <v>0.66953577725857405</v>
      </c>
      <c r="S324" s="59">
        <v>0.25810823282541001</v>
      </c>
      <c r="X324" s="2">
        <f t="shared" si="12"/>
        <v>0.32474712516764997</v>
      </c>
      <c r="Y324" s="2">
        <f>SUMIF(收盤價!A:A,A324,收盤價!C:C)</f>
        <v>25</v>
      </c>
      <c r="Z324" s="2">
        <f t="shared" si="13"/>
        <v>1706300.3699999999</v>
      </c>
      <c r="AA324" s="2">
        <f t="shared" si="14"/>
        <v>2788072.5</v>
      </c>
    </row>
    <row r="325" spans="1:27" ht="14.5" customHeight="1">
      <c r="A325" s="19" t="s">
        <v>4989</v>
      </c>
      <c r="B325" s="3" t="s">
        <v>929</v>
      </c>
      <c r="C325" s="20">
        <v>23156921</v>
      </c>
      <c r="D325" s="20">
        <v>24115084</v>
      </c>
      <c r="E325" s="56">
        <v>-3.97</v>
      </c>
      <c r="F325" s="57">
        <v>1707507</v>
      </c>
      <c r="G325" s="57">
        <v>2284924</v>
      </c>
      <c r="H325" s="57">
        <v>-222233</v>
      </c>
      <c r="I325" s="57">
        <v>133773</v>
      </c>
      <c r="J325" s="57">
        <v>932863</v>
      </c>
      <c r="K325" s="57">
        <v>1667624</v>
      </c>
      <c r="L325" s="56">
        <v>-44.06</v>
      </c>
      <c r="M325" s="20">
        <v>1800000</v>
      </c>
      <c r="N325" s="56">
        <v>5.18</v>
      </c>
      <c r="O325" s="56">
        <v>9.26</v>
      </c>
      <c r="P325" s="58">
        <v>56.78</v>
      </c>
      <c r="Q325" s="59">
        <v>45.198893554704902</v>
      </c>
      <c r="R325" s="59">
        <v>1.0165442222663801</v>
      </c>
      <c r="S325" s="59">
        <v>0.63529142074647005</v>
      </c>
      <c r="X325" s="2">
        <f t="shared" ref="X325:X388" si="15">IF(W325&lt;&gt;"",ROUND(W325/U325,2),(100-Q325)/100)</f>
        <v>0.548011064452951</v>
      </c>
      <c r="Y325" s="2">
        <f>SUMIF(收盤價!A:A,A325,收盤價!C:C)</f>
        <v>123.5</v>
      </c>
      <c r="Z325" s="2">
        <f t="shared" ref="Z325:Z388" si="16">IF(W325&lt;&gt;"",U325-W325,M325*P325/10)</f>
        <v>10220400</v>
      </c>
      <c r="AA325" s="2">
        <f t="shared" ref="AA325:AA388" si="17">Y325*M325/10</f>
        <v>22230000</v>
      </c>
    </row>
    <row r="326" spans="1:27" ht="14.5" customHeight="1">
      <c r="A326" s="19" t="s">
        <v>4990</v>
      </c>
      <c r="B326" s="3" t="s">
        <v>931</v>
      </c>
      <c r="C326" s="20">
        <v>16232208</v>
      </c>
      <c r="D326" s="20">
        <v>16286395</v>
      </c>
      <c r="E326" s="56">
        <v>-0.33</v>
      </c>
      <c r="F326" s="57">
        <v>604113</v>
      </c>
      <c r="G326" s="57">
        <v>568232</v>
      </c>
      <c r="H326" s="57">
        <v>-163642</v>
      </c>
      <c r="I326" s="57">
        <v>19377</v>
      </c>
      <c r="J326" s="57">
        <v>355018</v>
      </c>
      <c r="K326" s="57">
        <v>345142</v>
      </c>
      <c r="L326" s="56">
        <v>2.86</v>
      </c>
      <c r="M326" s="20">
        <v>769879</v>
      </c>
      <c r="N326" s="56">
        <v>4.7699999999999996</v>
      </c>
      <c r="O326" s="56">
        <v>4.5199999999999996</v>
      </c>
      <c r="P326" s="58">
        <v>45.08</v>
      </c>
      <c r="Q326" s="59">
        <v>26.460766157582398</v>
      </c>
      <c r="R326" s="59">
        <v>0.85554315567678196</v>
      </c>
      <c r="S326" s="59">
        <v>0.28872208311123898</v>
      </c>
      <c r="X326" s="2">
        <f t="shared" si="15"/>
        <v>0.73539233842417606</v>
      </c>
      <c r="Y326" s="2">
        <f>SUMIF(收盤價!A:A,A326,收盤價!C:C)</f>
        <v>79.599999999999994</v>
      </c>
      <c r="Z326" s="2">
        <f t="shared" si="16"/>
        <v>3470614.5320000001</v>
      </c>
      <c r="AA326" s="2">
        <f t="shared" si="17"/>
        <v>6128236.8399999999</v>
      </c>
    </row>
    <row r="327" spans="1:27" ht="14.5" customHeight="1">
      <c r="A327" s="19" t="s">
        <v>4991</v>
      </c>
      <c r="B327" s="3" t="s">
        <v>933</v>
      </c>
      <c r="C327" s="20">
        <v>30160201</v>
      </c>
      <c r="D327" s="20">
        <v>29621685</v>
      </c>
      <c r="E327" s="56">
        <v>1.82</v>
      </c>
      <c r="F327" s="57">
        <v>132356</v>
      </c>
      <c r="G327" s="57">
        <v>176428</v>
      </c>
      <c r="H327" s="57">
        <v>186556</v>
      </c>
      <c r="I327" s="57">
        <v>174015</v>
      </c>
      <c r="J327" s="57">
        <v>219568</v>
      </c>
      <c r="K327" s="57">
        <v>256071</v>
      </c>
      <c r="L327" s="56">
        <v>-14.26</v>
      </c>
      <c r="M327" s="20">
        <v>700000</v>
      </c>
      <c r="N327" s="56">
        <v>3.14</v>
      </c>
      <c r="O327" s="56">
        <v>3.66</v>
      </c>
      <c r="P327" s="58">
        <v>29.81</v>
      </c>
      <c r="Q327" s="59">
        <v>23.724597994652399</v>
      </c>
      <c r="R327" s="59">
        <v>1.22632939735867</v>
      </c>
      <c r="S327" s="59">
        <v>0.86599939272111504</v>
      </c>
      <c r="X327" s="2">
        <f t="shared" si="15"/>
        <v>0.76275402005347603</v>
      </c>
      <c r="Y327" s="2">
        <f>SUMIF(收盤價!A:A,A327,收盤價!C:C)</f>
        <v>85</v>
      </c>
      <c r="Z327" s="2">
        <f t="shared" si="16"/>
        <v>2086700</v>
      </c>
      <c r="AA327" s="2">
        <f t="shared" si="17"/>
        <v>5950000</v>
      </c>
    </row>
    <row r="328" spans="1:27" ht="14.5" customHeight="1">
      <c r="A328" s="19" t="s">
        <v>4992</v>
      </c>
      <c r="B328" s="3" t="s">
        <v>935</v>
      </c>
      <c r="C328" s="20">
        <v>4478451</v>
      </c>
      <c r="D328" s="20">
        <v>4357920</v>
      </c>
      <c r="E328" s="56">
        <v>2.77</v>
      </c>
      <c r="F328" s="57">
        <v>322615</v>
      </c>
      <c r="G328" s="57">
        <v>84688</v>
      </c>
      <c r="H328" s="57">
        <v>-168190</v>
      </c>
      <c r="I328" s="57">
        <v>40646</v>
      </c>
      <c r="J328" s="57">
        <v>123351</v>
      </c>
      <c r="K328" s="57">
        <v>113619</v>
      </c>
      <c r="L328" s="56">
        <v>8.57</v>
      </c>
      <c r="M328" s="20">
        <v>1115260</v>
      </c>
      <c r="N328" s="56">
        <v>1.1100000000000001</v>
      </c>
      <c r="O328" s="56">
        <v>1.02</v>
      </c>
      <c r="P328" s="58">
        <v>16.809999999999999</v>
      </c>
      <c r="Q328" s="59">
        <v>12.035287375857999</v>
      </c>
      <c r="R328" s="59">
        <v>0.588138100406985</v>
      </c>
      <c r="S328" s="59">
        <v>0.41877002867808799</v>
      </c>
      <c r="X328" s="2">
        <f t="shared" si="15"/>
        <v>0.87964712624141994</v>
      </c>
      <c r="Y328" s="2">
        <f>SUMIF(收盤價!A:A,A328,收盤價!C:C)</f>
        <v>25.2</v>
      </c>
      <c r="Z328" s="2">
        <f t="shared" si="16"/>
        <v>1874752.0599999998</v>
      </c>
      <c r="AA328" s="2">
        <f t="shared" si="17"/>
        <v>2810455.2</v>
      </c>
    </row>
    <row r="329" spans="1:27" ht="14.5" customHeight="1">
      <c r="A329" s="19" t="s">
        <v>4993</v>
      </c>
      <c r="B329" s="3" t="s">
        <v>937</v>
      </c>
      <c r="C329" s="20">
        <v>2380624</v>
      </c>
      <c r="D329" s="20">
        <v>1707741</v>
      </c>
      <c r="E329" s="56">
        <v>39.4</v>
      </c>
      <c r="F329" s="57">
        <v>272344</v>
      </c>
      <c r="G329" s="57">
        <v>271579</v>
      </c>
      <c r="H329" s="57">
        <v>-37500</v>
      </c>
      <c r="I329" s="57">
        <v>-4568</v>
      </c>
      <c r="J329" s="57">
        <v>183789</v>
      </c>
      <c r="K329" s="57">
        <v>211370</v>
      </c>
      <c r="L329" s="56">
        <v>-13.05</v>
      </c>
      <c r="M329" s="20">
        <v>656370</v>
      </c>
      <c r="N329" s="56">
        <v>2.8</v>
      </c>
      <c r="O329" s="56">
        <v>3.22</v>
      </c>
      <c r="P329" s="58">
        <v>19.43</v>
      </c>
      <c r="Q329" s="59">
        <v>29.069071683917102</v>
      </c>
      <c r="R329" s="59">
        <v>0.29475558833794102</v>
      </c>
      <c r="S329" s="59">
        <v>0.22569063713611801</v>
      </c>
      <c r="X329" s="2">
        <f t="shared" si="15"/>
        <v>0.70930928316082897</v>
      </c>
      <c r="Y329" s="2">
        <f>SUMIF(收盤價!A:A,A329,收盤價!C:C)</f>
        <v>50.4</v>
      </c>
      <c r="Z329" s="2">
        <f t="shared" si="16"/>
        <v>1275326.9099999999</v>
      </c>
      <c r="AA329" s="2">
        <f t="shared" si="17"/>
        <v>3308104.8</v>
      </c>
    </row>
    <row r="330" spans="1:27" ht="14.5" customHeight="1">
      <c r="A330" s="19" t="s">
        <v>4994</v>
      </c>
      <c r="B330" s="3" t="s">
        <v>1494</v>
      </c>
      <c r="C330" s="20">
        <v>2974759</v>
      </c>
      <c r="D330" s="20">
        <v>2917517</v>
      </c>
      <c r="E330" s="56">
        <v>1.96</v>
      </c>
      <c r="F330" s="57">
        <v>186626</v>
      </c>
      <c r="G330" s="57">
        <v>165117</v>
      </c>
      <c r="H330" s="57">
        <v>57755</v>
      </c>
      <c r="I330" s="57">
        <v>36373</v>
      </c>
      <c r="J330" s="57">
        <v>198753</v>
      </c>
      <c r="K330" s="57">
        <v>158506</v>
      </c>
      <c r="L330" s="56">
        <v>25.39</v>
      </c>
      <c r="M330" s="20">
        <v>612944</v>
      </c>
      <c r="N330" s="56">
        <v>3.24</v>
      </c>
      <c r="O330" s="56">
        <v>2.59</v>
      </c>
      <c r="P330" s="58">
        <v>18.489999999999998</v>
      </c>
      <c r="Q330" s="59">
        <v>45.355905557192102</v>
      </c>
      <c r="R330" s="59">
        <v>1.32390823648625</v>
      </c>
      <c r="S330" s="59">
        <v>0.60298023259010802</v>
      </c>
      <c r="X330" s="2">
        <f t="shared" si="15"/>
        <v>0.546440944428079</v>
      </c>
      <c r="Y330" s="2">
        <f>SUMIF(收盤價!A:A,A330,收盤價!C:C)</f>
        <v>40.4</v>
      </c>
      <c r="Z330" s="2">
        <f t="shared" si="16"/>
        <v>1133333.4559999998</v>
      </c>
      <c r="AA330" s="2">
        <f t="shared" si="17"/>
        <v>2476293.7599999998</v>
      </c>
    </row>
    <row r="331" spans="1:27" ht="14.5" customHeight="1">
      <c r="A331" s="21" t="s">
        <v>4995</v>
      </c>
      <c r="B331" s="22" t="s">
        <v>1790</v>
      </c>
      <c r="C331" s="23">
        <v>3526882</v>
      </c>
      <c r="D331" s="23">
        <v>3012163</v>
      </c>
      <c r="E331" s="60">
        <v>17.09</v>
      </c>
      <c r="F331" s="61">
        <v>646537</v>
      </c>
      <c r="G331" s="61">
        <v>551966</v>
      </c>
      <c r="H331" s="61">
        <v>-50766</v>
      </c>
      <c r="I331" s="61">
        <v>1271</v>
      </c>
      <c r="J331" s="61">
        <v>470130</v>
      </c>
      <c r="K331" s="61">
        <v>444005</v>
      </c>
      <c r="L331" s="60">
        <v>5.88</v>
      </c>
      <c r="M331" s="23">
        <v>700965</v>
      </c>
      <c r="N331" s="60">
        <v>7.15</v>
      </c>
      <c r="O331" s="60">
        <v>6.99</v>
      </c>
      <c r="P331" s="62">
        <v>29.35</v>
      </c>
      <c r="Q331" s="63">
        <v>29.1269442266391</v>
      </c>
      <c r="R331" s="63">
        <v>0.684546122888261</v>
      </c>
      <c r="S331" s="63">
        <v>0.459623619648176</v>
      </c>
      <c r="X331" s="2">
        <f t="shared" si="15"/>
        <v>0.70873055773360905</v>
      </c>
      <c r="Y331" s="2">
        <f>SUMIF(收盤價!A:A,A331,收盤價!C:C)</f>
        <v>200.5</v>
      </c>
      <c r="Z331" s="2">
        <f t="shared" si="16"/>
        <v>2057332.2749999999</v>
      </c>
      <c r="AA331" s="2">
        <f t="shared" si="17"/>
        <v>14054348.25</v>
      </c>
    </row>
    <row r="332" spans="1:27" ht="14.5" customHeight="1">
      <c r="A332" s="24" t="s">
        <v>4996</v>
      </c>
      <c r="B332" s="25" t="s">
        <v>1818</v>
      </c>
      <c r="C332" s="26">
        <v>1534327</v>
      </c>
      <c r="D332" s="26">
        <v>1475792</v>
      </c>
      <c r="E332" s="64">
        <v>3.97</v>
      </c>
      <c r="F332" s="65">
        <v>2180</v>
      </c>
      <c r="G332" s="65">
        <v>-21337</v>
      </c>
      <c r="H332" s="65">
        <v>10575</v>
      </c>
      <c r="I332" s="65">
        <v>-385</v>
      </c>
      <c r="J332" s="65">
        <v>-17569</v>
      </c>
      <c r="K332" s="65">
        <v>-34544</v>
      </c>
      <c r="L332" s="64"/>
      <c r="M332" s="26">
        <v>674910</v>
      </c>
      <c r="N332" s="64">
        <v>-0.26</v>
      </c>
      <c r="O332" s="64">
        <v>-0.51</v>
      </c>
      <c r="P332" s="66">
        <v>10.86</v>
      </c>
      <c r="Q332" s="67">
        <v>33.574575997164096</v>
      </c>
      <c r="R332" s="67">
        <v>0.95267720515430399</v>
      </c>
      <c r="S332" s="67">
        <v>0.79713065093510005</v>
      </c>
      <c r="X332" s="2">
        <f t="shared" si="15"/>
        <v>0.66425424002835909</v>
      </c>
      <c r="Y332" s="2">
        <f>SUMIF(收盤價!A:A,A332,收盤價!C:C)</f>
        <v>11.75</v>
      </c>
      <c r="Z332" s="2">
        <f t="shared" si="16"/>
        <v>732952.26</v>
      </c>
      <c r="AA332" s="2">
        <f t="shared" si="17"/>
        <v>793019.25</v>
      </c>
    </row>
    <row r="333" spans="1:27" ht="14.5" customHeight="1">
      <c r="A333" s="19" t="s">
        <v>4997</v>
      </c>
      <c r="B333" s="3" t="s">
        <v>1914</v>
      </c>
      <c r="C333" s="20">
        <v>2990311</v>
      </c>
      <c r="D333" s="20">
        <v>3006248</v>
      </c>
      <c r="E333" s="56">
        <v>-0.53</v>
      </c>
      <c r="F333" s="57">
        <v>640442</v>
      </c>
      <c r="G333" s="57">
        <v>622850</v>
      </c>
      <c r="H333" s="57">
        <v>296936</v>
      </c>
      <c r="I333" s="57">
        <v>396213</v>
      </c>
      <c r="J333" s="57">
        <v>806573</v>
      </c>
      <c r="K333" s="57">
        <v>892881</v>
      </c>
      <c r="L333" s="56">
        <v>-9.67</v>
      </c>
      <c r="M333" s="20">
        <v>1473176</v>
      </c>
      <c r="N333" s="56">
        <v>5.48</v>
      </c>
      <c r="O333" s="56">
        <v>6.06</v>
      </c>
      <c r="P333" s="58">
        <v>28.29</v>
      </c>
      <c r="Q333" s="59">
        <v>68.202368320974202</v>
      </c>
      <c r="R333" s="59">
        <v>2.0119580358321598</v>
      </c>
      <c r="S333" s="59">
        <v>1.09954583646411</v>
      </c>
      <c r="X333" s="2">
        <f t="shared" si="15"/>
        <v>0.31797631679025801</v>
      </c>
      <c r="Y333" s="2">
        <f>SUMIF(收盤價!A:A,A333,收盤價!C:C)</f>
        <v>71.3</v>
      </c>
      <c r="Z333" s="2">
        <f t="shared" si="16"/>
        <v>4167614.9040000001</v>
      </c>
      <c r="AA333" s="2">
        <f t="shared" si="17"/>
        <v>10503744.879999999</v>
      </c>
    </row>
    <row r="334" spans="1:27" ht="14.5" customHeight="1">
      <c r="A334" s="19" t="s">
        <v>4998</v>
      </c>
      <c r="B334" s="3" t="s">
        <v>939</v>
      </c>
      <c r="C334" s="20">
        <v>32078353</v>
      </c>
      <c r="D334" s="20">
        <v>33108189</v>
      </c>
      <c r="E334" s="56">
        <v>-3.11</v>
      </c>
      <c r="F334" s="57">
        <v>13520292</v>
      </c>
      <c r="G334" s="57">
        <v>14710084</v>
      </c>
      <c r="H334" s="57" t="s">
        <v>6316</v>
      </c>
      <c r="I334" s="57" t="s">
        <v>6316</v>
      </c>
      <c r="J334" s="57">
        <v>11571782</v>
      </c>
      <c r="K334" s="57">
        <v>12646535</v>
      </c>
      <c r="L334" s="56">
        <v>-8.5</v>
      </c>
      <c r="M334" s="20">
        <v>99853111</v>
      </c>
      <c r="N334" s="56">
        <v>1.1599999999999999</v>
      </c>
      <c r="O334" s="56">
        <v>1.27</v>
      </c>
      <c r="P334" s="58">
        <v>16.25</v>
      </c>
      <c r="Q334" s="59">
        <v>7.5966432394746803</v>
      </c>
      <c r="R334" s="59">
        <v>0</v>
      </c>
      <c r="S334" s="59">
        <v>0</v>
      </c>
      <c r="X334" s="2">
        <f t="shared" si="15"/>
        <v>0.92403356760525324</v>
      </c>
      <c r="Y334" s="2">
        <f>SUMIF(收盤價!A:A,A334,收盤價!C:C)</f>
        <v>22.7</v>
      </c>
      <c r="Z334" s="2">
        <f t="shared" si="16"/>
        <v>162261305.375</v>
      </c>
      <c r="AA334" s="2">
        <f t="shared" si="17"/>
        <v>226666561.96999997</v>
      </c>
    </row>
    <row r="335" spans="1:27" ht="14.5" customHeight="1">
      <c r="A335" s="19" t="s">
        <v>4999</v>
      </c>
      <c r="B335" s="3" t="s">
        <v>941</v>
      </c>
      <c r="C335" s="20">
        <v>8492984</v>
      </c>
      <c r="D335" s="20">
        <v>7000814</v>
      </c>
      <c r="E335" s="56">
        <v>21.31</v>
      </c>
      <c r="F335" s="57">
        <v>3903881</v>
      </c>
      <c r="G335" s="57">
        <v>3573311</v>
      </c>
      <c r="H335" s="57" t="s">
        <v>6316</v>
      </c>
      <c r="I335" s="57" t="s">
        <v>6316</v>
      </c>
      <c r="J335" s="57">
        <v>3399687</v>
      </c>
      <c r="K335" s="57">
        <v>2877801</v>
      </c>
      <c r="L335" s="56">
        <v>18.13</v>
      </c>
      <c r="M335" s="20">
        <v>11312343</v>
      </c>
      <c r="N335" s="56">
        <v>2.99</v>
      </c>
      <c r="O335" s="56">
        <v>2.5099999999999998</v>
      </c>
      <c r="P335" s="58">
        <v>36.28</v>
      </c>
      <c r="Q335" s="59">
        <v>14.476582026241299</v>
      </c>
      <c r="R335" s="59">
        <v>0</v>
      </c>
      <c r="S335" s="59">
        <v>0</v>
      </c>
      <c r="X335" s="2">
        <f t="shared" si="15"/>
        <v>0.85523417973758697</v>
      </c>
      <c r="Y335" s="2">
        <f>SUMIF(收盤價!A:A,A335,收盤價!C:C)</f>
        <v>33.5</v>
      </c>
      <c r="Z335" s="2">
        <f t="shared" si="16"/>
        <v>41041180.403999999</v>
      </c>
      <c r="AA335" s="2">
        <f t="shared" si="17"/>
        <v>37896349.049999997</v>
      </c>
    </row>
    <row r="336" spans="1:27" ht="14.5" customHeight="1">
      <c r="A336" s="19" t="s">
        <v>5000</v>
      </c>
      <c r="B336" s="3" t="s">
        <v>943</v>
      </c>
      <c r="C336" s="20">
        <v>12095628</v>
      </c>
      <c r="D336" s="20">
        <v>11689424</v>
      </c>
      <c r="E336" s="56">
        <v>3.47</v>
      </c>
      <c r="F336" s="57">
        <v>5206985</v>
      </c>
      <c r="G336" s="57">
        <v>4759883</v>
      </c>
      <c r="H336" s="57" t="s">
        <v>6316</v>
      </c>
      <c r="I336" s="57" t="s">
        <v>6316</v>
      </c>
      <c r="J336" s="57">
        <v>4319883</v>
      </c>
      <c r="K336" s="57">
        <v>4008369</v>
      </c>
      <c r="L336" s="56">
        <v>7.77</v>
      </c>
      <c r="M336" s="20">
        <v>37088349</v>
      </c>
      <c r="N336" s="56">
        <v>1.1599999999999999</v>
      </c>
      <c r="O336" s="56">
        <v>1.1200000000000001</v>
      </c>
      <c r="P336" s="58">
        <v>13.83</v>
      </c>
      <c r="Q336" s="59">
        <v>7.5157519547387697</v>
      </c>
      <c r="R336" s="59">
        <v>0</v>
      </c>
      <c r="S336" s="59">
        <v>0</v>
      </c>
      <c r="X336" s="2">
        <f t="shared" si="15"/>
        <v>0.9248424804526123</v>
      </c>
      <c r="Y336" s="2">
        <f>SUMIF(收盤價!A:A,A336,收盤價!C:C)</f>
        <v>12</v>
      </c>
      <c r="Z336" s="2">
        <f t="shared" si="16"/>
        <v>51293186.667000003</v>
      </c>
      <c r="AA336" s="2">
        <f t="shared" si="17"/>
        <v>44506018.799999997</v>
      </c>
    </row>
    <row r="337" spans="1:27" ht="14.5" customHeight="1">
      <c r="A337" s="19" t="s">
        <v>5001</v>
      </c>
      <c r="B337" s="3" t="s">
        <v>945</v>
      </c>
      <c r="C337" s="20">
        <v>8081941</v>
      </c>
      <c r="D337" s="20">
        <v>7707676</v>
      </c>
      <c r="E337" s="56">
        <v>4.8600000000000003</v>
      </c>
      <c r="F337" s="57">
        <v>686326</v>
      </c>
      <c r="G337" s="57">
        <v>590985</v>
      </c>
      <c r="H337" s="57">
        <v>13928</v>
      </c>
      <c r="I337" s="57">
        <v>34110</v>
      </c>
      <c r="J337" s="57">
        <v>703782</v>
      </c>
      <c r="K337" s="57">
        <v>605620</v>
      </c>
      <c r="L337" s="56">
        <v>16.21</v>
      </c>
      <c r="M337" s="20">
        <v>2129600</v>
      </c>
      <c r="N337" s="56">
        <v>3.3</v>
      </c>
      <c r="O337" s="56">
        <v>2.84</v>
      </c>
      <c r="P337" s="58">
        <v>25.44</v>
      </c>
      <c r="Q337" s="59">
        <v>30.810113088034502</v>
      </c>
      <c r="R337" s="59">
        <v>0</v>
      </c>
      <c r="S337" s="59">
        <v>0</v>
      </c>
      <c r="X337" s="2">
        <f t="shared" si="15"/>
        <v>0.69189886911965504</v>
      </c>
      <c r="Y337" s="2">
        <f>SUMIF(收盤價!A:A,A337,收盤價!C:C)</f>
        <v>22.65</v>
      </c>
      <c r="Z337" s="2">
        <f t="shared" si="16"/>
        <v>5417702.4000000004</v>
      </c>
      <c r="AA337" s="2">
        <f t="shared" si="17"/>
        <v>4823544</v>
      </c>
    </row>
    <row r="338" spans="1:27" ht="14.5" customHeight="1">
      <c r="A338" s="19" t="s">
        <v>5002</v>
      </c>
      <c r="B338" s="3" t="s">
        <v>947</v>
      </c>
      <c r="C338" s="20">
        <v>2014768</v>
      </c>
      <c r="D338" s="20">
        <v>1977208</v>
      </c>
      <c r="E338" s="56">
        <v>1.9</v>
      </c>
      <c r="F338" s="57">
        <v>1553478</v>
      </c>
      <c r="G338" s="57">
        <v>1630228</v>
      </c>
      <c r="H338" s="57" t="s">
        <v>6316</v>
      </c>
      <c r="I338" s="57" t="s">
        <v>6316</v>
      </c>
      <c r="J338" s="57">
        <v>1244653</v>
      </c>
      <c r="K338" s="57">
        <v>1335419</v>
      </c>
      <c r="L338" s="56">
        <v>-6.8</v>
      </c>
      <c r="M338" s="20">
        <v>13429600</v>
      </c>
      <c r="N338" s="56">
        <v>0.93</v>
      </c>
      <c r="O338" s="56">
        <v>0.99</v>
      </c>
      <c r="P338" s="58">
        <v>17.760000000000002</v>
      </c>
      <c r="Q338" s="59">
        <v>12.0762960698925</v>
      </c>
      <c r="R338" s="59">
        <v>0</v>
      </c>
      <c r="S338" s="59">
        <v>0</v>
      </c>
      <c r="X338" s="2">
        <f t="shared" si="15"/>
        <v>0.87923703930107511</v>
      </c>
      <c r="Y338" s="2">
        <f>SUMIF(收盤價!A:A,A338,收盤價!C:C)</f>
        <v>15</v>
      </c>
      <c r="Z338" s="2">
        <f t="shared" si="16"/>
        <v>23850969.600000001</v>
      </c>
      <c r="AA338" s="2">
        <f t="shared" si="17"/>
        <v>20144400</v>
      </c>
    </row>
    <row r="339" spans="1:27" ht="14.5" customHeight="1">
      <c r="A339" s="19" t="s">
        <v>5003</v>
      </c>
      <c r="B339" s="3" t="s">
        <v>949</v>
      </c>
      <c r="C339" s="20">
        <v>339115451</v>
      </c>
      <c r="D339" s="20">
        <v>338495113</v>
      </c>
      <c r="E339" s="56">
        <v>0.18</v>
      </c>
      <c r="F339" s="57">
        <v>14590816</v>
      </c>
      <c r="G339" s="57">
        <v>7956352</v>
      </c>
      <c r="H339" s="57">
        <v>10910</v>
      </c>
      <c r="I339" s="57">
        <v>1646887</v>
      </c>
      <c r="J339" s="57">
        <v>13597878</v>
      </c>
      <c r="K339" s="57">
        <v>10177987</v>
      </c>
      <c r="L339" s="56">
        <v>33.6</v>
      </c>
      <c r="M339" s="20">
        <v>44635823</v>
      </c>
      <c r="N339" s="56">
        <v>3.2</v>
      </c>
      <c r="O339" s="56">
        <v>2.54</v>
      </c>
      <c r="P339" s="58">
        <v>31.96</v>
      </c>
      <c r="Q339" s="59">
        <v>7.1326295523884502</v>
      </c>
      <c r="R339" s="59">
        <v>0</v>
      </c>
      <c r="S339" s="59">
        <v>0</v>
      </c>
      <c r="X339" s="2">
        <f t="shared" si="15"/>
        <v>0.92867370447611552</v>
      </c>
      <c r="Y339" s="2">
        <f>SUMIF(收盤價!A:A,A339,收盤價!C:C)</f>
        <v>25.6</v>
      </c>
      <c r="Z339" s="2">
        <f t="shared" si="16"/>
        <v>142656090.308</v>
      </c>
      <c r="AA339" s="2">
        <f t="shared" si="17"/>
        <v>114267706.88</v>
      </c>
    </row>
    <row r="340" spans="1:27" ht="14.5" customHeight="1">
      <c r="A340" s="19" t="s">
        <v>5004</v>
      </c>
      <c r="B340" s="3" t="s">
        <v>951</v>
      </c>
      <c r="C340" s="20">
        <v>5200892</v>
      </c>
      <c r="D340" s="20">
        <v>4942674</v>
      </c>
      <c r="E340" s="56">
        <v>5.22</v>
      </c>
      <c r="F340" s="57">
        <v>839851</v>
      </c>
      <c r="G340" s="57">
        <v>666407</v>
      </c>
      <c r="H340" s="57">
        <v>-6199</v>
      </c>
      <c r="I340" s="57">
        <v>6998</v>
      </c>
      <c r="J340" s="57">
        <v>703129</v>
      </c>
      <c r="K340" s="57">
        <v>560299</v>
      </c>
      <c r="L340" s="56">
        <v>25.49</v>
      </c>
      <c r="M340" s="20">
        <v>3622004</v>
      </c>
      <c r="N340" s="56">
        <v>1.94</v>
      </c>
      <c r="O340" s="56">
        <v>1.55</v>
      </c>
      <c r="P340" s="58">
        <v>25.09</v>
      </c>
      <c r="Q340" s="59">
        <v>48.117302375745297</v>
      </c>
      <c r="R340" s="59">
        <v>0</v>
      </c>
      <c r="S340" s="59">
        <v>0</v>
      </c>
      <c r="X340" s="2">
        <f t="shared" si="15"/>
        <v>0.51882697624254703</v>
      </c>
      <c r="Y340" s="2">
        <f>SUMIF(收盤價!A:A,A340,收盤價!C:C)</f>
        <v>20.9</v>
      </c>
      <c r="Z340" s="2">
        <f t="shared" si="16"/>
        <v>9087608.0360000003</v>
      </c>
      <c r="AA340" s="2">
        <f t="shared" si="17"/>
        <v>7569988.3599999994</v>
      </c>
    </row>
    <row r="341" spans="1:27" ht="14.5" customHeight="1">
      <c r="A341" s="19" t="s">
        <v>5005</v>
      </c>
      <c r="B341" s="3" t="s">
        <v>953</v>
      </c>
      <c r="C341" s="20">
        <v>23209942</v>
      </c>
      <c r="D341" s="20">
        <v>23026947</v>
      </c>
      <c r="E341" s="56">
        <v>0.79</v>
      </c>
      <c r="F341" s="57">
        <v>8065680</v>
      </c>
      <c r="G341" s="57">
        <v>9198417</v>
      </c>
      <c r="H341" s="57" t="s">
        <v>6316</v>
      </c>
      <c r="I341" s="57" t="s">
        <v>6316</v>
      </c>
      <c r="J341" s="57">
        <v>6734253</v>
      </c>
      <c r="K341" s="57">
        <v>7640542</v>
      </c>
      <c r="L341" s="56">
        <v>-11.86</v>
      </c>
      <c r="M341" s="20">
        <v>71319842</v>
      </c>
      <c r="N341" s="56">
        <v>0.98</v>
      </c>
      <c r="O341" s="56">
        <v>1.1399999999999999</v>
      </c>
      <c r="P341" s="58">
        <v>13.39</v>
      </c>
      <c r="Q341" s="59">
        <v>5.4701263963945399</v>
      </c>
      <c r="R341" s="59">
        <v>0</v>
      </c>
      <c r="S341" s="59">
        <v>0</v>
      </c>
      <c r="X341" s="2">
        <f t="shared" si="15"/>
        <v>0.94529873603605463</v>
      </c>
      <c r="Y341" s="2">
        <f>SUMIF(收盤價!A:A,A341,收盤價!C:C)</f>
        <v>12.6</v>
      </c>
      <c r="Z341" s="2">
        <f t="shared" si="16"/>
        <v>95497268.437999994</v>
      </c>
      <c r="AA341" s="2">
        <f t="shared" si="17"/>
        <v>89863000.919999987</v>
      </c>
    </row>
    <row r="342" spans="1:27" ht="14.5" customHeight="1">
      <c r="A342" s="19" t="s">
        <v>5006</v>
      </c>
      <c r="B342" s="3" t="s">
        <v>955</v>
      </c>
      <c r="C342" s="20">
        <v>3719440</v>
      </c>
      <c r="D342" s="20">
        <v>3499620</v>
      </c>
      <c r="E342" s="56">
        <v>6.28</v>
      </c>
      <c r="F342" s="57">
        <v>886568</v>
      </c>
      <c r="G342" s="57">
        <v>488132</v>
      </c>
      <c r="H342" s="57" t="s">
        <v>6316</v>
      </c>
      <c r="I342" s="57" t="s">
        <v>6316</v>
      </c>
      <c r="J342" s="57">
        <v>774456</v>
      </c>
      <c r="K342" s="57">
        <v>479603</v>
      </c>
      <c r="L342" s="56">
        <v>61.48</v>
      </c>
      <c r="M342" s="20">
        <v>10809165</v>
      </c>
      <c r="N342" s="56">
        <v>0.72</v>
      </c>
      <c r="O342" s="56">
        <v>0.44</v>
      </c>
      <c r="P342" s="58">
        <v>14.27</v>
      </c>
      <c r="Q342" s="59">
        <v>5.7008215124692097</v>
      </c>
      <c r="R342" s="59">
        <v>0</v>
      </c>
      <c r="S342" s="59">
        <v>0</v>
      </c>
      <c r="X342" s="2">
        <f t="shared" si="15"/>
        <v>0.94299178487530799</v>
      </c>
      <c r="Y342" s="2">
        <f>SUMIF(收盤價!A:A,A342,收盤價!C:C)</f>
        <v>9.7799999999999994</v>
      </c>
      <c r="Z342" s="2">
        <f t="shared" si="16"/>
        <v>15424678.454999998</v>
      </c>
      <c r="AA342" s="2">
        <f t="shared" si="17"/>
        <v>10571363.369999999</v>
      </c>
    </row>
    <row r="343" spans="1:27" ht="14.5" customHeight="1">
      <c r="A343" s="19" t="s">
        <v>5007</v>
      </c>
      <c r="B343" s="3" t="s">
        <v>957</v>
      </c>
      <c r="C343" s="20">
        <v>13866182</v>
      </c>
      <c r="D343" s="20">
        <v>12732321</v>
      </c>
      <c r="E343" s="56">
        <v>8.91</v>
      </c>
      <c r="F343" s="57">
        <v>4027456</v>
      </c>
      <c r="G343" s="57">
        <v>3476584</v>
      </c>
      <c r="H343" s="57" t="s">
        <v>6316</v>
      </c>
      <c r="I343" s="57" t="s">
        <v>6316</v>
      </c>
      <c r="J343" s="57">
        <v>3359457</v>
      </c>
      <c r="K343" s="57">
        <v>2956724</v>
      </c>
      <c r="L343" s="56">
        <v>13.62</v>
      </c>
      <c r="M343" s="20">
        <v>30844553</v>
      </c>
      <c r="N343" s="56">
        <v>1</v>
      </c>
      <c r="O343" s="56">
        <v>1</v>
      </c>
      <c r="P343" s="58">
        <v>18.239999999999998</v>
      </c>
      <c r="Q343" s="59">
        <v>8.0914041307084705</v>
      </c>
      <c r="R343" s="59">
        <v>0</v>
      </c>
      <c r="S343" s="59">
        <v>0</v>
      </c>
      <c r="X343" s="2">
        <f t="shared" si="15"/>
        <v>0.91908595869291532</v>
      </c>
      <c r="Y343" s="2">
        <f>SUMIF(收盤價!A:A,A343,收盤價!C:C)</f>
        <v>11.05</v>
      </c>
      <c r="Z343" s="2">
        <f t="shared" si="16"/>
        <v>56260464.671999991</v>
      </c>
      <c r="AA343" s="2">
        <f t="shared" si="17"/>
        <v>34083231.065000005</v>
      </c>
    </row>
    <row r="344" spans="1:27" ht="14.5" customHeight="1">
      <c r="A344" s="19" t="s">
        <v>5010</v>
      </c>
      <c r="B344" s="3" t="s">
        <v>961</v>
      </c>
      <c r="C344" s="20">
        <v>11721680</v>
      </c>
      <c r="D344" s="20">
        <v>11218277</v>
      </c>
      <c r="E344" s="56">
        <v>4.49</v>
      </c>
      <c r="F344" s="57">
        <v>4256877</v>
      </c>
      <c r="G344" s="57">
        <v>4068479</v>
      </c>
      <c r="H344" s="57" t="s">
        <v>6316</v>
      </c>
      <c r="I344" s="57" t="s">
        <v>6316</v>
      </c>
      <c r="J344" s="57">
        <v>3632595</v>
      </c>
      <c r="K344" s="57">
        <v>3524201</v>
      </c>
      <c r="L344" s="56">
        <v>3.08</v>
      </c>
      <c r="M344" s="20">
        <v>33558193</v>
      </c>
      <c r="N344" s="56">
        <v>1.08</v>
      </c>
      <c r="O344" s="56">
        <v>1.05</v>
      </c>
      <c r="P344" s="58">
        <v>14.09</v>
      </c>
      <c r="Q344" s="59">
        <v>7.2202339164945197</v>
      </c>
      <c r="R344" s="59">
        <v>0</v>
      </c>
      <c r="S344" s="59">
        <v>0</v>
      </c>
      <c r="X344" s="2">
        <f t="shared" si="15"/>
        <v>0.92779766083505477</v>
      </c>
      <c r="Y344" s="2">
        <f>SUMIF(收盤價!A:A,A344,收盤價!C:C)</f>
        <v>11.95</v>
      </c>
      <c r="Z344" s="2">
        <f t="shared" si="16"/>
        <v>47283493.936999999</v>
      </c>
      <c r="AA344" s="2">
        <f t="shared" si="17"/>
        <v>40102040.634999998</v>
      </c>
    </row>
    <row r="345" spans="1:27" ht="14.5" customHeight="1">
      <c r="A345" s="19" t="s">
        <v>5011</v>
      </c>
      <c r="B345" s="3" t="s">
        <v>963</v>
      </c>
      <c r="C345" s="20">
        <v>6413132</v>
      </c>
      <c r="D345" s="20">
        <v>6409398</v>
      </c>
      <c r="E345" s="56">
        <v>0.06</v>
      </c>
      <c r="F345" s="57">
        <v>2457958</v>
      </c>
      <c r="G345" s="57">
        <v>2845214</v>
      </c>
      <c r="H345" s="57" t="s">
        <v>6316</v>
      </c>
      <c r="I345" s="57" t="s">
        <v>6316</v>
      </c>
      <c r="J345" s="57">
        <v>2081804</v>
      </c>
      <c r="K345" s="57">
        <v>2210281</v>
      </c>
      <c r="L345" s="56">
        <v>-5.81</v>
      </c>
      <c r="M345" s="20">
        <v>19579101</v>
      </c>
      <c r="N345" s="56">
        <v>1.1299999999999999</v>
      </c>
      <c r="O345" s="56">
        <v>1.26</v>
      </c>
      <c r="P345" s="58">
        <v>17.21</v>
      </c>
      <c r="Q345" s="59">
        <v>11.008420949924201</v>
      </c>
      <c r="R345" s="59">
        <v>0</v>
      </c>
      <c r="S345" s="59">
        <v>0</v>
      </c>
      <c r="X345" s="2">
        <f t="shared" si="15"/>
        <v>0.88991579050075797</v>
      </c>
      <c r="Y345" s="2">
        <f>SUMIF(收盤價!A:A,A345,收盤價!C:C)</f>
        <v>15.9</v>
      </c>
      <c r="Z345" s="2">
        <f t="shared" si="16"/>
        <v>33695632.821000002</v>
      </c>
      <c r="AA345" s="2">
        <f t="shared" si="17"/>
        <v>31130770.590000004</v>
      </c>
    </row>
    <row r="346" spans="1:27" ht="14.5" customHeight="1">
      <c r="A346" s="19" t="s">
        <v>5012</v>
      </c>
      <c r="B346" s="3" t="s">
        <v>965</v>
      </c>
      <c r="C346" s="20">
        <v>15531150</v>
      </c>
      <c r="D346" s="20">
        <v>14749316</v>
      </c>
      <c r="E346" s="56">
        <v>5.3</v>
      </c>
      <c r="F346" s="57">
        <v>1869570</v>
      </c>
      <c r="G346" s="57">
        <v>2012872</v>
      </c>
      <c r="H346" s="57">
        <v>21323</v>
      </c>
      <c r="I346" s="57">
        <v>3356</v>
      </c>
      <c r="J346" s="57">
        <v>1562053</v>
      </c>
      <c r="K346" s="57">
        <v>1770368</v>
      </c>
      <c r="L346" s="56">
        <v>-11.77</v>
      </c>
      <c r="M346" s="20">
        <v>3159633</v>
      </c>
      <c r="N346" s="56">
        <v>4.9400000000000004</v>
      </c>
      <c r="O346" s="56">
        <v>5.6</v>
      </c>
      <c r="P346" s="58">
        <v>36.950000000000003</v>
      </c>
      <c r="Q346" s="59">
        <v>32.842335568552997</v>
      </c>
      <c r="R346" s="59">
        <v>0</v>
      </c>
      <c r="S346" s="59">
        <v>0</v>
      </c>
      <c r="X346" s="2">
        <f t="shared" si="15"/>
        <v>0.67157664431447006</v>
      </c>
      <c r="Y346" s="2">
        <f>SUMIF(收盤價!A:A,A346,收盤價!C:C)</f>
        <v>38.6</v>
      </c>
      <c r="Z346" s="2">
        <f t="shared" si="16"/>
        <v>11674843.935000001</v>
      </c>
      <c r="AA346" s="2">
        <f t="shared" si="17"/>
        <v>12196183.380000001</v>
      </c>
    </row>
    <row r="347" spans="1:27" ht="14.5" customHeight="1">
      <c r="A347" s="19" t="s">
        <v>5013</v>
      </c>
      <c r="B347" s="3" t="s">
        <v>967</v>
      </c>
      <c r="C347" s="20">
        <v>16092924</v>
      </c>
      <c r="D347" s="20">
        <v>14871535</v>
      </c>
      <c r="E347" s="56">
        <v>8.2100000000000009</v>
      </c>
      <c r="F347" s="57">
        <v>1507236</v>
      </c>
      <c r="G347" s="57">
        <v>1377055</v>
      </c>
      <c r="H347" s="57">
        <v>275</v>
      </c>
      <c r="I347" s="57">
        <v>42</v>
      </c>
      <c r="J347" s="57">
        <v>1104125</v>
      </c>
      <c r="K347" s="57">
        <v>1050071</v>
      </c>
      <c r="L347" s="56">
        <v>5.15</v>
      </c>
      <c r="M347" s="20">
        <v>5903888</v>
      </c>
      <c r="N347" s="56">
        <v>1.87</v>
      </c>
      <c r="O347" s="56">
        <v>1.78</v>
      </c>
      <c r="P347" s="58">
        <v>20.37</v>
      </c>
      <c r="Q347" s="59">
        <v>30.716296244450898</v>
      </c>
      <c r="R347" s="59">
        <v>0</v>
      </c>
      <c r="S347" s="59">
        <v>0</v>
      </c>
      <c r="X347" s="2">
        <f t="shared" si="15"/>
        <v>0.69283703755549098</v>
      </c>
      <c r="Y347" s="2">
        <f>SUMIF(收盤價!A:A,A347,收盤價!C:C)</f>
        <v>19.850000000000001</v>
      </c>
      <c r="Z347" s="2">
        <f t="shared" si="16"/>
        <v>12026219.856000001</v>
      </c>
      <c r="AA347" s="2">
        <f t="shared" si="17"/>
        <v>11719217.680000002</v>
      </c>
    </row>
    <row r="348" spans="1:27" ht="14.5" customHeight="1">
      <c r="A348" s="19" t="s">
        <v>5014</v>
      </c>
      <c r="B348" s="3" t="s">
        <v>969</v>
      </c>
      <c r="C348" s="20">
        <v>6049197</v>
      </c>
      <c r="D348" s="20">
        <v>6129389</v>
      </c>
      <c r="E348" s="56">
        <v>-1.31</v>
      </c>
      <c r="F348" s="57">
        <v>664190</v>
      </c>
      <c r="G348" s="57">
        <v>563815</v>
      </c>
      <c r="H348" s="57">
        <v>-565</v>
      </c>
      <c r="I348" s="57">
        <v>-647</v>
      </c>
      <c r="J348" s="57">
        <v>580968</v>
      </c>
      <c r="K348" s="57">
        <v>491309</v>
      </c>
      <c r="L348" s="56">
        <v>18.25</v>
      </c>
      <c r="M348" s="20">
        <v>3011638</v>
      </c>
      <c r="N348" s="56">
        <v>1.93</v>
      </c>
      <c r="O348" s="56">
        <v>1.63</v>
      </c>
      <c r="P348" s="58">
        <v>22.62</v>
      </c>
      <c r="Q348" s="59">
        <v>42.954789026345402</v>
      </c>
      <c r="R348" s="59">
        <v>0</v>
      </c>
      <c r="S348" s="59">
        <v>0</v>
      </c>
      <c r="X348" s="2">
        <f t="shared" si="15"/>
        <v>0.57045210973654603</v>
      </c>
      <c r="Y348" s="2">
        <f>SUMIF(收盤價!A:A,A348,收盤價!C:C)</f>
        <v>14.55</v>
      </c>
      <c r="Z348" s="2">
        <f t="shared" si="16"/>
        <v>6812325.1560000004</v>
      </c>
      <c r="AA348" s="2">
        <f t="shared" si="17"/>
        <v>4381933.29</v>
      </c>
    </row>
    <row r="349" spans="1:27" ht="14.5" customHeight="1">
      <c r="A349" s="19" t="s">
        <v>5015</v>
      </c>
      <c r="B349" s="3" t="s">
        <v>971</v>
      </c>
      <c r="C349" s="20">
        <v>7142397</v>
      </c>
      <c r="D349" s="20">
        <v>5774276</v>
      </c>
      <c r="E349" s="56">
        <v>23.69</v>
      </c>
      <c r="F349" s="57">
        <v>2061802</v>
      </c>
      <c r="G349" s="57">
        <v>1021143</v>
      </c>
      <c r="H349" s="57">
        <v>496006</v>
      </c>
      <c r="I349" s="57">
        <v>415744</v>
      </c>
      <c r="J349" s="57">
        <v>2368536</v>
      </c>
      <c r="K349" s="57">
        <v>1210323</v>
      </c>
      <c r="L349" s="56">
        <v>95.69</v>
      </c>
      <c r="M349" s="20">
        <v>13723900</v>
      </c>
      <c r="N349" s="56">
        <v>1.72</v>
      </c>
      <c r="O349" s="56">
        <v>0.87</v>
      </c>
      <c r="P349" s="58">
        <v>19.45</v>
      </c>
      <c r="Q349" s="59">
        <v>27.883501959178901</v>
      </c>
      <c r="R349" s="59">
        <v>1.30892654391971</v>
      </c>
      <c r="S349" s="59">
        <v>1.2850196581695801</v>
      </c>
      <c r="X349" s="2">
        <f t="shared" si="15"/>
        <v>0.72116498040821098</v>
      </c>
      <c r="Y349" s="2">
        <f>SUMIF(收盤價!A:A,A349,收盤價!C:C)</f>
        <v>14.45</v>
      </c>
      <c r="Z349" s="2">
        <f t="shared" si="16"/>
        <v>26692985.5</v>
      </c>
      <c r="AA349" s="2">
        <f t="shared" si="17"/>
        <v>19831035.5</v>
      </c>
    </row>
    <row r="350" spans="1:27" ht="14.5" customHeight="1">
      <c r="A350" s="19" t="s">
        <v>5016</v>
      </c>
      <c r="B350" s="3" t="s">
        <v>973</v>
      </c>
      <c r="C350" s="20">
        <v>179488232</v>
      </c>
      <c r="D350" s="20">
        <v>167844489</v>
      </c>
      <c r="E350" s="56">
        <v>6.94</v>
      </c>
      <c r="F350" s="57">
        <v>5268770</v>
      </c>
      <c r="G350" s="57">
        <v>-1658280</v>
      </c>
      <c r="H350" s="57">
        <v>131223</v>
      </c>
      <c r="I350" s="57">
        <v>124602</v>
      </c>
      <c r="J350" s="57">
        <v>5423446</v>
      </c>
      <c r="K350" s="57">
        <v>-312413</v>
      </c>
      <c r="L350" s="56"/>
      <c r="M350" s="20">
        <v>23719715</v>
      </c>
      <c r="N350" s="56">
        <v>2.29</v>
      </c>
      <c r="O350" s="56">
        <v>-0.14000000000000001</v>
      </c>
      <c r="P350" s="58">
        <v>16.95</v>
      </c>
      <c r="Q350" s="59">
        <v>3.19143077418759</v>
      </c>
      <c r="R350" s="59">
        <v>0</v>
      </c>
      <c r="S350" s="59">
        <v>0</v>
      </c>
      <c r="X350" s="2">
        <f t="shared" si="15"/>
        <v>0.96808569225812402</v>
      </c>
      <c r="Y350" s="2">
        <f>SUMIF(收盤價!A:A,A350,收盤價!C:C)</f>
        <v>11.6</v>
      </c>
      <c r="Z350" s="2">
        <f t="shared" si="16"/>
        <v>40204916.924999997</v>
      </c>
      <c r="AA350" s="2">
        <f t="shared" si="17"/>
        <v>27514869.399999999</v>
      </c>
    </row>
    <row r="351" spans="1:27" ht="14.5" customHeight="1">
      <c r="A351" s="19" t="s">
        <v>5017</v>
      </c>
      <c r="B351" s="3" t="s">
        <v>975</v>
      </c>
      <c r="C351" s="20">
        <v>46704333</v>
      </c>
      <c r="D351" s="20">
        <v>46002484</v>
      </c>
      <c r="E351" s="56">
        <v>1.53</v>
      </c>
      <c r="F351" s="57">
        <v>18696258</v>
      </c>
      <c r="G351" s="57">
        <v>16671209</v>
      </c>
      <c r="H351" s="57" t="s">
        <v>6316</v>
      </c>
      <c r="I351" s="57" t="s">
        <v>6316</v>
      </c>
      <c r="J351" s="57">
        <v>15955270</v>
      </c>
      <c r="K351" s="57">
        <v>14621319</v>
      </c>
      <c r="L351" s="56">
        <v>9.1199999999999992</v>
      </c>
      <c r="M351" s="20">
        <v>121727402</v>
      </c>
      <c r="N351" s="56">
        <v>1.31</v>
      </c>
      <c r="O351" s="56">
        <v>1.2</v>
      </c>
      <c r="P351" s="58">
        <v>15.5</v>
      </c>
      <c r="Q351" s="59">
        <v>6.9074075425021197</v>
      </c>
      <c r="R351" s="59">
        <v>0</v>
      </c>
      <c r="S351" s="59">
        <v>0</v>
      </c>
      <c r="X351" s="2">
        <f t="shared" si="15"/>
        <v>0.93092592457497891</v>
      </c>
      <c r="Y351" s="2">
        <f>SUMIF(收盤價!A:A,A351,收盤價!C:C)</f>
        <v>22</v>
      </c>
      <c r="Z351" s="2">
        <f t="shared" si="16"/>
        <v>188677473.09999999</v>
      </c>
      <c r="AA351" s="2">
        <f t="shared" si="17"/>
        <v>267800284.40000001</v>
      </c>
    </row>
    <row r="352" spans="1:27" ht="14.5" customHeight="1">
      <c r="A352" s="19" t="s">
        <v>5018</v>
      </c>
      <c r="B352" s="3" t="s">
        <v>977</v>
      </c>
      <c r="C352" s="20">
        <v>447992422</v>
      </c>
      <c r="D352" s="20">
        <v>410933257</v>
      </c>
      <c r="E352" s="56">
        <v>9.02</v>
      </c>
      <c r="F352" s="57">
        <v>65468415</v>
      </c>
      <c r="G352" s="57">
        <v>57615327</v>
      </c>
      <c r="H352" s="57" t="s">
        <v>6316</v>
      </c>
      <c r="I352" s="57" t="s">
        <v>6316</v>
      </c>
      <c r="J352" s="57">
        <v>58497257</v>
      </c>
      <c r="K352" s="57">
        <v>47728856</v>
      </c>
      <c r="L352" s="56">
        <v>22.56</v>
      </c>
      <c r="M352" s="20">
        <v>115002640</v>
      </c>
      <c r="N352" s="56">
        <v>5.46</v>
      </c>
      <c r="O352" s="56">
        <v>4.5199999999999996</v>
      </c>
      <c r="P352" s="58">
        <v>52.85</v>
      </c>
      <c r="Q352" s="59">
        <v>7.1103804285069403</v>
      </c>
      <c r="R352" s="59">
        <v>0</v>
      </c>
      <c r="S352" s="59">
        <v>0</v>
      </c>
      <c r="X352" s="2">
        <f t="shared" si="15"/>
        <v>0.92889619571493054</v>
      </c>
      <c r="Y352" s="2">
        <f>SUMIF(收盤價!A:A,A352,收盤價!C:C)</f>
        <v>46.4</v>
      </c>
      <c r="Z352" s="2">
        <f t="shared" si="16"/>
        <v>607788952.39999998</v>
      </c>
      <c r="AA352" s="2">
        <f t="shared" si="17"/>
        <v>533612249.60000002</v>
      </c>
    </row>
    <row r="353" spans="1:27" ht="14.5" customHeight="1">
      <c r="A353" s="19" t="s">
        <v>5023</v>
      </c>
      <c r="B353" s="3" t="s">
        <v>979</v>
      </c>
      <c r="C353" s="20">
        <v>555887198</v>
      </c>
      <c r="D353" s="20">
        <v>473311887</v>
      </c>
      <c r="E353" s="56">
        <v>17.45</v>
      </c>
      <c r="F353" s="57">
        <v>70557174</v>
      </c>
      <c r="G353" s="57">
        <v>55598774</v>
      </c>
      <c r="H353" s="57" t="s">
        <v>6316</v>
      </c>
      <c r="I353" s="57" t="s">
        <v>6316</v>
      </c>
      <c r="J353" s="57">
        <v>62757286</v>
      </c>
      <c r="K353" s="57">
        <v>51467243</v>
      </c>
      <c r="L353" s="56">
        <v>21.94</v>
      </c>
      <c r="M353" s="20">
        <v>147025102</v>
      </c>
      <c r="N353" s="56">
        <v>4.76</v>
      </c>
      <c r="O353" s="56">
        <v>3.95</v>
      </c>
      <c r="P353" s="58">
        <v>52.49</v>
      </c>
      <c r="Q353" s="59">
        <v>7.6672688786555803</v>
      </c>
      <c r="R353" s="59">
        <v>0</v>
      </c>
      <c r="S353" s="59">
        <v>0</v>
      </c>
      <c r="X353" s="2">
        <f t="shared" si="15"/>
        <v>0.92332731121344425</v>
      </c>
      <c r="Y353" s="2">
        <f>SUMIF(收盤價!A:A,A353,收盤價!C:C)</f>
        <v>42.55</v>
      </c>
      <c r="Z353" s="2">
        <f t="shared" si="16"/>
        <v>771734760.398</v>
      </c>
      <c r="AA353" s="2">
        <f t="shared" si="17"/>
        <v>625591809.00999999</v>
      </c>
    </row>
    <row r="354" spans="1:27" ht="14.5" customHeight="1">
      <c r="A354" s="19" t="s">
        <v>5028</v>
      </c>
      <c r="B354" s="3" t="s">
        <v>981</v>
      </c>
      <c r="C354" s="20">
        <v>240382100</v>
      </c>
      <c r="D354" s="20">
        <v>252349877</v>
      </c>
      <c r="E354" s="56">
        <v>-4.74</v>
      </c>
      <c r="F354" s="57">
        <v>21565807</v>
      </c>
      <c r="G354" s="57">
        <v>13441879</v>
      </c>
      <c r="H354" s="57" t="s">
        <v>6316</v>
      </c>
      <c r="I354" s="57" t="s">
        <v>6316</v>
      </c>
      <c r="J354" s="57">
        <v>12795690</v>
      </c>
      <c r="K354" s="57">
        <v>7852688</v>
      </c>
      <c r="L354" s="56">
        <v>62.95</v>
      </c>
      <c r="M354" s="20">
        <v>149684080</v>
      </c>
      <c r="N354" s="56">
        <v>0.88</v>
      </c>
      <c r="O354" s="56">
        <v>0.54</v>
      </c>
      <c r="P354" s="58">
        <v>12.85</v>
      </c>
      <c r="Q354" s="59">
        <v>6.1944924880691996</v>
      </c>
      <c r="R354" s="59">
        <v>0</v>
      </c>
      <c r="S354" s="59">
        <v>0</v>
      </c>
      <c r="X354" s="2">
        <f t="shared" si="15"/>
        <v>0.93805507511930797</v>
      </c>
      <c r="Y354" s="2">
        <f>SUMIF(收盤價!A:A,A354,收盤價!C:C)</f>
        <v>9.73</v>
      </c>
      <c r="Z354" s="2">
        <f t="shared" si="16"/>
        <v>192344042.80000001</v>
      </c>
      <c r="AA354" s="2">
        <f t="shared" si="17"/>
        <v>145642609.84</v>
      </c>
    </row>
    <row r="355" spans="1:27" ht="14.5" customHeight="1">
      <c r="A355" s="19" t="s">
        <v>5029</v>
      </c>
      <c r="B355" s="3" t="s">
        <v>983</v>
      </c>
      <c r="C355" s="20">
        <v>54522618</v>
      </c>
      <c r="D355" s="20">
        <v>49429234</v>
      </c>
      <c r="E355" s="56">
        <v>10.3</v>
      </c>
      <c r="F355" s="57">
        <v>23070276</v>
      </c>
      <c r="G355" s="57">
        <v>20337357</v>
      </c>
      <c r="H355" s="57" t="s">
        <v>6316</v>
      </c>
      <c r="I355" s="57" t="s">
        <v>6316</v>
      </c>
      <c r="J355" s="57">
        <v>20105129</v>
      </c>
      <c r="K355" s="57">
        <v>17068493</v>
      </c>
      <c r="L355" s="56">
        <v>17.79</v>
      </c>
      <c r="M355" s="20">
        <v>116195000</v>
      </c>
      <c r="N355" s="56">
        <v>1.73</v>
      </c>
      <c r="O355" s="56">
        <v>1.47</v>
      </c>
      <c r="P355" s="58">
        <v>14.89</v>
      </c>
      <c r="Q355" s="59">
        <v>6.9268658762950004</v>
      </c>
      <c r="R355" s="59">
        <v>0</v>
      </c>
      <c r="S355" s="59">
        <v>0</v>
      </c>
      <c r="X355" s="2">
        <f t="shared" si="15"/>
        <v>0.93073134123705004</v>
      </c>
      <c r="Y355" s="2">
        <f>SUMIF(收盤價!A:A,A355,收盤價!C:C)</f>
        <v>27.9</v>
      </c>
      <c r="Z355" s="2">
        <f t="shared" si="16"/>
        <v>173014355</v>
      </c>
      <c r="AA355" s="2">
        <f t="shared" si="17"/>
        <v>324184050</v>
      </c>
    </row>
    <row r="356" spans="1:27" ht="14.5" customHeight="1">
      <c r="A356" s="19" t="s">
        <v>5030</v>
      </c>
      <c r="B356" s="3" t="s">
        <v>985</v>
      </c>
      <c r="C356" s="20">
        <v>107608077</v>
      </c>
      <c r="D356" s="20">
        <v>101279573</v>
      </c>
      <c r="E356" s="56">
        <v>6.25</v>
      </c>
      <c r="F356" s="57">
        <v>25540897</v>
      </c>
      <c r="G356" s="57">
        <v>24199572</v>
      </c>
      <c r="H356" s="57" t="s">
        <v>6316</v>
      </c>
      <c r="I356" s="57" t="s">
        <v>6316</v>
      </c>
      <c r="J356" s="57">
        <v>20445508</v>
      </c>
      <c r="K356" s="57">
        <v>18679208</v>
      </c>
      <c r="L356" s="56">
        <v>9.4600000000000009</v>
      </c>
      <c r="M356" s="20">
        <v>116706115</v>
      </c>
      <c r="N356" s="56">
        <v>1.75</v>
      </c>
      <c r="O356" s="56">
        <v>1.59</v>
      </c>
      <c r="P356" s="58">
        <v>19.899999999999999</v>
      </c>
      <c r="Q356" s="59">
        <v>9.6176653874353306</v>
      </c>
      <c r="R356" s="59">
        <v>0</v>
      </c>
      <c r="S356" s="59">
        <v>0</v>
      </c>
      <c r="X356" s="2">
        <f t="shared" si="15"/>
        <v>0.90382334612564674</v>
      </c>
      <c r="Y356" s="2">
        <f>SUMIF(收盤價!A:A,A356,收盤價!C:C)</f>
        <v>20.2</v>
      </c>
      <c r="Z356" s="2">
        <f t="shared" si="16"/>
        <v>232245168.84999999</v>
      </c>
      <c r="AA356" s="2">
        <f t="shared" si="17"/>
        <v>235746352.30000001</v>
      </c>
    </row>
    <row r="357" spans="1:27" ht="14.5" customHeight="1">
      <c r="A357" s="19" t="s">
        <v>5031</v>
      </c>
      <c r="B357" s="3" t="s">
        <v>987</v>
      </c>
      <c r="C357" s="20">
        <v>65274862</v>
      </c>
      <c r="D357" s="20">
        <v>61609407</v>
      </c>
      <c r="E357" s="56">
        <v>5.95</v>
      </c>
      <c r="F357" s="57">
        <v>33654274</v>
      </c>
      <c r="G357" s="57">
        <v>31079960</v>
      </c>
      <c r="H357" s="57" t="s">
        <v>6316</v>
      </c>
      <c r="I357" s="57" t="s">
        <v>6316</v>
      </c>
      <c r="J357" s="57">
        <v>28956244</v>
      </c>
      <c r="K357" s="57">
        <v>28109164</v>
      </c>
      <c r="L357" s="56">
        <v>3.01</v>
      </c>
      <c r="M357" s="20">
        <v>135998240</v>
      </c>
      <c r="N357" s="56">
        <v>2.13</v>
      </c>
      <c r="O357" s="56">
        <v>2.0699999999999998</v>
      </c>
      <c r="P357" s="58">
        <v>23.83</v>
      </c>
      <c r="Q357" s="59">
        <v>8.7975307327220307</v>
      </c>
      <c r="R357" s="59">
        <v>0</v>
      </c>
      <c r="S357" s="59">
        <v>0</v>
      </c>
      <c r="X357" s="2">
        <f t="shared" si="15"/>
        <v>0.91202469267277964</v>
      </c>
      <c r="Y357" s="2">
        <f>SUMIF(收盤價!A:A,A357,收盤價!C:C)</f>
        <v>30.6</v>
      </c>
      <c r="Z357" s="2">
        <f t="shared" si="16"/>
        <v>324083805.91999996</v>
      </c>
      <c r="AA357" s="2">
        <f t="shared" si="17"/>
        <v>416154614.39999998</v>
      </c>
    </row>
    <row r="358" spans="1:27" ht="14.5" customHeight="1">
      <c r="A358" s="19" t="s">
        <v>5032</v>
      </c>
      <c r="B358" s="3" t="s">
        <v>989</v>
      </c>
      <c r="C358" s="20">
        <v>43641411</v>
      </c>
      <c r="D358" s="20">
        <v>39748323</v>
      </c>
      <c r="E358" s="56">
        <v>9.7899999999999991</v>
      </c>
      <c r="F358" s="57">
        <v>16273574</v>
      </c>
      <c r="G358" s="57">
        <v>14236383</v>
      </c>
      <c r="H358" s="57" t="s">
        <v>6316</v>
      </c>
      <c r="I358" s="57" t="s">
        <v>6316</v>
      </c>
      <c r="J358" s="57">
        <v>14488021</v>
      </c>
      <c r="K358" s="57">
        <v>12930583</v>
      </c>
      <c r="L358" s="56">
        <v>12.04</v>
      </c>
      <c r="M358" s="20">
        <v>114578121</v>
      </c>
      <c r="N358" s="56">
        <v>1.19</v>
      </c>
      <c r="O358" s="56">
        <v>1.07</v>
      </c>
      <c r="P358" s="58">
        <v>15.61</v>
      </c>
      <c r="Q358" s="59">
        <v>8.8082003782905005</v>
      </c>
      <c r="R358" s="59">
        <v>0</v>
      </c>
      <c r="S358" s="59">
        <v>0</v>
      </c>
      <c r="X358" s="2">
        <f t="shared" si="15"/>
        <v>0.91191799621709491</v>
      </c>
      <c r="Y358" s="2">
        <f>SUMIF(收盤價!A:A,A358,收盤價!C:C)</f>
        <v>14.5</v>
      </c>
      <c r="Z358" s="2">
        <f t="shared" si="16"/>
        <v>178856446.88099998</v>
      </c>
      <c r="AA358" s="2">
        <f t="shared" si="17"/>
        <v>166138275.44999999</v>
      </c>
    </row>
    <row r="359" spans="1:27" ht="14.5" customHeight="1">
      <c r="A359" s="19" t="s">
        <v>5037</v>
      </c>
      <c r="B359" s="3" t="s">
        <v>991</v>
      </c>
      <c r="C359" s="20">
        <v>277040281</v>
      </c>
      <c r="D359" s="20">
        <v>252859691</v>
      </c>
      <c r="E359" s="56">
        <v>9.56</v>
      </c>
      <c r="F359" s="57">
        <v>15290436</v>
      </c>
      <c r="G359" s="57">
        <v>11034716</v>
      </c>
      <c r="H359" s="57" t="s">
        <v>6316</v>
      </c>
      <c r="I359" s="57" t="s">
        <v>6316</v>
      </c>
      <c r="J359" s="57">
        <v>16562137</v>
      </c>
      <c r="K359" s="57">
        <v>9753791</v>
      </c>
      <c r="L359" s="56">
        <v>69.8</v>
      </c>
      <c r="M359" s="20">
        <v>126753941</v>
      </c>
      <c r="N359" s="56">
        <v>1.34</v>
      </c>
      <c r="O359" s="56">
        <v>0.89</v>
      </c>
      <c r="P359" s="58">
        <v>15.42</v>
      </c>
      <c r="Q359" s="59">
        <v>4.8954673934812503</v>
      </c>
      <c r="R359" s="59">
        <v>0</v>
      </c>
      <c r="S359" s="59">
        <v>0</v>
      </c>
      <c r="X359" s="2">
        <f t="shared" si="15"/>
        <v>0.95104532606518744</v>
      </c>
      <c r="Y359" s="2">
        <f>SUMIF(收盤價!A:A,A359,收盤價!C:C)</f>
        <v>10.35</v>
      </c>
      <c r="Z359" s="2">
        <f t="shared" si="16"/>
        <v>195454577.02200001</v>
      </c>
      <c r="AA359" s="2">
        <f t="shared" si="17"/>
        <v>131190328.93499999</v>
      </c>
    </row>
    <row r="360" spans="1:27" ht="14.5" customHeight="1">
      <c r="A360" s="19" t="s">
        <v>5040</v>
      </c>
      <c r="B360" s="3" t="s">
        <v>993</v>
      </c>
      <c r="C360" s="20">
        <v>6975029</v>
      </c>
      <c r="D360" s="20">
        <v>5588633</v>
      </c>
      <c r="E360" s="56">
        <v>24.81</v>
      </c>
      <c r="F360" s="57">
        <v>3571292</v>
      </c>
      <c r="G360" s="57">
        <v>2642439</v>
      </c>
      <c r="H360" s="57" t="s">
        <v>6316</v>
      </c>
      <c r="I360" s="57" t="s">
        <v>6316</v>
      </c>
      <c r="J360" s="57">
        <v>2629834</v>
      </c>
      <c r="K360" s="57">
        <v>2021559</v>
      </c>
      <c r="L360" s="56">
        <v>30.09</v>
      </c>
      <c r="M360" s="20">
        <v>28480646</v>
      </c>
      <c r="N360" s="56">
        <v>0.92</v>
      </c>
      <c r="O360" s="56">
        <v>0.71</v>
      </c>
      <c r="P360" s="58">
        <v>12.53</v>
      </c>
      <c r="Q360" s="59">
        <v>12.457592551405099</v>
      </c>
      <c r="R360" s="59">
        <v>0</v>
      </c>
      <c r="S360" s="59">
        <v>0</v>
      </c>
      <c r="X360" s="2">
        <f t="shared" si="15"/>
        <v>0.87542407448594906</v>
      </c>
      <c r="Y360" s="2">
        <f>SUMIF(收盤價!A:A,A360,收盤價!C:C)</f>
        <v>11.25</v>
      </c>
      <c r="Z360" s="2">
        <f t="shared" si="16"/>
        <v>35686249.438000001</v>
      </c>
      <c r="AA360" s="2">
        <f t="shared" si="17"/>
        <v>32040726.75</v>
      </c>
    </row>
    <row r="361" spans="1:27" ht="14.5" customHeight="1">
      <c r="A361" s="19" t="s">
        <v>5041</v>
      </c>
      <c r="B361" s="3" t="s">
        <v>995</v>
      </c>
      <c r="C361" s="20">
        <v>36329883</v>
      </c>
      <c r="D361" s="20">
        <v>32112956</v>
      </c>
      <c r="E361" s="56">
        <v>13.13</v>
      </c>
      <c r="F361" s="57">
        <v>14256638</v>
      </c>
      <c r="G361" s="57">
        <v>11252925</v>
      </c>
      <c r="H361" s="57" t="s">
        <v>6316</v>
      </c>
      <c r="I361" s="57" t="s">
        <v>6316</v>
      </c>
      <c r="J361" s="57">
        <v>12477021</v>
      </c>
      <c r="K361" s="57">
        <v>9428419</v>
      </c>
      <c r="L361" s="56">
        <v>32.33</v>
      </c>
      <c r="M361" s="20">
        <v>112710541</v>
      </c>
      <c r="N361" s="56">
        <v>1.1100000000000001</v>
      </c>
      <c r="O361" s="56">
        <v>0.84</v>
      </c>
      <c r="P361" s="58">
        <v>13.16</v>
      </c>
      <c r="Q361" s="59">
        <v>8.0934324507561595</v>
      </c>
      <c r="R361" s="59">
        <v>0</v>
      </c>
      <c r="S361" s="59">
        <v>0</v>
      </c>
      <c r="X361" s="2">
        <f t="shared" si="15"/>
        <v>0.91906567549243845</v>
      </c>
      <c r="Y361" s="2">
        <f>SUMIF(收盤價!A:A,A361,收盤價!C:C)</f>
        <v>13</v>
      </c>
      <c r="Z361" s="2">
        <f t="shared" si="16"/>
        <v>148327071.956</v>
      </c>
      <c r="AA361" s="2">
        <f t="shared" si="17"/>
        <v>146523703.30000001</v>
      </c>
    </row>
    <row r="362" spans="1:27" ht="14.5" customHeight="1">
      <c r="A362" s="19" t="s">
        <v>5042</v>
      </c>
      <c r="B362" s="3" t="s">
        <v>997</v>
      </c>
      <c r="C362" s="20">
        <v>264717728</v>
      </c>
      <c r="D362" s="20">
        <v>314374591</v>
      </c>
      <c r="E362" s="56">
        <v>-15.8</v>
      </c>
      <c r="F362" s="57">
        <v>51809078</v>
      </c>
      <c r="G362" s="57">
        <v>42389499</v>
      </c>
      <c r="H362" s="57" t="s">
        <v>6316</v>
      </c>
      <c r="I362" s="57" t="s">
        <v>6316</v>
      </c>
      <c r="J362" s="57">
        <v>42879806</v>
      </c>
      <c r="K362" s="57">
        <v>36032425</v>
      </c>
      <c r="L362" s="56">
        <v>19</v>
      </c>
      <c r="M362" s="20">
        <v>199969796</v>
      </c>
      <c r="N362" s="56">
        <v>2.16</v>
      </c>
      <c r="O362" s="56">
        <v>1.85</v>
      </c>
      <c r="P362" s="58">
        <v>19.059999999999999</v>
      </c>
      <c r="Q362" s="59">
        <v>6.12818877333385</v>
      </c>
      <c r="R362" s="59">
        <v>0</v>
      </c>
      <c r="S362" s="59">
        <v>0</v>
      </c>
      <c r="X362" s="2">
        <f t="shared" si="15"/>
        <v>0.93871811226666158</v>
      </c>
      <c r="Y362" s="2">
        <f>SUMIF(收盤價!A:A,A362,收盤價!C:C)</f>
        <v>22.4</v>
      </c>
      <c r="Z362" s="2">
        <f t="shared" si="16"/>
        <v>381142431.176</v>
      </c>
      <c r="AA362" s="2">
        <f t="shared" si="17"/>
        <v>447932343.03999996</v>
      </c>
    </row>
    <row r="363" spans="1:27" ht="14.5" customHeight="1">
      <c r="A363" s="19" t="s">
        <v>5047</v>
      </c>
      <c r="B363" s="3" t="s">
        <v>999</v>
      </c>
      <c r="C363" s="20">
        <v>62317874</v>
      </c>
      <c r="D363" s="20">
        <v>60248746</v>
      </c>
      <c r="E363" s="56">
        <v>3.43</v>
      </c>
      <c r="F363" s="57">
        <v>23308556</v>
      </c>
      <c r="G363" s="57">
        <v>20702596</v>
      </c>
      <c r="H363" s="57" t="s">
        <v>6316</v>
      </c>
      <c r="I363" s="57" t="s">
        <v>6316</v>
      </c>
      <c r="J363" s="57">
        <v>19368751</v>
      </c>
      <c r="K363" s="57">
        <v>17332199</v>
      </c>
      <c r="L363" s="56">
        <v>11.75</v>
      </c>
      <c r="M363" s="20">
        <v>124619428</v>
      </c>
      <c r="N363" s="56">
        <v>1.55</v>
      </c>
      <c r="O363" s="56">
        <v>1.39</v>
      </c>
      <c r="P363" s="58">
        <v>17.63</v>
      </c>
      <c r="Q363" s="59">
        <v>6.8521505260870903</v>
      </c>
      <c r="R363" s="59">
        <v>0</v>
      </c>
      <c r="S363" s="59">
        <v>0</v>
      </c>
      <c r="X363" s="2">
        <f t="shared" si="15"/>
        <v>0.93147849473912914</v>
      </c>
      <c r="Y363" s="2">
        <f>SUMIF(收盤價!A:A,A363,收盤價!C:C)</f>
        <v>23.7</v>
      </c>
      <c r="Z363" s="2">
        <f t="shared" si="16"/>
        <v>219704051.56399998</v>
      </c>
      <c r="AA363" s="2">
        <f t="shared" si="17"/>
        <v>295348044.36000001</v>
      </c>
    </row>
    <row r="364" spans="1:27" ht="14.5" customHeight="1">
      <c r="A364" s="19" t="s">
        <v>5048</v>
      </c>
      <c r="B364" s="3" t="s">
        <v>1001</v>
      </c>
      <c r="C364" s="20">
        <v>8311951</v>
      </c>
      <c r="D364" s="20">
        <v>7821913</v>
      </c>
      <c r="E364" s="56">
        <v>6.26</v>
      </c>
      <c r="F364" s="57">
        <v>2712235</v>
      </c>
      <c r="G364" s="57">
        <v>2670478</v>
      </c>
      <c r="H364" s="57" t="s">
        <v>6316</v>
      </c>
      <c r="I364" s="57" t="s">
        <v>6316</v>
      </c>
      <c r="J364" s="57">
        <v>1100433</v>
      </c>
      <c r="K364" s="57">
        <v>954659</v>
      </c>
      <c r="L364" s="56">
        <v>15.27</v>
      </c>
      <c r="M364" s="20">
        <v>27130063</v>
      </c>
      <c r="N364" s="56">
        <v>0.45</v>
      </c>
      <c r="O364" s="56">
        <v>0.4</v>
      </c>
      <c r="P364" s="58">
        <v>12.26</v>
      </c>
      <c r="Q364" s="59">
        <v>5.9317285626758398</v>
      </c>
      <c r="R364" s="59">
        <v>0</v>
      </c>
      <c r="S364" s="59">
        <v>0</v>
      </c>
      <c r="X364" s="2">
        <f t="shared" si="15"/>
        <v>0.94068271437324158</v>
      </c>
      <c r="Y364" s="2">
        <f>SUMIF(收盤價!A:A,A364,收盤價!C:C)</f>
        <v>7.81</v>
      </c>
      <c r="Z364" s="2">
        <f t="shared" si="16"/>
        <v>33261457.237999998</v>
      </c>
      <c r="AA364" s="2">
        <f t="shared" si="17"/>
        <v>21188579.203000002</v>
      </c>
    </row>
    <row r="365" spans="1:27" ht="14.5" customHeight="1">
      <c r="A365" s="19" t="s">
        <v>5051</v>
      </c>
      <c r="B365" s="3" t="s">
        <v>1498</v>
      </c>
      <c r="C365" s="20">
        <v>40951272</v>
      </c>
      <c r="D365" s="20">
        <v>37078374</v>
      </c>
      <c r="E365" s="56">
        <v>10.45</v>
      </c>
      <c r="F365" s="57">
        <v>24630823</v>
      </c>
      <c r="G365" s="57">
        <v>22936681</v>
      </c>
      <c r="H365" s="57" t="s">
        <v>6316</v>
      </c>
      <c r="I365" s="57" t="s">
        <v>6316</v>
      </c>
      <c r="J365" s="57">
        <v>14661111</v>
      </c>
      <c r="K365" s="57">
        <v>13711971</v>
      </c>
      <c r="L365" s="56">
        <v>6.92</v>
      </c>
      <c r="M365" s="20">
        <v>44816031</v>
      </c>
      <c r="N365" s="56">
        <v>3.5</v>
      </c>
      <c r="O365" s="56">
        <v>3.37</v>
      </c>
      <c r="P365" s="58">
        <v>34.35</v>
      </c>
      <c r="Q365" s="59">
        <v>7.3988639522295996</v>
      </c>
      <c r="R365" s="59">
        <v>0</v>
      </c>
      <c r="S365" s="59">
        <v>0</v>
      </c>
      <c r="X365" s="2">
        <f t="shared" si="15"/>
        <v>0.92601136047770394</v>
      </c>
      <c r="Y365" s="2">
        <f>SUMIF(收盤價!A:A,A365,收盤價!C:C)</f>
        <v>52</v>
      </c>
      <c r="Z365" s="2">
        <f t="shared" si="16"/>
        <v>153943066.48500001</v>
      </c>
      <c r="AA365" s="2">
        <f t="shared" si="17"/>
        <v>233043361.19999999</v>
      </c>
    </row>
    <row r="366" spans="1:27" ht="14.5" customHeight="1">
      <c r="A366" s="19" t="s">
        <v>5052</v>
      </c>
      <c r="B366" s="3" t="s">
        <v>1500</v>
      </c>
      <c r="C366" s="20">
        <v>49096125</v>
      </c>
      <c r="D366" s="20">
        <v>46872679</v>
      </c>
      <c r="E366" s="56">
        <v>4.74</v>
      </c>
      <c r="F366" s="57">
        <v>20723644</v>
      </c>
      <c r="G366" s="57">
        <v>18381271</v>
      </c>
      <c r="H366" s="57" t="s">
        <v>6316</v>
      </c>
      <c r="I366" s="57" t="s">
        <v>6316</v>
      </c>
      <c r="J366" s="57">
        <v>17235959</v>
      </c>
      <c r="K366" s="57">
        <v>15618243</v>
      </c>
      <c r="L366" s="56">
        <v>10.36</v>
      </c>
      <c r="M366" s="20">
        <v>129458483</v>
      </c>
      <c r="N366" s="56">
        <v>1.33</v>
      </c>
      <c r="O366" s="56">
        <v>1.21</v>
      </c>
      <c r="P366" s="58">
        <v>17.100000000000001</v>
      </c>
      <c r="Q366" s="59">
        <v>5.9211285346901503</v>
      </c>
      <c r="R366" s="59">
        <v>0</v>
      </c>
      <c r="S366" s="59">
        <v>0</v>
      </c>
      <c r="X366" s="2">
        <f t="shared" si="15"/>
        <v>0.94078871465309843</v>
      </c>
      <c r="Y366" s="2">
        <f>SUMIF(收盤價!A:A,A366,收盤價!C:C)</f>
        <v>20.75</v>
      </c>
      <c r="Z366" s="2">
        <f t="shared" si="16"/>
        <v>221374005.93000001</v>
      </c>
      <c r="AA366" s="2">
        <f t="shared" si="17"/>
        <v>268626352.22500002</v>
      </c>
    </row>
    <row r="367" spans="1:27" ht="14.5" customHeight="1">
      <c r="A367" s="19" t="s">
        <v>5053</v>
      </c>
      <c r="B367" s="3" t="s">
        <v>1506</v>
      </c>
      <c r="C367" s="20">
        <v>7796951</v>
      </c>
      <c r="D367" s="20">
        <v>7638645</v>
      </c>
      <c r="E367" s="56">
        <v>2.0699999999999998</v>
      </c>
      <c r="F367" s="57">
        <v>1993246</v>
      </c>
      <c r="G367" s="57">
        <v>1173168</v>
      </c>
      <c r="H367" s="57">
        <v>1234851</v>
      </c>
      <c r="I367" s="57">
        <v>1153362</v>
      </c>
      <c r="J367" s="57">
        <v>2566823</v>
      </c>
      <c r="K367" s="57">
        <v>1408865</v>
      </c>
      <c r="L367" s="56">
        <v>82.19</v>
      </c>
      <c r="M367" s="20">
        <v>23209081</v>
      </c>
      <c r="N367" s="56">
        <v>1.1100000000000001</v>
      </c>
      <c r="O367" s="56">
        <v>0.61</v>
      </c>
      <c r="P367" s="58">
        <v>15.64</v>
      </c>
      <c r="Q367" s="59">
        <v>25.5256698798404</v>
      </c>
      <c r="R367" s="59">
        <v>1.2251456547961901</v>
      </c>
      <c r="S367" s="59">
        <v>1.01253282197419</v>
      </c>
      <c r="X367" s="2">
        <f t="shared" si="15"/>
        <v>0.74474330120159604</v>
      </c>
      <c r="Y367" s="2">
        <f>SUMIF(收盤價!A:A,A367,收盤價!C:C)</f>
        <v>11.25</v>
      </c>
      <c r="Z367" s="2">
        <f t="shared" si="16"/>
        <v>36299002.684</v>
      </c>
      <c r="AA367" s="2">
        <f t="shared" si="17"/>
        <v>26110216.125</v>
      </c>
    </row>
    <row r="368" spans="1:27" ht="14.5" customHeight="1">
      <c r="A368" s="19" t="s">
        <v>5054</v>
      </c>
      <c r="B368" s="3" t="s">
        <v>1508</v>
      </c>
      <c r="C368" s="20">
        <v>1919015</v>
      </c>
      <c r="D368" s="20">
        <v>2814164</v>
      </c>
      <c r="E368" s="56">
        <v>-31.81</v>
      </c>
      <c r="F368" s="57">
        <v>177662</v>
      </c>
      <c r="G368" s="57">
        <v>527531</v>
      </c>
      <c r="H368" s="57">
        <v>568952</v>
      </c>
      <c r="I368" s="57">
        <v>427445</v>
      </c>
      <c r="J368" s="57">
        <v>600009</v>
      </c>
      <c r="K368" s="57">
        <v>835205</v>
      </c>
      <c r="L368" s="56">
        <v>-28.16</v>
      </c>
      <c r="M368" s="20">
        <v>1764376</v>
      </c>
      <c r="N368" s="56">
        <v>3.4</v>
      </c>
      <c r="O368" s="56">
        <v>4.7300000000000004</v>
      </c>
      <c r="P368" s="58">
        <v>28.41</v>
      </c>
      <c r="Q368" s="59">
        <v>12.179021309295599</v>
      </c>
      <c r="R368" s="59">
        <v>1.12497037453295</v>
      </c>
      <c r="S368" s="59">
        <v>1.11618594214859</v>
      </c>
      <c r="X368" s="2">
        <f t="shared" si="15"/>
        <v>0.8782097869070441</v>
      </c>
      <c r="Y368" s="2">
        <f>SUMIF(收盤價!A:A,A368,收盤價!C:C)</f>
        <v>43.2</v>
      </c>
      <c r="Z368" s="2">
        <f t="shared" si="16"/>
        <v>5012592.216</v>
      </c>
      <c r="AA368" s="2">
        <f t="shared" si="17"/>
        <v>7622104.3200000003</v>
      </c>
    </row>
    <row r="369" spans="1:27" ht="14.5" customHeight="1">
      <c r="A369" s="19" t="s">
        <v>5055</v>
      </c>
      <c r="B369" s="3" t="s">
        <v>150</v>
      </c>
      <c r="C369" s="20">
        <v>1170450</v>
      </c>
      <c r="D369" s="20">
        <v>1020869</v>
      </c>
      <c r="E369" s="56">
        <v>14.65</v>
      </c>
      <c r="F369" s="57">
        <v>-205773</v>
      </c>
      <c r="G369" s="57">
        <v>-228006</v>
      </c>
      <c r="H369" s="57">
        <v>-439167</v>
      </c>
      <c r="I369" s="57">
        <v>11720</v>
      </c>
      <c r="J369" s="57">
        <v>-510853</v>
      </c>
      <c r="K369" s="57">
        <v>-184429</v>
      </c>
      <c r="L369" s="56"/>
      <c r="M369" s="20">
        <v>1679376</v>
      </c>
      <c r="N369" s="56">
        <v>-3.04</v>
      </c>
      <c r="O369" s="56">
        <v>-1.1000000000000001</v>
      </c>
      <c r="P369" s="58">
        <v>6.62</v>
      </c>
      <c r="Q369" s="59">
        <v>19.362157428369699</v>
      </c>
      <c r="R369" s="59">
        <v>0.915740719239581</v>
      </c>
      <c r="S369" s="59">
        <v>0.25088918044461</v>
      </c>
      <c r="X369" s="2">
        <f t="shared" si="15"/>
        <v>0.80637842571630303</v>
      </c>
      <c r="Y369" s="2">
        <f>SUMIF(收盤價!A:A,A369,收盤價!C:C)</f>
        <v>6.75</v>
      </c>
      <c r="Z369" s="2">
        <f t="shared" si="16"/>
        <v>1111746.912</v>
      </c>
      <c r="AA369" s="2">
        <f t="shared" si="17"/>
        <v>1133578.8</v>
      </c>
    </row>
    <row r="370" spans="1:27" ht="14.5" customHeight="1">
      <c r="A370" s="19" t="s">
        <v>5056</v>
      </c>
      <c r="B370" s="3" t="s">
        <v>869</v>
      </c>
      <c r="C370" s="20">
        <v>8132005</v>
      </c>
      <c r="D370" s="20">
        <v>8043875</v>
      </c>
      <c r="E370" s="56">
        <v>1.1000000000000001</v>
      </c>
      <c r="F370" s="57">
        <v>1420684</v>
      </c>
      <c r="G370" s="57">
        <v>1308248</v>
      </c>
      <c r="H370" s="57">
        <v>594342</v>
      </c>
      <c r="I370" s="57">
        <v>-868080</v>
      </c>
      <c r="J370" s="57">
        <v>1404377</v>
      </c>
      <c r="K370" s="57">
        <v>6400</v>
      </c>
      <c r="L370" s="56">
        <v>21843.39</v>
      </c>
      <c r="M370" s="20">
        <v>6308832</v>
      </c>
      <c r="N370" s="56">
        <v>2.23</v>
      </c>
      <c r="O370" s="56">
        <v>0.01</v>
      </c>
      <c r="P370" s="58">
        <v>14.49</v>
      </c>
      <c r="Q370" s="59">
        <v>23.886760213970501</v>
      </c>
      <c r="R370" s="59">
        <v>0.78737363779460001</v>
      </c>
      <c r="S370" s="59">
        <v>0.58948612248416898</v>
      </c>
      <c r="X370" s="2">
        <f t="shared" si="15"/>
        <v>0.76113239786029496</v>
      </c>
      <c r="Y370" s="2">
        <f>SUMIF(收盤價!A:A,A370,收盤價!C:C)</f>
        <v>11.1</v>
      </c>
      <c r="Z370" s="2">
        <f t="shared" si="16"/>
        <v>9141497.568</v>
      </c>
      <c r="AA370" s="2">
        <f t="shared" si="17"/>
        <v>7002803.5200000005</v>
      </c>
    </row>
    <row r="371" spans="1:27" ht="14.5" customHeight="1">
      <c r="A371" s="19" t="s">
        <v>5058</v>
      </c>
      <c r="B371" s="3" t="s">
        <v>1003</v>
      </c>
      <c r="C371" s="20">
        <v>137649</v>
      </c>
      <c r="D371" s="20">
        <v>141025</v>
      </c>
      <c r="E371" s="56">
        <v>-2.39</v>
      </c>
      <c r="F371" s="57">
        <v>32975</v>
      </c>
      <c r="G371" s="57">
        <v>31713</v>
      </c>
      <c r="H371" s="57">
        <v>7880</v>
      </c>
      <c r="I371" s="57">
        <v>7430</v>
      </c>
      <c r="J371" s="57">
        <v>32717</v>
      </c>
      <c r="K371" s="57">
        <v>31660</v>
      </c>
      <c r="L371" s="56">
        <v>3.34</v>
      </c>
      <c r="M371" s="20">
        <v>730433</v>
      </c>
      <c r="N371" s="56">
        <v>0.45</v>
      </c>
      <c r="O371" s="56">
        <v>0.43</v>
      </c>
      <c r="P371" s="58">
        <v>11.98</v>
      </c>
      <c r="Q371" s="59">
        <v>87.921401924170297</v>
      </c>
      <c r="R371" s="59">
        <v>8.4007074896316194</v>
      </c>
      <c r="S371" s="59">
        <v>8.1674392128161308</v>
      </c>
      <c r="X371" s="2">
        <f t="shared" si="15"/>
        <v>0.12078598075829702</v>
      </c>
      <c r="Y371" s="2">
        <f>SUMIF(收盤價!A:A,A371,收盤價!C:C)</f>
        <v>24</v>
      </c>
      <c r="Z371" s="2">
        <f t="shared" si="16"/>
        <v>875058.73399999994</v>
      </c>
      <c r="AA371" s="2">
        <f t="shared" si="17"/>
        <v>1753039.2</v>
      </c>
    </row>
    <row r="372" spans="1:27" ht="14.5" customHeight="1">
      <c r="A372" s="19" t="s">
        <v>5059</v>
      </c>
      <c r="B372" s="3" t="s">
        <v>1005</v>
      </c>
      <c r="C372" s="20">
        <v>37896062</v>
      </c>
      <c r="D372" s="20">
        <v>39242551</v>
      </c>
      <c r="E372" s="56">
        <v>-3.43</v>
      </c>
      <c r="F372" s="57">
        <v>4538651</v>
      </c>
      <c r="G372" s="57">
        <v>4187329</v>
      </c>
      <c r="H372" s="57">
        <v>-1435713</v>
      </c>
      <c r="I372" s="57">
        <v>-1638214</v>
      </c>
      <c r="J372" s="57">
        <v>1781843</v>
      </c>
      <c r="K372" s="57">
        <v>1318150</v>
      </c>
      <c r="L372" s="56">
        <v>35.18</v>
      </c>
      <c r="M372" s="20">
        <v>14169406</v>
      </c>
      <c r="N372" s="56">
        <v>1.26</v>
      </c>
      <c r="O372" s="56">
        <v>0.94</v>
      </c>
      <c r="P372" s="58">
        <v>21.86</v>
      </c>
      <c r="Q372" s="59">
        <v>23.592173248399099</v>
      </c>
      <c r="R372" s="59">
        <v>0.43522289862479402</v>
      </c>
      <c r="S372" s="59">
        <v>0.329453501439056</v>
      </c>
      <c r="X372" s="2">
        <f t="shared" si="15"/>
        <v>0.76407826751600905</v>
      </c>
      <c r="Y372" s="2">
        <f>SUMIF(收盤價!A:A,A372,收盤價!C:C)</f>
        <v>26.05</v>
      </c>
      <c r="Z372" s="2">
        <f t="shared" si="16"/>
        <v>30974321.515999995</v>
      </c>
      <c r="AA372" s="2">
        <f t="shared" si="17"/>
        <v>36911302.630000003</v>
      </c>
    </row>
    <row r="373" spans="1:27" ht="14.5" customHeight="1">
      <c r="A373" s="19" t="s">
        <v>5060</v>
      </c>
      <c r="B373" s="3" t="s">
        <v>1009</v>
      </c>
      <c r="C373" s="20">
        <v>229285364</v>
      </c>
      <c r="D373" s="20">
        <v>225193699</v>
      </c>
      <c r="E373" s="56">
        <v>1.82</v>
      </c>
      <c r="F373" s="57">
        <v>7183336</v>
      </c>
      <c r="G373" s="57">
        <v>-328223</v>
      </c>
      <c r="H373" s="57" t="s">
        <v>6316</v>
      </c>
      <c r="I373" s="57" t="s">
        <v>6316</v>
      </c>
      <c r="J373" s="57">
        <v>3494833</v>
      </c>
      <c r="K373" s="57">
        <v>332019</v>
      </c>
      <c r="L373" s="56">
        <v>952.6</v>
      </c>
      <c r="M373" s="20">
        <v>8266827</v>
      </c>
      <c r="N373" s="56">
        <v>4.4800000000000004</v>
      </c>
      <c r="O373" s="56">
        <v>0.43</v>
      </c>
      <c r="P373" s="58">
        <v>23.15</v>
      </c>
      <c r="Q373" s="59">
        <v>1.40459540933358</v>
      </c>
      <c r="R373" s="59">
        <v>12.3166030345638</v>
      </c>
      <c r="S373" s="59">
        <v>0</v>
      </c>
      <c r="X373" s="2">
        <f t="shared" si="15"/>
        <v>0.98595404590666424</v>
      </c>
      <c r="Y373" s="2">
        <f>SUMIF(收盤價!A:A,A373,收盤價!C:C)</f>
        <v>21.65</v>
      </c>
      <c r="Z373" s="2">
        <f t="shared" si="16"/>
        <v>19137704.504999999</v>
      </c>
      <c r="AA373" s="2">
        <f t="shared" si="17"/>
        <v>17897680.454999998</v>
      </c>
    </row>
    <row r="374" spans="1:27" ht="14.5" customHeight="1">
      <c r="A374" s="19" t="s">
        <v>5061</v>
      </c>
      <c r="B374" s="3" t="s">
        <v>1011</v>
      </c>
      <c r="C374" s="20">
        <v>7224546</v>
      </c>
      <c r="D374" s="20">
        <v>6936134</v>
      </c>
      <c r="E374" s="56">
        <v>4.16</v>
      </c>
      <c r="F374" s="57">
        <v>261187</v>
      </c>
      <c r="G374" s="57">
        <v>191396</v>
      </c>
      <c r="H374" s="57">
        <v>29345</v>
      </c>
      <c r="I374" s="57">
        <v>69796</v>
      </c>
      <c r="J374" s="57">
        <v>62894</v>
      </c>
      <c r="K374" s="57">
        <v>36127</v>
      </c>
      <c r="L374" s="56">
        <v>74.09</v>
      </c>
      <c r="M374" s="20">
        <v>2091111</v>
      </c>
      <c r="N374" s="56">
        <v>0.3</v>
      </c>
      <c r="O374" s="56">
        <v>0.17</v>
      </c>
      <c r="P374" s="58">
        <v>14.03</v>
      </c>
      <c r="Q374" s="59">
        <v>32.184776415889303</v>
      </c>
      <c r="R374" s="59">
        <v>1.6187812807333799</v>
      </c>
      <c r="S374" s="59">
        <v>1.1010056779203301</v>
      </c>
      <c r="X374" s="2">
        <f t="shared" si="15"/>
        <v>0.67815223584110695</v>
      </c>
      <c r="Y374" s="2">
        <f>SUMIF(收盤價!A:A,A374,收盤價!C:C)</f>
        <v>11.5</v>
      </c>
      <c r="Z374" s="2">
        <f t="shared" si="16"/>
        <v>2933828.733</v>
      </c>
      <c r="AA374" s="2">
        <f t="shared" si="17"/>
        <v>2404777.65</v>
      </c>
    </row>
    <row r="375" spans="1:27" ht="14.5" customHeight="1">
      <c r="A375" s="19" t="s">
        <v>5062</v>
      </c>
      <c r="B375" s="3" t="s">
        <v>1013</v>
      </c>
      <c r="C375" s="20">
        <v>38060813</v>
      </c>
      <c r="D375" s="20">
        <v>39897950</v>
      </c>
      <c r="E375" s="56">
        <v>-4.5999999999999996</v>
      </c>
      <c r="F375" s="57">
        <v>856622</v>
      </c>
      <c r="G375" s="57">
        <v>482642</v>
      </c>
      <c r="H375" s="57">
        <v>-765273</v>
      </c>
      <c r="I375" s="57">
        <v>-136585</v>
      </c>
      <c r="J375" s="57">
        <v>100355</v>
      </c>
      <c r="K375" s="57">
        <v>406493</v>
      </c>
      <c r="L375" s="56">
        <v>-75.31</v>
      </c>
      <c r="M375" s="20">
        <v>5098875</v>
      </c>
      <c r="N375" s="56">
        <v>0.2</v>
      </c>
      <c r="O375" s="56">
        <v>0.8</v>
      </c>
      <c r="P375" s="58">
        <v>12.71</v>
      </c>
      <c r="Q375" s="59">
        <v>17.6509665474921</v>
      </c>
      <c r="R375" s="59">
        <v>1.12989945549052</v>
      </c>
      <c r="S375" s="59">
        <v>0.54989758463224503</v>
      </c>
      <c r="X375" s="2">
        <f t="shared" si="15"/>
        <v>0.82349033452507892</v>
      </c>
      <c r="Y375" s="2">
        <f>SUMIF(收盤價!A:A,A375,收盤價!C:C)</f>
        <v>21.2</v>
      </c>
      <c r="Z375" s="2">
        <f t="shared" si="16"/>
        <v>6480670.1250000009</v>
      </c>
      <c r="AA375" s="2">
        <f t="shared" si="17"/>
        <v>10809615</v>
      </c>
    </row>
    <row r="376" spans="1:27" ht="14.5" customHeight="1">
      <c r="A376" s="19" t="s">
        <v>5063</v>
      </c>
      <c r="B376" s="3" t="s">
        <v>1015</v>
      </c>
      <c r="C376" s="20">
        <v>650176</v>
      </c>
      <c r="D376" s="20">
        <v>462058</v>
      </c>
      <c r="E376" s="56">
        <v>40.71</v>
      </c>
      <c r="F376" s="57">
        <v>107272</v>
      </c>
      <c r="G376" s="57">
        <v>143237</v>
      </c>
      <c r="H376" s="57">
        <v>26094</v>
      </c>
      <c r="I376" s="57">
        <v>-35982</v>
      </c>
      <c r="J376" s="57">
        <v>111785</v>
      </c>
      <c r="K376" s="57">
        <v>90104</v>
      </c>
      <c r="L376" s="56">
        <v>24.06</v>
      </c>
      <c r="M376" s="20">
        <v>2087250</v>
      </c>
      <c r="N376" s="56">
        <v>0.64</v>
      </c>
      <c r="O376" s="56">
        <v>0.51</v>
      </c>
      <c r="P376" s="58">
        <v>13.53</v>
      </c>
      <c r="Q376" s="59">
        <v>37.713346452282799</v>
      </c>
      <c r="R376" s="59">
        <v>0.91777592386602402</v>
      </c>
      <c r="S376" s="59">
        <v>0.26607835867012702</v>
      </c>
      <c r="X376" s="2">
        <f t="shared" si="15"/>
        <v>0.62286653547717197</v>
      </c>
      <c r="Y376" s="2">
        <f>SUMIF(收盤價!A:A,A376,收盤價!C:C)</f>
        <v>39.5</v>
      </c>
      <c r="Z376" s="2">
        <f t="shared" si="16"/>
        <v>2824049.25</v>
      </c>
      <c r="AA376" s="2">
        <f t="shared" si="17"/>
        <v>8244637.5</v>
      </c>
    </row>
    <row r="377" spans="1:27" ht="14.5" customHeight="1">
      <c r="A377" s="19" t="s">
        <v>5064</v>
      </c>
      <c r="B377" s="3" t="s">
        <v>1017</v>
      </c>
      <c r="C377" s="20">
        <v>5049750</v>
      </c>
      <c r="D377" s="20">
        <v>6147542</v>
      </c>
      <c r="E377" s="56">
        <v>-17.86</v>
      </c>
      <c r="F377" s="57">
        <v>-454157</v>
      </c>
      <c r="G377" s="57">
        <v>-152560</v>
      </c>
      <c r="H377" s="57">
        <v>53494</v>
      </c>
      <c r="I377" s="57">
        <v>76450</v>
      </c>
      <c r="J377" s="57">
        <v>-358711</v>
      </c>
      <c r="K377" s="57">
        <v>-90848</v>
      </c>
      <c r="L377" s="56"/>
      <c r="M377" s="20">
        <v>1963248</v>
      </c>
      <c r="N377" s="56">
        <v>-1.84</v>
      </c>
      <c r="O377" s="56">
        <v>-0.45</v>
      </c>
      <c r="P377" s="58">
        <v>13.25</v>
      </c>
      <c r="Q377" s="59">
        <v>45.599197148744402</v>
      </c>
      <c r="R377" s="59">
        <v>1.33807659767242</v>
      </c>
      <c r="S377" s="59">
        <v>0.478752008952887</v>
      </c>
      <c r="X377" s="2">
        <f t="shared" si="15"/>
        <v>0.54400802851255603</v>
      </c>
      <c r="Y377" s="2">
        <f>SUMIF(收盤價!A:A,A377,收盤價!C:C)</f>
        <v>7.58</v>
      </c>
      <c r="Z377" s="2">
        <f t="shared" si="16"/>
        <v>2601303.6</v>
      </c>
      <c r="AA377" s="2">
        <f t="shared" si="17"/>
        <v>1488141.9839999999</v>
      </c>
    </row>
    <row r="378" spans="1:27" ht="14.5" customHeight="1">
      <c r="A378" s="19" t="s">
        <v>5065</v>
      </c>
      <c r="B378" s="3" t="s">
        <v>1019</v>
      </c>
      <c r="C378" s="20">
        <v>256058888</v>
      </c>
      <c r="D378" s="20">
        <v>244887853</v>
      </c>
      <c r="E378" s="56">
        <v>4.5599999999999996</v>
      </c>
      <c r="F378" s="57">
        <v>13049894</v>
      </c>
      <c r="G378" s="57">
        <v>12834824</v>
      </c>
      <c r="H378" s="57">
        <v>2114293</v>
      </c>
      <c r="I378" s="57">
        <v>2567523</v>
      </c>
      <c r="J378" s="57">
        <v>10542860</v>
      </c>
      <c r="K378" s="57">
        <v>10206388</v>
      </c>
      <c r="L378" s="56">
        <v>3.3</v>
      </c>
      <c r="M378" s="20">
        <v>10396223</v>
      </c>
      <c r="N378" s="56">
        <v>10.14</v>
      </c>
      <c r="O378" s="56">
        <v>9.82</v>
      </c>
      <c r="P378" s="58">
        <v>34.840000000000003</v>
      </c>
      <c r="Q378" s="59">
        <v>18.563590723440399</v>
      </c>
      <c r="R378" s="59">
        <v>0.95971661847019396</v>
      </c>
      <c r="S378" s="59">
        <v>0.70343543485416704</v>
      </c>
      <c r="X378" s="2">
        <f t="shared" si="15"/>
        <v>0.81436409276559596</v>
      </c>
      <c r="Y378" s="2">
        <f>SUMIF(收盤價!A:A,A378,收盤價!C:C)</f>
        <v>304</v>
      </c>
      <c r="Z378" s="2">
        <f t="shared" si="16"/>
        <v>36220440.932000004</v>
      </c>
      <c r="AA378" s="2">
        <f t="shared" si="17"/>
        <v>316045179.19999999</v>
      </c>
    </row>
    <row r="379" spans="1:27" ht="14.5" customHeight="1">
      <c r="A379" s="19" t="s">
        <v>5066</v>
      </c>
      <c r="B379" s="3" t="s">
        <v>1021</v>
      </c>
      <c r="C379" s="20">
        <v>298998</v>
      </c>
      <c r="D379" s="20">
        <v>254237</v>
      </c>
      <c r="E379" s="56">
        <v>17.61</v>
      </c>
      <c r="F379" s="57">
        <v>-169026</v>
      </c>
      <c r="G379" s="57">
        <v>-172642</v>
      </c>
      <c r="H379" s="57">
        <v>-3529</v>
      </c>
      <c r="I379" s="57">
        <v>118666</v>
      </c>
      <c r="J379" s="57">
        <v>-145955</v>
      </c>
      <c r="K379" s="57">
        <v>-41988</v>
      </c>
      <c r="L379" s="56"/>
      <c r="M379" s="20">
        <v>7900000</v>
      </c>
      <c r="N379" s="56">
        <v>-0.18</v>
      </c>
      <c r="O379" s="56">
        <v>-0.05</v>
      </c>
      <c r="P379" s="58">
        <v>19.95</v>
      </c>
      <c r="Q379" s="59">
        <v>64.091069613941997</v>
      </c>
      <c r="R379" s="59">
        <v>1.79940310958565</v>
      </c>
      <c r="S379" s="59">
        <v>0.237398126876397</v>
      </c>
      <c r="X379" s="2">
        <f t="shared" si="15"/>
        <v>0.35908930386058002</v>
      </c>
      <c r="Y379" s="2">
        <f>SUMIF(收盤價!A:A,A379,收盤價!C:C)</f>
        <v>16.45</v>
      </c>
      <c r="Z379" s="2">
        <f t="shared" si="16"/>
        <v>15760500</v>
      </c>
      <c r="AA379" s="2">
        <f t="shared" si="17"/>
        <v>12995500</v>
      </c>
    </row>
    <row r="380" spans="1:27" ht="14.5" customHeight="1">
      <c r="A380" s="19" t="s">
        <v>5067</v>
      </c>
      <c r="B380" s="3" t="s">
        <v>1023</v>
      </c>
      <c r="C380" s="20">
        <v>3486392</v>
      </c>
      <c r="D380" s="20">
        <v>10498328</v>
      </c>
      <c r="E380" s="56">
        <v>-66.790000000000006</v>
      </c>
      <c r="F380" s="57">
        <v>-66768</v>
      </c>
      <c r="G380" s="57">
        <v>4853432</v>
      </c>
      <c r="H380" s="57">
        <v>9348950</v>
      </c>
      <c r="I380" s="57">
        <v>8066922</v>
      </c>
      <c r="J380" s="57">
        <v>8794510</v>
      </c>
      <c r="K380" s="57">
        <v>10419575</v>
      </c>
      <c r="L380" s="56">
        <v>-15.6</v>
      </c>
      <c r="M380" s="20">
        <v>5648606</v>
      </c>
      <c r="N380" s="56">
        <v>16.52</v>
      </c>
      <c r="O380" s="56">
        <v>13.55</v>
      </c>
      <c r="P380" s="58">
        <v>136.88999999999999</v>
      </c>
      <c r="Q380" s="59">
        <v>61.9389001049027</v>
      </c>
      <c r="R380" s="59">
        <v>7.2843122237431102</v>
      </c>
      <c r="S380" s="59">
        <v>6.4929289878106902</v>
      </c>
      <c r="X380" s="2">
        <f t="shared" si="15"/>
        <v>0.380610998950973</v>
      </c>
      <c r="Y380" s="2">
        <f>SUMIF(收盤價!A:A,A380,收盤價!C:C)</f>
        <v>73.5</v>
      </c>
      <c r="Z380" s="2">
        <f t="shared" si="16"/>
        <v>77323767.533999994</v>
      </c>
      <c r="AA380" s="2">
        <f t="shared" si="17"/>
        <v>41517254.100000001</v>
      </c>
    </row>
    <row r="381" spans="1:27" ht="14.5" customHeight="1">
      <c r="A381" s="19" t="s">
        <v>5068</v>
      </c>
      <c r="B381" s="3" t="s">
        <v>1027</v>
      </c>
      <c r="C381" s="20">
        <v>7169864</v>
      </c>
      <c r="D381" s="20">
        <v>6764779</v>
      </c>
      <c r="E381" s="56">
        <v>5.99</v>
      </c>
      <c r="F381" s="57">
        <v>1554456</v>
      </c>
      <c r="G381" s="57">
        <v>1341398</v>
      </c>
      <c r="H381" s="57">
        <v>2168</v>
      </c>
      <c r="I381" s="57">
        <v>-17544</v>
      </c>
      <c r="J381" s="57">
        <v>1134819</v>
      </c>
      <c r="K381" s="57">
        <v>953626</v>
      </c>
      <c r="L381" s="56">
        <v>19</v>
      </c>
      <c r="M381" s="20">
        <v>949553</v>
      </c>
      <c r="N381" s="56">
        <v>12.01</v>
      </c>
      <c r="O381" s="56">
        <v>10.06</v>
      </c>
      <c r="P381" s="58">
        <v>59.7</v>
      </c>
      <c r="Q381" s="59">
        <v>70.175720257726695</v>
      </c>
      <c r="R381" s="59">
        <v>3.6646500056815299</v>
      </c>
      <c r="S381" s="59">
        <v>2.91203202932153</v>
      </c>
      <c r="X381" s="2">
        <f t="shared" si="15"/>
        <v>0.29824279742273307</v>
      </c>
      <c r="Y381" s="2">
        <f>SUMIF(收盤價!A:A,A381,收盤價!C:C)</f>
        <v>94.5</v>
      </c>
      <c r="Z381" s="2">
        <f t="shared" si="16"/>
        <v>5668831.4100000001</v>
      </c>
      <c r="AA381" s="2">
        <f t="shared" si="17"/>
        <v>8973275.8499999996</v>
      </c>
    </row>
    <row r="382" spans="1:27" ht="14.5" customHeight="1">
      <c r="A382" s="19" t="s">
        <v>5069</v>
      </c>
      <c r="B382" s="3" t="s">
        <v>1029</v>
      </c>
      <c r="C382" s="20">
        <v>11737383</v>
      </c>
      <c r="D382" s="20">
        <v>12013456</v>
      </c>
      <c r="E382" s="56">
        <v>-2.2999999999999998</v>
      </c>
      <c r="F382" s="57">
        <v>2580</v>
      </c>
      <c r="G382" s="57">
        <v>-2468</v>
      </c>
      <c r="H382" s="57">
        <v>-122188</v>
      </c>
      <c r="I382" s="57">
        <v>-47171</v>
      </c>
      <c r="J382" s="57">
        <v>-72226</v>
      </c>
      <c r="K382" s="57">
        <v>-21950</v>
      </c>
      <c r="L382" s="56"/>
      <c r="M382" s="20">
        <v>765557</v>
      </c>
      <c r="N382" s="56">
        <v>-0.95</v>
      </c>
      <c r="O382" s="56">
        <v>-0.28999999999999998</v>
      </c>
      <c r="P382" s="58">
        <v>33.86</v>
      </c>
      <c r="Q382" s="59">
        <v>42.061527436962102</v>
      </c>
      <c r="R382" s="59">
        <v>1.77467540261665</v>
      </c>
      <c r="S382" s="59">
        <v>0.57666283583579003</v>
      </c>
      <c r="X382" s="2">
        <f t="shared" si="15"/>
        <v>0.57938472563037902</v>
      </c>
      <c r="Y382" s="2">
        <f>SUMIF(收盤價!A:A,A382,收盤價!C:C)</f>
        <v>20</v>
      </c>
      <c r="Z382" s="2">
        <f t="shared" si="16"/>
        <v>2592176.0019999999</v>
      </c>
      <c r="AA382" s="2">
        <f t="shared" si="17"/>
        <v>1531114</v>
      </c>
    </row>
    <row r="383" spans="1:27" ht="14.5" customHeight="1">
      <c r="A383" s="19" t="s">
        <v>5070</v>
      </c>
      <c r="B383" s="3" t="s">
        <v>6319</v>
      </c>
      <c r="C383" s="20">
        <v>2244500</v>
      </c>
      <c r="D383" s="20">
        <v>3125754</v>
      </c>
      <c r="E383" s="56">
        <v>-28.19</v>
      </c>
      <c r="F383" s="57">
        <v>291698</v>
      </c>
      <c r="G383" s="57">
        <v>488708</v>
      </c>
      <c r="H383" s="57">
        <v>18044</v>
      </c>
      <c r="I383" s="57">
        <v>136962</v>
      </c>
      <c r="J383" s="57">
        <v>236344</v>
      </c>
      <c r="K383" s="57">
        <v>506267</v>
      </c>
      <c r="L383" s="56">
        <v>-53.32</v>
      </c>
      <c r="M383" s="20">
        <v>472227</v>
      </c>
      <c r="N383" s="56">
        <v>5</v>
      </c>
      <c r="O383" s="56">
        <v>10.31</v>
      </c>
      <c r="P383" s="58">
        <v>29.93</v>
      </c>
      <c r="Q383" s="59">
        <v>79.2172206962274</v>
      </c>
      <c r="R383" s="59">
        <v>5.3087401627852504</v>
      </c>
      <c r="S383" s="59">
        <v>3.2198723768764101</v>
      </c>
      <c r="X383" s="2">
        <f t="shared" si="15"/>
        <v>0.207827793037726</v>
      </c>
      <c r="Y383" s="2">
        <f>SUMIF(收盤價!A:A,A383,收盤價!C:C)</f>
        <v>96</v>
      </c>
      <c r="Z383" s="2">
        <f t="shared" si="16"/>
        <v>1413375.4109999998</v>
      </c>
      <c r="AA383" s="2">
        <f t="shared" si="17"/>
        <v>4533379.2</v>
      </c>
    </row>
    <row r="384" spans="1:27" ht="14.5" customHeight="1">
      <c r="A384" s="19" t="s">
        <v>5071</v>
      </c>
      <c r="B384" s="3" t="s">
        <v>1383</v>
      </c>
      <c r="C384" s="20">
        <v>1809297</v>
      </c>
      <c r="D384" s="20">
        <v>2928169</v>
      </c>
      <c r="E384" s="56">
        <v>-38.21</v>
      </c>
      <c r="F384" s="57">
        <v>-103998</v>
      </c>
      <c r="G384" s="57">
        <v>486270</v>
      </c>
      <c r="H384" s="57">
        <v>-6850</v>
      </c>
      <c r="I384" s="57">
        <v>18122</v>
      </c>
      <c r="J384" s="57">
        <v>-146304</v>
      </c>
      <c r="K384" s="57">
        <v>206394</v>
      </c>
      <c r="L384" s="56"/>
      <c r="M384" s="20">
        <v>384700</v>
      </c>
      <c r="N384" s="56">
        <v>-3.83</v>
      </c>
      <c r="O384" s="56">
        <v>5.41</v>
      </c>
      <c r="P384" s="58">
        <v>23.14</v>
      </c>
      <c r="Q384" s="59">
        <v>45.3940289587241</v>
      </c>
      <c r="R384" s="59">
        <v>1.8089370250552601</v>
      </c>
      <c r="S384" s="59">
        <v>1.4191657100572099</v>
      </c>
      <c r="X384" s="2">
        <f t="shared" si="15"/>
        <v>0.54605971041275903</v>
      </c>
      <c r="Y384" s="2">
        <f>SUMIF(收盤價!A:A,A384,收盤價!C:C)</f>
        <v>30.1</v>
      </c>
      <c r="Z384" s="2">
        <f t="shared" si="16"/>
        <v>890195.8</v>
      </c>
      <c r="AA384" s="2">
        <f t="shared" si="17"/>
        <v>1157947</v>
      </c>
    </row>
    <row r="385" spans="1:27" ht="14.5" customHeight="1">
      <c r="A385" s="19" t="s">
        <v>5648</v>
      </c>
      <c r="B385" s="3" t="s">
        <v>1502</v>
      </c>
      <c r="C385" s="20">
        <v>1911238</v>
      </c>
      <c r="D385" s="20">
        <v>1720006</v>
      </c>
      <c r="E385" s="56">
        <v>11.12</v>
      </c>
      <c r="F385" s="57">
        <v>64777</v>
      </c>
      <c r="G385" s="57">
        <v>48014</v>
      </c>
      <c r="H385" s="57">
        <v>-62439</v>
      </c>
      <c r="I385" s="57">
        <v>-22892</v>
      </c>
      <c r="J385" s="57">
        <v>-24622</v>
      </c>
      <c r="K385" s="57">
        <v>9031</v>
      </c>
      <c r="L385" s="56"/>
      <c r="M385" s="20">
        <v>300000</v>
      </c>
      <c r="N385" s="56">
        <v>-0.82</v>
      </c>
      <c r="O385" s="56">
        <v>0.3</v>
      </c>
      <c r="P385" s="58">
        <v>10.71</v>
      </c>
      <c r="Q385" s="59">
        <v>24.639476170609601</v>
      </c>
      <c r="R385" s="59">
        <v>1.0779623170270201</v>
      </c>
      <c r="S385" s="59">
        <v>0.51309862338632195</v>
      </c>
      <c r="X385" s="2">
        <f t="shared" si="15"/>
        <v>0.75360523829390402</v>
      </c>
      <c r="Y385" s="2">
        <f>SUMIF(收盤價!A:A,A385,收盤價!C:C)</f>
        <v>25.45</v>
      </c>
      <c r="Z385" s="2">
        <f t="shared" si="16"/>
        <v>321300.00000000006</v>
      </c>
      <c r="AA385" s="2">
        <f t="shared" si="17"/>
        <v>763500</v>
      </c>
    </row>
    <row r="386" spans="1:27" ht="14.5" customHeight="1">
      <c r="A386" s="19" t="s">
        <v>5072</v>
      </c>
      <c r="B386" s="3" t="s">
        <v>1504</v>
      </c>
      <c r="C386" s="20">
        <v>6642331</v>
      </c>
      <c r="D386" s="20">
        <v>6457831</v>
      </c>
      <c r="E386" s="56">
        <v>2.86</v>
      </c>
      <c r="F386" s="57">
        <v>1286677</v>
      </c>
      <c r="G386" s="57">
        <v>977640</v>
      </c>
      <c r="H386" s="57">
        <v>-357819</v>
      </c>
      <c r="I386" s="57">
        <v>-218018</v>
      </c>
      <c r="J386" s="57">
        <v>603941</v>
      </c>
      <c r="K386" s="57">
        <v>495345</v>
      </c>
      <c r="L386" s="56">
        <v>21.92</v>
      </c>
      <c r="M386" s="20">
        <v>1955310</v>
      </c>
      <c r="N386" s="56">
        <v>3.1</v>
      </c>
      <c r="O386" s="56">
        <v>2.71</v>
      </c>
      <c r="P386" s="58">
        <v>45.54</v>
      </c>
      <c r="Q386" s="59">
        <v>33.958715701479598</v>
      </c>
      <c r="R386" s="59">
        <v>0.76750177798241703</v>
      </c>
      <c r="S386" s="59">
        <v>0.68048858848732097</v>
      </c>
      <c r="X386" s="2">
        <f t="shared" si="15"/>
        <v>0.66041284298520397</v>
      </c>
      <c r="Y386" s="2">
        <f>SUMIF(收盤價!A:A,A386,收盤價!C:C)</f>
        <v>28.2</v>
      </c>
      <c r="Z386" s="2">
        <f t="shared" si="16"/>
        <v>8904481.7399999984</v>
      </c>
      <c r="AA386" s="2">
        <f t="shared" si="17"/>
        <v>5513974.2000000002</v>
      </c>
    </row>
    <row r="387" spans="1:27" ht="14.5" customHeight="1">
      <c r="A387" s="19" t="s">
        <v>5073</v>
      </c>
      <c r="B387" s="3" t="s">
        <v>1782</v>
      </c>
      <c r="C387" s="20">
        <v>2080819</v>
      </c>
      <c r="D387" s="20">
        <v>3988324</v>
      </c>
      <c r="E387" s="56">
        <v>-47.83</v>
      </c>
      <c r="F387" s="57">
        <v>-89093</v>
      </c>
      <c r="G387" s="57">
        <v>586530</v>
      </c>
      <c r="H387" s="57">
        <v>39163</v>
      </c>
      <c r="I387" s="57">
        <v>26925</v>
      </c>
      <c r="J387" s="57">
        <v>-53814</v>
      </c>
      <c r="K387" s="57">
        <v>408854</v>
      </c>
      <c r="L387" s="56"/>
      <c r="M387" s="20">
        <v>1857472</v>
      </c>
      <c r="N387" s="56">
        <v>-0.28999999999999998</v>
      </c>
      <c r="O387" s="56">
        <v>2.2000000000000002</v>
      </c>
      <c r="P387" s="58">
        <v>36.479999999999997</v>
      </c>
      <c r="Q387" s="59">
        <v>87.9485216762927</v>
      </c>
      <c r="R387" s="59">
        <v>22.643119841364001</v>
      </c>
      <c r="S387" s="59">
        <v>17.696056132738999</v>
      </c>
      <c r="X387" s="2">
        <f t="shared" si="15"/>
        <v>0.120514783237073</v>
      </c>
      <c r="Y387" s="2">
        <f>SUMIF(收盤價!A:A,A387,收盤價!C:C)</f>
        <v>11.85</v>
      </c>
      <c r="Z387" s="2">
        <f t="shared" si="16"/>
        <v>6776057.8559999987</v>
      </c>
      <c r="AA387" s="2">
        <f t="shared" si="17"/>
        <v>2201104.3199999998</v>
      </c>
    </row>
    <row r="388" spans="1:27" ht="14.5" customHeight="1">
      <c r="A388" s="19" t="s">
        <v>5074</v>
      </c>
      <c r="B388" s="3" t="s">
        <v>1786</v>
      </c>
      <c r="C388" s="20">
        <v>1580463</v>
      </c>
      <c r="D388" s="20">
        <v>1630789</v>
      </c>
      <c r="E388" s="56">
        <v>-3.09</v>
      </c>
      <c r="F388" s="57">
        <v>-91106</v>
      </c>
      <c r="G388" s="57">
        <v>3179</v>
      </c>
      <c r="H388" s="57">
        <v>21104</v>
      </c>
      <c r="I388" s="57">
        <v>13915</v>
      </c>
      <c r="J388" s="57">
        <v>-53053</v>
      </c>
      <c r="K388" s="57">
        <v>15034</v>
      </c>
      <c r="L388" s="56"/>
      <c r="M388" s="20">
        <v>668000</v>
      </c>
      <c r="N388" s="56">
        <v>-0.79</v>
      </c>
      <c r="O388" s="56">
        <v>0.23</v>
      </c>
      <c r="P388" s="58">
        <v>22.27</v>
      </c>
      <c r="Q388" s="59">
        <v>55.599485843695099</v>
      </c>
      <c r="R388" s="59">
        <v>1.7830041852904801</v>
      </c>
      <c r="S388" s="59">
        <v>0.58886465522855602</v>
      </c>
      <c r="X388" s="2">
        <f t="shared" si="15"/>
        <v>0.44400514156304899</v>
      </c>
      <c r="Y388" s="2">
        <f>SUMIF(收盤價!A:A,A388,收盤價!C:C)</f>
        <v>11.15</v>
      </c>
      <c r="Z388" s="2">
        <f t="shared" si="16"/>
        <v>1487636</v>
      </c>
      <c r="AA388" s="2">
        <f t="shared" si="17"/>
        <v>744820</v>
      </c>
    </row>
    <row r="389" spans="1:27" ht="14.5" customHeight="1">
      <c r="A389" s="19" t="s">
        <v>5075</v>
      </c>
      <c r="B389" s="3" t="s">
        <v>1788</v>
      </c>
      <c r="C389" s="20">
        <v>51830417</v>
      </c>
      <c r="D389" s="20">
        <v>42017012</v>
      </c>
      <c r="E389" s="56">
        <v>23.36</v>
      </c>
      <c r="F389" s="57">
        <v>1655629</v>
      </c>
      <c r="G389" s="57">
        <v>1422418</v>
      </c>
      <c r="H389" s="57">
        <v>65231</v>
      </c>
      <c r="I389" s="57">
        <v>57194</v>
      </c>
      <c r="J389" s="57">
        <v>1393781</v>
      </c>
      <c r="K389" s="57">
        <v>1449640</v>
      </c>
      <c r="L389" s="56">
        <v>-3.85</v>
      </c>
      <c r="M389" s="20">
        <v>1400585</v>
      </c>
      <c r="N389" s="56">
        <v>9.9499999999999993</v>
      </c>
      <c r="O389" s="56">
        <v>10.35</v>
      </c>
      <c r="P389" s="58">
        <v>43.95</v>
      </c>
      <c r="Q389" s="59">
        <v>42.166619209627598</v>
      </c>
      <c r="R389" s="59">
        <v>1.0237585669279099</v>
      </c>
      <c r="S389" s="59">
        <v>0.65203629938555996</v>
      </c>
      <c r="X389" s="2">
        <f t="shared" ref="X389:X452" si="18">IF(W389&lt;&gt;"",ROUND(W389/U389,2),(100-Q389)/100)</f>
        <v>0.57833380790372402</v>
      </c>
      <c r="Y389" s="2">
        <f>SUMIF(收盤價!A:A,A389,收盤價!C:C)</f>
        <v>290</v>
      </c>
      <c r="Z389" s="2">
        <f t="shared" ref="Z389:Z452" si="19">IF(W389&lt;&gt;"",U389-W389,M389*P389/10)</f>
        <v>6155571.0750000011</v>
      </c>
      <c r="AA389" s="2">
        <f t="shared" ref="AA389:AA452" si="20">Y389*M389/10</f>
        <v>40616965</v>
      </c>
    </row>
    <row r="390" spans="1:27" ht="14.5" customHeight="1">
      <c r="A390" s="19" t="s">
        <v>5078</v>
      </c>
      <c r="B390" s="3" t="s">
        <v>5079</v>
      </c>
      <c r="C390" s="20">
        <v>4343168</v>
      </c>
      <c r="D390" s="20">
        <v>4068623</v>
      </c>
      <c r="E390" s="56">
        <v>6.75</v>
      </c>
      <c r="F390" s="57">
        <v>449474</v>
      </c>
      <c r="G390" s="57">
        <v>518354</v>
      </c>
      <c r="H390" s="57">
        <v>-127085</v>
      </c>
      <c r="I390" s="57">
        <v>-95647</v>
      </c>
      <c r="J390" s="57">
        <v>274641</v>
      </c>
      <c r="K390" s="57">
        <v>351180</v>
      </c>
      <c r="L390" s="56">
        <v>-21.79</v>
      </c>
      <c r="M390" s="20">
        <v>2115203</v>
      </c>
      <c r="N390" s="56">
        <v>1.3</v>
      </c>
      <c r="O390" s="56">
        <v>1.66</v>
      </c>
      <c r="P390" s="58">
        <v>28.05</v>
      </c>
      <c r="Q390" s="59">
        <v>47.170945404750803</v>
      </c>
      <c r="R390" s="59">
        <v>0.92691592615545704</v>
      </c>
      <c r="S390" s="59">
        <v>0.64378773027038605</v>
      </c>
      <c r="X390" s="2">
        <f t="shared" si="18"/>
        <v>0.52829054595249192</v>
      </c>
      <c r="Y390" s="2">
        <f>SUMIF(收盤價!A:A,A390,收盤價!C:C)</f>
        <v>25.4</v>
      </c>
      <c r="Z390" s="2">
        <f t="shared" si="19"/>
        <v>5933144.415</v>
      </c>
      <c r="AA390" s="2">
        <f t="shared" si="20"/>
        <v>5372615.6199999992</v>
      </c>
    </row>
    <row r="391" spans="1:27" ht="14.5" customHeight="1">
      <c r="A391" s="19" t="s">
        <v>5080</v>
      </c>
      <c r="B391" s="3" t="s">
        <v>342</v>
      </c>
      <c r="C391" s="20">
        <v>8797162</v>
      </c>
      <c r="D391" s="20">
        <v>9785385</v>
      </c>
      <c r="E391" s="56">
        <v>-10.1</v>
      </c>
      <c r="F391" s="57">
        <v>303908</v>
      </c>
      <c r="G391" s="57">
        <v>492625</v>
      </c>
      <c r="H391" s="57">
        <v>-6206</v>
      </c>
      <c r="I391" s="57">
        <v>30514</v>
      </c>
      <c r="J391" s="57">
        <v>215263</v>
      </c>
      <c r="K391" s="57">
        <v>380068</v>
      </c>
      <c r="L391" s="56">
        <v>-43.36</v>
      </c>
      <c r="M391" s="20">
        <v>4770163</v>
      </c>
      <c r="N391" s="56">
        <v>0.44</v>
      </c>
      <c r="O391" s="56">
        <v>0.77</v>
      </c>
      <c r="P391" s="58">
        <v>14.44</v>
      </c>
      <c r="Q391" s="59">
        <v>60.888178823946099</v>
      </c>
      <c r="R391" s="59">
        <v>1.4658915152241401</v>
      </c>
      <c r="S391" s="59">
        <v>0.48095111845703997</v>
      </c>
      <c r="X391" s="2">
        <f t="shared" si="18"/>
        <v>0.39111821176053901</v>
      </c>
      <c r="Y391" s="2">
        <f>SUMIF(收盤價!A:A,A391,收盤價!C:C)</f>
        <v>12.85</v>
      </c>
      <c r="Z391" s="2">
        <f t="shared" si="19"/>
        <v>6888115.3719999995</v>
      </c>
      <c r="AA391" s="2">
        <f t="shared" si="20"/>
        <v>6129659.4550000001</v>
      </c>
    </row>
    <row r="392" spans="1:27" ht="14.5" customHeight="1">
      <c r="A392" s="19" t="s">
        <v>5081</v>
      </c>
      <c r="B392" s="3" t="s">
        <v>344</v>
      </c>
      <c r="C392" s="20">
        <v>22341227</v>
      </c>
      <c r="D392" s="20">
        <v>32115817</v>
      </c>
      <c r="E392" s="56">
        <v>-30.44</v>
      </c>
      <c r="F392" s="57">
        <v>-1010603</v>
      </c>
      <c r="G392" s="57">
        <v>3298641</v>
      </c>
      <c r="H392" s="57">
        <v>342704</v>
      </c>
      <c r="I392" s="57">
        <v>-118626</v>
      </c>
      <c r="J392" s="57">
        <v>33618</v>
      </c>
      <c r="K392" s="57">
        <v>1750724</v>
      </c>
      <c r="L392" s="56">
        <v>-98.08</v>
      </c>
      <c r="M392" s="20">
        <v>8857031</v>
      </c>
      <c r="N392" s="56">
        <v>0.04</v>
      </c>
      <c r="O392" s="56">
        <v>2.0099999999999998</v>
      </c>
      <c r="P392" s="58">
        <v>15.51</v>
      </c>
      <c r="Q392" s="59">
        <v>36.687091237756498</v>
      </c>
      <c r="R392" s="59">
        <v>0.71016981780796196</v>
      </c>
      <c r="S392" s="59">
        <v>0.42953372187741901</v>
      </c>
      <c r="X392" s="2">
        <f t="shared" si="18"/>
        <v>0.63312908762243503</v>
      </c>
      <c r="Y392" s="2">
        <f>SUMIF(收盤價!A:A,A392,收盤價!C:C)</f>
        <v>21</v>
      </c>
      <c r="Z392" s="2">
        <f t="shared" si="19"/>
        <v>13737255.081</v>
      </c>
      <c r="AA392" s="2">
        <f t="shared" si="20"/>
        <v>18599765.100000001</v>
      </c>
    </row>
    <row r="393" spans="1:27" ht="14.5" customHeight="1">
      <c r="A393" s="19" t="s">
        <v>5082</v>
      </c>
      <c r="B393" s="3" t="s">
        <v>346</v>
      </c>
      <c r="C393" s="20">
        <v>9332076</v>
      </c>
      <c r="D393" s="20">
        <v>9621019</v>
      </c>
      <c r="E393" s="56">
        <v>-3</v>
      </c>
      <c r="F393" s="57">
        <v>403633</v>
      </c>
      <c r="G393" s="57">
        <v>507464</v>
      </c>
      <c r="H393" s="57">
        <v>52437</v>
      </c>
      <c r="I393" s="57">
        <v>12080</v>
      </c>
      <c r="J393" s="57">
        <v>362447</v>
      </c>
      <c r="K393" s="57">
        <v>401983</v>
      </c>
      <c r="L393" s="56">
        <v>-9.84</v>
      </c>
      <c r="M393" s="20">
        <v>5477522</v>
      </c>
      <c r="N393" s="56">
        <v>0.66</v>
      </c>
      <c r="O393" s="56">
        <v>0.73</v>
      </c>
      <c r="P393" s="58">
        <v>14.28</v>
      </c>
      <c r="Q393" s="59">
        <v>57.424444861701502</v>
      </c>
      <c r="R393" s="59">
        <v>1.5824843164251501</v>
      </c>
      <c r="S393" s="59">
        <v>0.66807395932704094</v>
      </c>
      <c r="X393" s="2">
        <f t="shared" si="18"/>
        <v>0.42575555138298499</v>
      </c>
      <c r="Y393" s="2">
        <f>SUMIF(收盤價!A:A,A393,收盤價!C:C)</f>
        <v>15.6</v>
      </c>
      <c r="Z393" s="2">
        <f t="shared" si="19"/>
        <v>7821901.4159999993</v>
      </c>
      <c r="AA393" s="2">
        <f t="shared" si="20"/>
        <v>8544934.3200000003</v>
      </c>
    </row>
    <row r="394" spans="1:27" ht="14.5" customHeight="1">
      <c r="A394" s="19" t="s">
        <v>5083</v>
      </c>
      <c r="B394" s="3" t="s">
        <v>348</v>
      </c>
      <c r="C394" s="20">
        <v>17081389</v>
      </c>
      <c r="D394" s="20">
        <v>18134087</v>
      </c>
      <c r="E394" s="56">
        <v>-5.81</v>
      </c>
      <c r="F394" s="57">
        <v>885263</v>
      </c>
      <c r="G394" s="57">
        <v>940405</v>
      </c>
      <c r="H394" s="57">
        <v>-39571</v>
      </c>
      <c r="I394" s="57">
        <v>-47523</v>
      </c>
      <c r="J394" s="57">
        <v>674855</v>
      </c>
      <c r="K394" s="57">
        <v>726957</v>
      </c>
      <c r="L394" s="56">
        <v>-7.17</v>
      </c>
      <c r="M394" s="20">
        <v>4204926</v>
      </c>
      <c r="N394" s="56">
        <v>1.6</v>
      </c>
      <c r="O394" s="56">
        <v>1.74</v>
      </c>
      <c r="P394" s="58">
        <v>16.72</v>
      </c>
      <c r="Q394" s="59">
        <v>46.049747331436201</v>
      </c>
      <c r="R394" s="59">
        <v>1.23946819496433</v>
      </c>
      <c r="S394" s="59">
        <v>0.65560075348640501</v>
      </c>
      <c r="X394" s="2">
        <f t="shared" si="18"/>
        <v>0.53950252668563803</v>
      </c>
      <c r="Y394" s="2">
        <f>SUMIF(收盤價!A:A,A394,收盤價!C:C)</f>
        <v>19</v>
      </c>
      <c r="Z394" s="2">
        <f t="shared" si="19"/>
        <v>7030636.2719999999</v>
      </c>
      <c r="AA394" s="2">
        <f t="shared" si="20"/>
        <v>7989359.4000000004</v>
      </c>
    </row>
    <row r="395" spans="1:27" ht="14.5" customHeight="1">
      <c r="A395" s="19" t="s">
        <v>5084</v>
      </c>
      <c r="B395" s="3" t="s">
        <v>350</v>
      </c>
      <c r="C395" s="20">
        <v>593203</v>
      </c>
      <c r="D395" s="20">
        <v>671611</v>
      </c>
      <c r="E395" s="56">
        <v>-11.67</v>
      </c>
      <c r="F395" s="57">
        <v>14180</v>
      </c>
      <c r="G395" s="57">
        <v>19488</v>
      </c>
      <c r="H395" s="57">
        <v>84113</v>
      </c>
      <c r="I395" s="57">
        <v>97310</v>
      </c>
      <c r="J395" s="57">
        <v>96464</v>
      </c>
      <c r="K395" s="57">
        <v>115472</v>
      </c>
      <c r="L395" s="56">
        <v>-16.46</v>
      </c>
      <c r="M395" s="20">
        <v>1509517</v>
      </c>
      <c r="N395" s="56">
        <v>0.64</v>
      </c>
      <c r="O395" s="56">
        <v>0.76</v>
      </c>
      <c r="P395" s="58">
        <v>15.25</v>
      </c>
      <c r="Q395" s="59">
        <v>93.730150812088596</v>
      </c>
      <c r="R395" s="59">
        <v>27.298604141957799</v>
      </c>
      <c r="S395" s="59">
        <v>21.131283642003499</v>
      </c>
      <c r="X395" s="2">
        <f t="shared" si="18"/>
        <v>6.2698491879114041E-2</v>
      </c>
      <c r="Y395" s="2">
        <f>SUMIF(收盤價!A:A,A395,收盤價!C:C)</f>
        <v>18.05</v>
      </c>
      <c r="Z395" s="2">
        <f t="shared" si="19"/>
        <v>2302013.4249999998</v>
      </c>
      <c r="AA395" s="2">
        <f t="shared" si="20"/>
        <v>2724678.1850000001</v>
      </c>
    </row>
    <row r="396" spans="1:27" ht="14.5" customHeight="1">
      <c r="A396" s="19" t="s">
        <v>5085</v>
      </c>
      <c r="B396" s="3" t="s">
        <v>352</v>
      </c>
      <c r="C396" s="20">
        <v>27459637</v>
      </c>
      <c r="D396" s="20">
        <v>30394034</v>
      </c>
      <c r="E396" s="56">
        <v>-9.65</v>
      </c>
      <c r="F396" s="57">
        <v>859965</v>
      </c>
      <c r="G396" s="57">
        <v>748194</v>
      </c>
      <c r="H396" s="57">
        <v>-293987</v>
      </c>
      <c r="I396" s="57">
        <v>-77837</v>
      </c>
      <c r="J396" s="57">
        <v>17820</v>
      </c>
      <c r="K396" s="57">
        <v>263828</v>
      </c>
      <c r="L396" s="56">
        <v>-93.25</v>
      </c>
      <c r="M396" s="20">
        <v>10168248</v>
      </c>
      <c r="N396" s="56">
        <v>0.02</v>
      </c>
      <c r="O396" s="56">
        <v>0.26</v>
      </c>
      <c r="P396" s="58">
        <v>10.45</v>
      </c>
      <c r="Q396" s="59">
        <v>44.054546400918198</v>
      </c>
      <c r="R396" s="59">
        <v>2.0860079525752702</v>
      </c>
      <c r="S396" s="59">
        <v>1.2563925920910299</v>
      </c>
      <c r="X396" s="2">
        <f t="shared" si="18"/>
        <v>0.55945453599081807</v>
      </c>
      <c r="Y396" s="2">
        <f>SUMIF(收盤價!A:A,A396,收盤價!C:C)</f>
        <v>7.13</v>
      </c>
      <c r="Z396" s="2">
        <f t="shared" si="19"/>
        <v>10625819.16</v>
      </c>
      <c r="AA396" s="2">
        <f t="shared" si="20"/>
        <v>7249960.8239999991</v>
      </c>
    </row>
    <row r="397" spans="1:27" ht="14.5" customHeight="1">
      <c r="A397" s="19" t="s">
        <v>5086</v>
      </c>
      <c r="B397" s="3" t="s">
        <v>354</v>
      </c>
      <c r="C397" s="20">
        <v>40363238</v>
      </c>
      <c r="D397" s="20">
        <v>43300155</v>
      </c>
      <c r="E397" s="56">
        <v>-6.78</v>
      </c>
      <c r="F397" s="57">
        <v>2335050</v>
      </c>
      <c r="G397" s="57">
        <v>1813005</v>
      </c>
      <c r="H397" s="57">
        <v>578881</v>
      </c>
      <c r="I397" s="57">
        <v>50966</v>
      </c>
      <c r="J397" s="57">
        <v>2466356</v>
      </c>
      <c r="K397" s="57">
        <v>1550515</v>
      </c>
      <c r="L397" s="56">
        <v>59.07</v>
      </c>
      <c r="M397" s="20">
        <v>12402795</v>
      </c>
      <c r="N397" s="56">
        <v>1.99</v>
      </c>
      <c r="O397" s="56">
        <v>1.25</v>
      </c>
      <c r="P397" s="58">
        <v>17.27</v>
      </c>
      <c r="Q397" s="59">
        <v>39.807879397277098</v>
      </c>
      <c r="R397" s="59">
        <v>1.9096711343039401</v>
      </c>
      <c r="S397" s="59">
        <v>1.4114349612885499</v>
      </c>
      <c r="X397" s="2">
        <f t="shared" si="18"/>
        <v>0.60192120602722898</v>
      </c>
      <c r="Y397" s="2">
        <f>SUMIF(收盤價!A:A,A397,收盤價!C:C)</f>
        <v>26.6</v>
      </c>
      <c r="Z397" s="2">
        <f t="shared" si="19"/>
        <v>21419626.965</v>
      </c>
      <c r="AA397" s="2">
        <f t="shared" si="20"/>
        <v>32991434.699999999</v>
      </c>
    </row>
    <row r="398" spans="1:27" ht="14.5" customHeight="1">
      <c r="A398" s="19" t="s">
        <v>5087</v>
      </c>
      <c r="B398" s="3" t="s">
        <v>356</v>
      </c>
      <c r="C398" s="20">
        <v>35732022</v>
      </c>
      <c r="D398" s="20">
        <v>41549187</v>
      </c>
      <c r="E398" s="56">
        <v>-14</v>
      </c>
      <c r="F398" s="57">
        <v>3116082</v>
      </c>
      <c r="G398" s="57">
        <v>5144762</v>
      </c>
      <c r="H398" s="57" t="s">
        <v>6316</v>
      </c>
      <c r="I398" s="57" t="s">
        <v>6316</v>
      </c>
      <c r="J398" s="57">
        <v>-729764</v>
      </c>
      <c r="K398" s="57">
        <v>1372035</v>
      </c>
      <c r="L398" s="56"/>
      <c r="M398" s="20">
        <v>16213672</v>
      </c>
      <c r="N398" s="56">
        <v>-0.56999999999999995</v>
      </c>
      <c r="O398" s="56">
        <v>1.06</v>
      </c>
      <c r="P398" s="58">
        <v>17.05</v>
      </c>
      <c r="Q398" s="59">
        <v>3.09083186857172</v>
      </c>
      <c r="R398" s="59">
        <v>0.851858046886804</v>
      </c>
      <c r="S398" s="59">
        <v>0</v>
      </c>
      <c r="X398" s="2">
        <f t="shared" si="18"/>
        <v>0.96909168131428269</v>
      </c>
      <c r="Y398" s="2">
        <f>SUMIF(收盤價!A:A,A398,收盤價!C:C)</f>
        <v>8.3000000000000007</v>
      </c>
      <c r="Z398" s="2">
        <f t="shared" si="19"/>
        <v>27644310.760000002</v>
      </c>
      <c r="AA398" s="2">
        <f t="shared" si="20"/>
        <v>13457347.760000002</v>
      </c>
    </row>
    <row r="399" spans="1:27" ht="14.5" customHeight="1">
      <c r="A399" s="19" t="s">
        <v>5088</v>
      </c>
      <c r="B399" s="3" t="s">
        <v>360</v>
      </c>
      <c r="C399" s="20">
        <v>3243968</v>
      </c>
      <c r="D399" s="20">
        <v>3451774</v>
      </c>
      <c r="E399" s="56">
        <v>-6.02</v>
      </c>
      <c r="F399" s="57">
        <v>17323</v>
      </c>
      <c r="G399" s="57">
        <v>-36391</v>
      </c>
      <c r="H399" s="57">
        <v>-26408</v>
      </c>
      <c r="I399" s="57">
        <v>48253</v>
      </c>
      <c r="J399" s="57">
        <v>-6808</v>
      </c>
      <c r="K399" s="57">
        <v>16123</v>
      </c>
      <c r="L399" s="56"/>
      <c r="M399" s="20">
        <v>2223473</v>
      </c>
      <c r="N399" s="56">
        <v>-0.03</v>
      </c>
      <c r="O399" s="56">
        <v>7.0000000000000007E-2</v>
      </c>
      <c r="P399" s="58">
        <v>10.47</v>
      </c>
      <c r="Q399" s="59">
        <v>53.536633336866501</v>
      </c>
      <c r="R399" s="59">
        <v>1.96232753562844</v>
      </c>
      <c r="S399" s="59">
        <v>1.0809338153188099</v>
      </c>
      <c r="X399" s="2">
        <f t="shared" si="18"/>
        <v>0.46463366663133499</v>
      </c>
      <c r="Y399" s="2">
        <f>SUMIF(收盤價!A:A,A399,收盤價!C:C)</f>
        <v>8.77</v>
      </c>
      <c r="Z399" s="2">
        <f t="shared" si="19"/>
        <v>2327976.2310000001</v>
      </c>
      <c r="AA399" s="2">
        <f t="shared" si="20"/>
        <v>1949985.821</v>
      </c>
    </row>
    <row r="400" spans="1:27" ht="14.5" customHeight="1">
      <c r="A400" s="19" t="s">
        <v>5089</v>
      </c>
      <c r="B400" s="3" t="s">
        <v>362</v>
      </c>
      <c r="C400" s="20">
        <v>12890565</v>
      </c>
      <c r="D400" s="20">
        <v>12215092</v>
      </c>
      <c r="E400" s="56">
        <v>5.53</v>
      </c>
      <c r="F400" s="57">
        <v>1626011</v>
      </c>
      <c r="G400" s="57">
        <v>1286502</v>
      </c>
      <c r="H400" s="57">
        <v>838256</v>
      </c>
      <c r="I400" s="57">
        <v>1663118</v>
      </c>
      <c r="J400" s="57">
        <v>2063955</v>
      </c>
      <c r="K400" s="57">
        <v>2281319</v>
      </c>
      <c r="L400" s="56">
        <v>-9.5299999999999994</v>
      </c>
      <c r="M400" s="20">
        <v>9800000</v>
      </c>
      <c r="N400" s="56">
        <v>2.11</v>
      </c>
      <c r="O400" s="56">
        <v>2.33</v>
      </c>
      <c r="P400" s="58">
        <v>51.76</v>
      </c>
      <c r="Q400" s="59">
        <v>67.046261118432795</v>
      </c>
      <c r="R400" s="59">
        <v>5.8518110610853196</v>
      </c>
      <c r="S400" s="59">
        <v>2.46603434452012</v>
      </c>
      <c r="X400" s="2">
        <f t="shared" si="18"/>
        <v>0.32953738881567207</v>
      </c>
      <c r="Y400" s="2">
        <f>SUMIF(收盤價!A:A,A400,收盤價!C:C)</f>
        <v>49.55</v>
      </c>
      <c r="Z400" s="2">
        <f t="shared" si="19"/>
        <v>50724800</v>
      </c>
      <c r="AA400" s="2">
        <f t="shared" si="20"/>
        <v>48559000</v>
      </c>
    </row>
    <row r="401" spans="1:27" ht="14.5" customHeight="1">
      <c r="A401" s="19" t="s">
        <v>5090</v>
      </c>
      <c r="B401" s="3" t="s">
        <v>364</v>
      </c>
      <c r="C401" s="20">
        <v>7541990</v>
      </c>
      <c r="D401" s="20">
        <v>8559743</v>
      </c>
      <c r="E401" s="56">
        <v>-11.89</v>
      </c>
      <c r="F401" s="57">
        <v>1442393</v>
      </c>
      <c r="G401" s="57">
        <v>1776255</v>
      </c>
      <c r="H401" s="57">
        <v>152932</v>
      </c>
      <c r="I401" s="57">
        <v>109412</v>
      </c>
      <c r="J401" s="57">
        <v>1292839</v>
      </c>
      <c r="K401" s="57">
        <v>1508446</v>
      </c>
      <c r="L401" s="56">
        <v>-14.29</v>
      </c>
      <c r="M401" s="20">
        <v>2369044</v>
      </c>
      <c r="N401" s="56">
        <v>5.57</v>
      </c>
      <c r="O401" s="56">
        <v>6.5</v>
      </c>
      <c r="P401" s="58">
        <v>30.12</v>
      </c>
      <c r="Q401" s="59">
        <v>57.826312945006997</v>
      </c>
      <c r="R401" s="59">
        <v>1.2201206987551001</v>
      </c>
      <c r="S401" s="59">
        <v>0.82655391045165005</v>
      </c>
      <c r="X401" s="2">
        <f t="shared" si="18"/>
        <v>0.42173687054993003</v>
      </c>
      <c r="Y401" s="2">
        <f>SUMIF(收盤價!A:A,A401,收盤價!C:C)</f>
        <v>122.5</v>
      </c>
      <c r="Z401" s="2">
        <f t="shared" si="19"/>
        <v>7135560.5279999999</v>
      </c>
      <c r="AA401" s="2">
        <f t="shared" si="20"/>
        <v>29020789</v>
      </c>
    </row>
    <row r="402" spans="1:27" ht="14.5" customHeight="1">
      <c r="A402" s="19" t="s">
        <v>5091</v>
      </c>
      <c r="B402" s="3" t="s">
        <v>366</v>
      </c>
      <c r="C402" s="20">
        <v>1901165</v>
      </c>
      <c r="D402" s="20">
        <v>2010815</v>
      </c>
      <c r="E402" s="56">
        <v>-5.45</v>
      </c>
      <c r="F402" s="57">
        <v>103609</v>
      </c>
      <c r="G402" s="57">
        <v>98354</v>
      </c>
      <c r="H402" s="57">
        <v>-13235</v>
      </c>
      <c r="I402" s="57">
        <v>9904</v>
      </c>
      <c r="J402" s="57">
        <v>71223</v>
      </c>
      <c r="K402" s="57">
        <v>97058</v>
      </c>
      <c r="L402" s="56">
        <v>-26.62</v>
      </c>
      <c r="M402" s="20">
        <v>1278139</v>
      </c>
      <c r="N402" s="56">
        <v>0.56000000000000005</v>
      </c>
      <c r="O402" s="56">
        <v>0.76</v>
      </c>
      <c r="P402" s="58">
        <v>15.56</v>
      </c>
      <c r="Q402" s="59">
        <v>71.979721819388899</v>
      </c>
      <c r="R402" s="59">
        <v>1.36713310230878</v>
      </c>
      <c r="S402" s="59">
        <v>0.97352283195157296</v>
      </c>
      <c r="X402" s="2">
        <f t="shared" si="18"/>
        <v>0.28020278180611102</v>
      </c>
      <c r="Y402" s="2">
        <f>SUMIF(收盤價!A:A,A402,收盤價!C:C)</f>
        <v>12.95</v>
      </c>
      <c r="Z402" s="2">
        <f t="shared" si="19"/>
        <v>1988784.284</v>
      </c>
      <c r="AA402" s="2">
        <f t="shared" si="20"/>
        <v>1655190.0049999999</v>
      </c>
    </row>
    <row r="403" spans="1:27" ht="14.5" customHeight="1">
      <c r="A403" s="19" t="s">
        <v>5092</v>
      </c>
      <c r="B403" s="3" t="s">
        <v>368</v>
      </c>
      <c r="C403" s="20">
        <v>8587730</v>
      </c>
      <c r="D403" s="20">
        <v>9713048</v>
      </c>
      <c r="E403" s="56">
        <v>-11.59</v>
      </c>
      <c r="F403" s="57">
        <v>157963</v>
      </c>
      <c r="G403" s="57">
        <v>202872</v>
      </c>
      <c r="H403" s="57">
        <v>68150</v>
      </c>
      <c r="I403" s="57">
        <v>60828</v>
      </c>
      <c r="J403" s="57">
        <v>194677</v>
      </c>
      <c r="K403" s="57">
        <v>217339</v>
      </c>
      <c r="L403" s="56">
        <v>-10.43</v>
      </c>
      <c r="M403" s="20">
        <v>1818300</v>
      </c>
      <c r="N403" s="56">
        <v>1.07</v>
      </c>
      <c r="O403" s="56">
        <v>1.2</v>
      </c>
      <c r="P403" s="58">
        <v>19.559999999999999</v>
      </c>
      <c r="Q403" s="59">
        <v>63.884920854479901</v>
      </c>
      <c r="R403" s="59">
        <v>2.5196456937598</v>
      </c>
      <c r="S403" s="59">
        <v>0.84653802296951997</v>
      </c>
      <c r="X403" s="2">
        <f t="shared" si="18"/>
        <v>0.36115079145520101</v>
      </c>
      <c r="Y403" s="2">
        <f>SUMIF(收盤價!A:A,A403,收盤價!C:C)</f>
        <v>14.95</v>
      </c>
      <c r="Z403" s="2">
        <f t="shared" si="19"/>
        <v>3556594.8</v>
      </c>
      <c r="AA403" s="2">
        <f t="shared" si="20"/>
        <v>2718358.5</v>
      </c>
    </row>
    <row r="404" spans="1:27" ht="14.5" customHeight="1">
      <c r="A404" s="21" t="s">
        <v>5093</v>
      </c>
      <c r="B404" s="22" t="s">
        <v>370</v>
      </c>
      <c r="C404" s="23">
        <v>7940129</v>
      </c>
      <c r="D404" s="23">
        <v>8041875</v>
      </c>
      <c r="E404" s="60">
        <v>-1.27</v>
      </c>
      <c r="F404" s="61">
        <v>787233</v>
      </c>
      <c r="G404" s="61">
        <v>743610</v>
      </c>
      <c r="H404" s="61">
        <v>66250</v>
      </c>
      <c r="I404" s="61">
        <v>141747</v>
      </c>
      <c r="J404" s="61">
        <v>682792</v>
      </c>
      <c r="K404" s="61">
        <v>746095</v>
      </c>
      <c r="L404" s="60">
        <v>-8.48</v>
      </c>
      <c r="M404" s="23">
        <v>1620000</v>
      </c>
      <c r="N404" s="60">
        <v>4.21</v>
      </c>
      <c r="O404" s="60">
        <v>4.6100000000000003</v>
      </c>
      <c r="P404" s="62">
        <v>51.93</v>
      </c>
      <c r="Q404" s="63">
        <v>86.032719901230195</v>
      </c>
      <c r="R404" s="63">
        <v>6.13927823255157</v>
      </c>
      <c r="S404" s="63">
        <v>4.0435567357957503</v>
      </c>
      <c r="X404" s="2">
        <f t="shared" si="18"/>
        <v>0.13967280098769805</v>
      </c>
      <c r="Y404" s="2">
        <f>SUMIF(收盤價!A:A,A404,收盤價!C:C)</f>
        <v>70.3</v>
      </c>
      <c r="Z404" s="2">
        <f t="shared" si="19"/>
        <v>8412660</v>
      </c>
      <c r="AA404" s="2">
        <f t="shared" si="20"/>
        <v>11388600</v>
      </c>
    </row>
    <row r="405" spans="1:27" ht="14.5" customHeight="1">
      <c r="A405" s="24" t="s">
        <v>5094</v>
      </c>
      <c r="B405" s="25" t="s">
        <v>372</v>
      </c>
      <c r="C405" s="26">
        <v>2315061</v>
      </c>
      <c r="D405" s="26">
        <v>2647896</v>
      </c>
      <c r="E405" s="64">
        <v>-12.57</v>
      </c>
      <c r="F405" s="65">
        <v>35890</v>
      </c>
      <c r="G405" s="65">
        <v>112117</v>
      </c>
      <c r="H405" s="65">
        <v>9267</v>
      </c>
      <c r="I405" s="65">
        <v>16867</v>
      </c>
      <c r="J405" s="65">
        <v>33265</v>
      </c>
      <c r="K405" s="65">
        <v>98864</v>
      </c>
      <c r="L405" s="64">
        <v>-66.349999999999994</v>
      </c>
      <c r="M405" s="26">
        <v>1102500</v>
      </c>
      <c r="N405" s="64">
        <v>0.3</v>
      </c>
      <c r="O405" s="64">
        <v>0.9</v>
      </c>
      <c r="P405" s="66">
        <v>13.2</v>
      </c>
      <c r="Q405" s="67">
        <v>57.851467680342303</v>
      </c>
      <c r="R405" s="67">
        <v>1.0382793670139401</v>
      </c>
      <c r="S405" s="67">
        <v>0.69131773134421604</v>
      </c>
      <c r="X405" s="2">
        <f t="shared" si="18"/>
        <v>0.42148532319657694</v>
      </c>
      <c r="Y405" s="2">
        <f>SUMIF(收盤價!A:A,A405,收盤價!C:C)</f>
        <v>11.75</v>
      </c>
      <c r="Z405" s="2">
        <f t="shared" si="19"/>
        <v>1455300</v>
      </c>
      <c r="AA405" s="2">
        <f t="shared" si="20"/>
        <v>1295437.5</v>
      </c>
    </row>
    <row r="406" spans="1:27" ht="14.5" customHeight="1">
      <c r="A406" s="19" t="s">
        <v>5095</v>
      </c>
      <c r="B406" s="3" t="s">
        <v>374</v>
      </c>
      <c r="C406" s="20">
        <v>3391259</v>
      </c>
      <c r="D406" s="20">
        <v>2984893</v>
      </c>
      <c r="E406" s="56">
        <v>13.61</v>
      </c>
      <c r="F406" s="57">
        <v>433496</v>
      </c>
      <c r="G406" s="57">
        <v>361863</v>
      </c>
      <c r="H406" s="57">
        <v>37747</v>
      </c>
      <c r="I406" s="57">
        <v>56126</v>
      </c>
      <c r="J406" s="57">
        <v>339681</v>
      </c>
      <c r="K406" s="57">
        <v>300447</v>
      </c>
      <c r="L406" s="56">
        <v>13.06</v>
      </c>
      <c r="M406" s="20">
        <v>632339</v>
      </c>
      <c r="N406" s="56">
        <v>5.37</v>
      </c>
      <c r="O406" s="56">
        <v>4.96</v>
      </c>
      <c r="P406" s="58">
        <v>26.06</v>
      </c>
      <c r="Q406" s="59">
        <v>62.351914807649102</v>
      </c>
      <c r="R406" s="59">
        <v>2.0953948443039501</v>
      </c>
      <c r="S406" s="59">
        <v>1.33114092059556</v>
      </c>
      <c r="X406" s="2">
        <f t="shared" si="18"/>
        <v>0.376480851923509</v>
      </c>
      <c r="Y406" s="2">
        <f>SUMIF(收盤價!A:A,A406,收盤價!C:C)</f>
        <v>73.2</v>
      </c>
      <c r="Z406" s="2">
        <f t="shared" si="19"/>
        <v>1647875.4339999999</v>
      </c>
      <c r="AA406" s="2">
        <f t="shared" si="20"/>
        <v>4628721.4800000004</v>
      </c>
    </row>
    <row r="407" spans="1:27" ht="14.5" customHeight="1">
      <c r="A407" s="19" t="s">
        <v>5096</v>
      </c>
      <c r="B407" s="3" t="s">
        <v>378</v>
      </c>
      <c r="C407" s="20">
        <v>596066</v>
      </c>
      <c r="D407" s="20">
        <v>562852</v>
      </c>
      <c r="E407" s="56">
        <v>5.9</v>
      </c>
      <c r="F407" s="57">
        <v>29101</v>
      </c>
      <c r="G407" s="57">
        <v>10298</v>
      </c>
      <c r="H407" s="57">
        <v>-82</v>
      </c>
      <c r="I407" s="57">
        <v>-213</v>
      </c>
      <c r="J407" s="57">
        <v>24858</v>
      </c>
      <c r="K407" s="57">
        <v>6924</v>
      </c>
      <c r="L407" s="56">
        <v>259.01</v>
      </c>
      <c r="M407" s="20">
        <v>424439</v>
      </c>
      <c r="N407" s="56">
        <v>0.59</v>
      </c>
      <c r="O407" s="56">
        <v>0.16</v>
      </c>
      <c r="P407" s="58">
        <v>10.7</v>
      </c>
      <c r="Q407" s="59">
        <v>76.220875579131103</v>
      </c>
      <c r="R407" s="59">
        <v>3.3152474584632698</v>
      </c>
      <c r="S407" s="59">
        <v>2.3851507303063899</v>
      </c>
      <c r="X407" s="2">
        <f t="shared" si="18"/>
        <v>0.23779124420868897</v>
      </c>
      <c r="Y407" s="2">
        <f>SUMIF(收盤價!A:A,A407,收盤價!C:C)</f>
        <v>11.55</v>
      </c>
      <c r="Z407" s="2">
        <f t="shared" si="19"/>
        <v>454149.73</v>
      </c>
      <c r="AA407" s="2">
        <f t="shared" si="20"/>
        <v>490227.04500000004</v>
      </c>
    </row>
    <row r="408" spans="1:27" ht="14.5" customHeight="1">
      <c r="A408" s="19" t="s">
        <v>5097</v>
      </c>
      <c r="B408" s="3" t="s">
        <v>384</v>
      </c>
      <c r="C408" s="20">
        <v>3174698</v>
      </c>
      <c r="D408" s="20">
        <v>3675769</v>
      </c>
      <c r="E408" s="56">
        <v>-13.63</v>
      </c>
      <c r="F408" s="57">
        <v>200484</v>
      </c>
      <c r="G408" s="57">
        <v>73902</v>
      </c>
      <c r="H408" s="57">
        <v>-25423</v>
      </c>
      <c r="I408" s="57">
        <v>-19737</v>
      </c>
      <c r="J408" s="57">
        <v>117843</v>
      </c>
      <c r="K408" s="57">
        <v>10367</v>
      </c>
      <c r="L408" s="56">
        <v>1036.71</v>
      </c>
      <c r="M408" s="20">
        <v>993880</v>
      </c>
      <c r="N408" s="56">
        <v>1.19</v>
      </c>
      <c r="O408" s="56">
        <v>0.1</v>
      </c>
      <c r="P408" s="58">
        <v>14.74</v>
      </c>
      <c r="Q408" s="59">
        <v>50.468760280019602</v>
      </c>
      <c r="R408" s="59">
        <v>1.4067599225731799</v>
      </c>
      <c r="S408" s="59">
        <v>0.92761511511511496</v>
      </c>
      <c r="X408" s="2">
        <f t="shared" si="18"/>
        <v>0.49531239719980397</v>
      </c>
      <c r="Y408" s="2">
        <f>SUMIF(收盤價!A:A,A408,收盤價!C:C)</f>
        <v>17.55</v>
      </c>
      <c r="Z408" s="2">
        <f t="shared" si="19"/>
        <v>1464979.12</v>
      </c>
      <c r="AA408" s="2">
        <f t="shared" si="20"/>
        <v>1744259.4</v>
      </c>
    </row>
    <row r="409" spans="1:27" ht="14.5" customHeight="1">
      <c r="A409" s="19" t="s">
        <v>5098</v>
      </c>
      <c r="B409" s="3" t="s">
        <v>394</v>
      </c>
      <c r="C409" s="20">
        <v>7508185</v>
      </c>
      <c r="D409" s="20">
        <v>8034146</v>
      </c>
      <c r="E409" s="56">
        <v>-6.55</v>
      </c>
      <c r="F409" s="57">
        <v>989218</v>
      </c>
      <c r="G409" s="57">
        <v>1051474</v>
      </c>
      <c r="H409" s="57">
        <v>96286</v>
      </c>
      <c r="I409" s="57">
        <v>104460</v>
      </c>
      <c r="J409" s="57">
        <v>884866</v>
      </c>
      <c r="K409" s="57">
        <v>930149</v>
      </c>
      <c r="L409" s="56">
        <v>-4.87</v>
      </c>
      <c r="M409" s="20">
        <v>1500000</v>
      </c>
      <c r="N409" s="56">
        <v>5.9</v>
      </c>
      <c r="O409" s="56">
        <v>6.2</v>
      </c>
      <c r="P409" s="58">
        <v>32.82</v>
      </c>
      <c r="Q409" s="59">
        <v>70.390929153171797</v>
      </c>
      <c r="R409" s="59">
        <v>1.1743621029815301</v>
      </c>
      <c r="S409" s="59">
        <v>0.70560503760420001</v>
      </c>
      <c r="X409" s="2">
        <f t="shared" si="18"/>
        <v>0.296090708468282</v>
      </c>
      <c r="Y409" s="2">
        <f>SUMIF(收盤價!A:A,A409,收盤價!C:C)</f>
        <v>94.1</v>
      </c>
      <c r="Z409" s="2">
        <f t="shared" si="19"/>
        <v>4923000</v>
      </c>
      <c r="AA409" s="2">
        <f t="shared" si="20"/>
        <v>14115000</v>
      </c>
    </row>
    <row r="410" spans="1:27" ht="14.5" customHeight="1">
      <c r="A410" s="19" t="s">
        <v>5099</v>
      </c>
      <c r="B410" s="3" t="s">
        <v>396</v>
      </c>
      <c r="C410" s="20">
        <v>1614375</v>
      </c>
      <c r="D410" s="20">
        <v>1918688</v>
      </c>
      <c r="E410" s="56">
        <v>-15.86</v>
      </c>
      <c r="F410" s="57">
        <v>78294</v>
      </c>
      <c r="G410" s="57">
        <v>-14117</v>
      </c>
      <c r="H410" s="57">
        <v>13134</v>
      </c>
      <c r="I410" s="57">
        <v>3122</v>
      </c>
      <c r="J410" s="57">
        <v>59512</v>
      </c>
      <c r="K410" s="57">
        <v>-34365</v>
      </c>
      <c r="L410" s="56"/>
      <c r="M410" s="20">
        <v>699861</v>
      </c>
      <c r="N410" s="56">
        <v>0.86</v>
      </c>
      <c r="O410" s="56">
        <v>-0.49</v>
      </c>
      <c r="P410" s="58">
        <v>14.27</v>
      </c>
      <c r="Q410" s="59">
        <v>53.091675817674698</v>
      </c>
      <c r="R410" s="59">
        <v>2.3073566568362298</v>
      </c>
      <c r="S410" s="59">
        <v>1.1788705501030601</v>
      </c>
      <c r="X410" s="2">
        <f t="shared" si="18"/>
        <v>0.46908324182325301</v>
      </c>
      <c r="Y410" s="2">
        <f>SUMIF(收盤價!A:A,A410,收盤價!C:C)</f>
        <v>16</v>
      </c>
      <c r="Z410" s="2">
        <f t="shared" si="19"/>
        <v>998701.64699999988</v>
      </c>
      <c r="AA410" s="2">
        <f t="shared" si="20"/>
        <v>1119777.6000000001</v>
      </c>
    </row>
    <row r="411" spans="1:27" ht="14.5" customHeight="1">
      <c r="A411" s="19" t="s">
        <v>5100</v>
      </c>
      <c r="B411" s="3" t="s">
        <v>1287</v>
      </c>
      <c r="C411" s="20">
        <v>6153144</v>
      </c>
      <c r="D411" s="20">
        <v>5733237</v>
      </c>
      <c r="E411" s="56">
        <v>7.32</v>
      </c>
      <c r="F411" s="57">
        <v>269532</v>
      </c>
      <c r="G411" s="57">
        <v>-88706</v>
      </c>
      <c r="H411" s="57">
        <v>332522</v>
      </c>
      <c r="I411" s="57">
        <v>-36633</v>
      </c>
      <c r="J411" s="57">
        <v>824850</v>
      </c>
      <c r="K411" s="57">
        <v>1013327</v>
      </c>
      <c r="L411" s="56">
        <v>-18.600000000000001</v>
      </c>
      <c r="M411" s="20">
        <v>935046</v>
      </c>
      <c r="N411" s="56">
        <v>8.9700000000000006</v>
      </c>
      <c r="O411" s="56">
        <v>11.22</v>
      </c>
      <c r="P411" s="58">
        <v>55.48</v>
      </c>
      <c r="Q411" s="59">
        <v>52.708997470345999</v>
      </c>
      <c r="R411" s="59">
        <v>2.4084627680067601</v>
      </c>
      <c r="S411" s="59">
        <v>2.1064778215781201</v>
      </c>
      <c r="X411" s="2">
        <f t="shared" si="18"/>
        <v>0.47291002529654003</v>
      </c>
      <c r="Y411" s="2">
        <f>SUMIF(收盤價!A:A,A411,收盤價!C:C)</f>
        <v>83.9</v>
      </c>
      <c r="Z411" s="2">
        <f t="shared" si="19"/>
        <v>5187635.2079999996</v>
      </c>
      <c r="AA411" s="2">
        <f t="shared" si="20"/>
        <v>7845035.9400000004</v>
      </c>
    </row>
    <row r="412" spans="1:27" ht="14.5" customHeight="1">
      <c r="A412" s="19" t="s">
        <v>5101</v>
      </c>
      <c r="B412" s="3" t="s">
        <v>1363</v>
      </c>
      <c r="C412" s="20">
        <v>3232843</v>
      </c>
      <c r="D412" s="20">
        <v>3256852</v>
      </c>
      <c r="E412" s="56">
        <v>-0.74</v>
      </c>
      <c r="F412" s="57">
        <v>47264</v>
      </c>
      <c r="G412" s="57">
        <v>20926</v>
      </c>
      <c r="H412" s="57">
        <v>23586</v>
      </c>
      <c r="I412" s="57">
        <v>27053</v>
      </c>
      <c r="J412" s="57">
        <v>44182</v>
      </c>
      <c r="K412" s="57">
        <v>31171</v>
      </c>
      <c r="L412" s="56">
        <v>41.74</v>
      </c>
      <c r="M412" s="20">
        <v>886794</v>
      </c>
      <c r="N412" s="56">
        <v>0.5</v>
      </c>
      <c r="O412" s="56">
        <v>0.35</v>
      </c>
      <c r="P412" s="58">
        <v>12.31</v>
      </c>
      <c r="Q412" s="59">
        <v>37.277527542499598</v>
      </c>
      <c r="R412" s="59">
        <v>1.6099306401097599</v>
      </c>
      <c r="S412" s="59">
        <v>1.0299712124034699</v>
      </c>
      <c r="X412" s="2">
        <f t="shared" si="18"/>
        <v>0.627224724575004</v>
      </c>
      <c r="Y412" s="2">
        <f>SUMIF(收盤價!A:A,A412,收盤價!C:C)</f>
        <v>13.85</v>
      </c>
      <c r="Z412" s="2">
        <f t="shared" si="19"/>
        <v>1091643.4140000001</v>
      </c>
      <c r="AA412" s="2">
        <f t="shared" si="20"/>
        <v>1228209.69</v>
      </c>
    </row>
    <row r="413" spans="1:27" ht="14.5" customHeight="1">
      <c r="A413" s="19" t="s">
        <v>5102</v>
      </c>
      <c r="B413" s="3" t="s">
        <v>1365</v>
      </c>
      <c r="C413" s="20">
        <v>4292615</v>
      </c>
      <c r="D413" s="20">
        <v>4748831</v>
      </c>
      <c r="E413" s="56">
        <v>-9.61</v>
      </c>
      <c r="F413" s="57">
        <v>333871</v>
      </c>
      <c r="G413" s="57">
        <v>304658</v>
      </c>
      <c r="H413" s="57">
        <v>4663</v>
      </c>
      <c r="I413" s="57">
        <v>46593</v>
      </c>
      <c r="J413" s="57">
        <v>256708</v>
      </c>
      <c r="K413" s="57">
        <v>253856</v>
      </c>
      <c r="L413" s="56">
        <v>1.1200000000000001</v>
      </c>
      <c r="M413" s="20">
        <v>1000092</v>
      </c>
      <c r="N413" s="56">
        <v>2.57</v>
      </c>
      <c r="O413" s="56">
        <v>2.54</v>
      </c>
      <c r="P413" s="58">
        <v>25.07</v>
      </c>
      <c r="Q413" s="59">
        <v>76.325358175698696</v>
      </c>
      <c r="R413" s="59">
        <v>3.0351094050253402</v>
      </c>
      <c r="S413" s="59">
        <v>1.84512064355362</v>
      </c>
      <c r="X413" s="2">
        <f t="shared" si="18"/>
        <v>0.23674641824301304</v>
      </c>
      <c r="Y413" s="2">
        <f>SUMIF(收盤價!A:A,A413,收盤價!C:C)</f>
        <v>27.6</v>
      </c>
      <c r="Z413" s="2">
        <f t="shared" si="19"/>
        <v>2507230.6440000003</v>
      </c>
      <c r="AA413" s="2">
        <f t="shared" si="20"/>
        <v>2760253.9200000004</v>
      </c>
    </row>
    <row r="414" spans="1:27" ht="14.5" customHeight="1">
      <c r="A414" s="19" t="s">
        <v>5103</v>
      </c>
      <c r="B414" s="3" t="s">
        <v>1367</v>
      </c>
      <c r="C414" s="20">
        <v>10370301</v>
      </c>
      <c r="D414" s="20">
        <v>15166053</v>
      </c>
      <c r="E414" s="56">
        <v>-31.62</v>
      </c>
      <c r="F414" s="57">
        <v>-1206796</v>
      </c>
      <c r="G414" s="57">
        <v>338047</v>
      </c>
      <c r="H414" s="57">
        <v>-787416</v>
      </c>
      <c r="I414" s="57">
        <v>8128</v>
      </c>
      <c r="J414" s="57">
        <v>-2013070</v>
      </c>
      <c r="K414" s="57">
        <v>332064</v>
      </c>
      <c r="L414" s="56"/>
      <c r="M414" s="20">
        <v>2919750</v>
      </c>
      <c r="N414" s="56">
        <v>-6.89</v>
      </c>
      <c r="O414" s="56">
        <v>1.1399999999999999</v>
      </c>
      <c r="P414" s="58">
        <v>5.63</v>
      </c>
      <c r="Q414" s="59">
        <v>19.222223585450799</v>
      </c>
      <c r="R414" s="59">
        <v>1.3392948298868901</v>
      </c>
      <c r="S414" s="59">
        <v>0.61576764285857</v>
      </c>
      <c r="X414" s="2">
        <f t="shared" si="18"/>
        <v>0.80777776414549207</v>
      </c>
      <c r="Y414" s="2">
        <f>SUMIF(收盤價!A:A,A414,收盤價!C:C)</f>
        <v>12.3</v>
      </c>
      <c r="Z414" s="2">
        <f t="shared" si="19"/>
        <v>1643819.25</v>
      </c>
      <c r="AA414" s="2">
        <f t="shared" si="20"/>
        <v>3591292.5</v>
      </c>
    </row>
    <row r="415" spans="1:27" ht="14.5" customHeight="1">
      <c r="A415" s="19" t="s">
        <v>5104</v>
      </c>
      <c r="B415" s="3" t="s">
        <v>1371</v>
      </c>
      <c r="C415" s="20">
        <v>6369520</v>
      </c>
      <c r="D415" s="20">
        <v>6310637</v>
      </c>
      <c r="E415" s="56">
        <v>0.93</v>
      </c>
      <c r="F415" s="57">
        <v>240618</v>
      </c>
      <c r="G415" s="57">
        <v>555640</v>
      </c>
      <c r="H415" s="57">
        <v>-12575</v>
      </c>
      <c r="I415" s="57">
        <v>-17717</v>
      </c>
      <c r="J415" s="57">
        <v>128016</v>
      </c>
      <c r="K415" s="57">
        <v>393022</v>
      </c>
      <c r="L415" s="56">
        <v>-67.430000000000007</v>
      </c>
      <c r="M415" s="20">
        <v>930293</v>
      </c>
      <c r="N415" s="56">
        <v>1.4</v>
      </c>
      <c r="O415" s="56">
        <v>4.63</v>
      </c>
      <c r="P415" s="58">
        <v>36.9</v>
      </c>
      <c r="Q415" s="59">
        <v>47.660046354810603</v>
      </c>
      <c r="R415" s="59">
        <v>1.5525583623435499</v>
      </c>
      <c r="S415" s="59">
        <v>0.68183111191949597</v>
      </c>
      <c r="X415" s="2">
        <f t="shared" si="18"/>
        <v>0.52339953645189397</v>
      </c>
      <c r="Y415" s="2">
        <f>SUMIF(收盤價!A:A,A415,收盤價!C:C)</f>
        <v>77.5</v>
      </c>
      <c r="Z415" s="2">
        <f t="shared" si="19"/>
        <v>3432781.1699999995</v>
      </c>
      <c r="AA415" s="2">
        <f t="shared" si="20"/>
        <v>7209770.75</v>
      </c>
    </row>
    <row r="416" spans="1:27" ht="14.5" customHeight="1">
      <c r="A416" s="19" t="s">
        <v>5105</v>
      </c>
      <c r="B416" s="3" t="s">
        <v>1375</v>
      </c>
      <c r="C416" s="20">
        <v>3936381</v>
      </c>
      <c r="D416" s="20">
        <v>4049356</v>
      </c>
      <c r="E416" s="56">
        <v>-2.79</v>
      </c>
      <c r="F416" s="57">
        <v>338636</v>
      </c>
      <c r="G416" s="57">
        <v>412968</v>
      </c>
      <c r="H416" s="57">
        <v>38329</v>
      </c>
      <c r="I416" s="57">
        <v>81288</v>
      </c>
      <c r="J416" s="57">
        <v>324475</v>
      </c>
      <c r="K416" s="57">
        <v>397732</v>
      </c>
      <c r="L416" s="56">
        <v>-18.420000000000002</v>
      </c>
      <c r="M416" s="20">
        <v>907060</v>
      </c>
      <c r="N416" s="56">
        <v>3.58</v>
      </c>
      <c r="O416" s="56">
        <v>4.38</v>
      </c>
      <c r="P416" s="58">
        <v>34.79</v>
      </c>
      <c r="Q416" s="59">
        <v>74.687115069002104</v>
      </c>
      <c r="R416" s="59">
        <v>1.98266877499844</v>
      </c>
      <c r="S416" s="59">
        <v>1.2285032654889101</v>
      </c>
      <c r="X416" s="2">
        <f t="shared" si="18"/>
        <v>0.25312884930997898</v>
      </c>
      <c r="Y416" s="2">
        <f>SUMIF(收盤價!A:A,A416,收盤價!C:C)</f>
        <v>49.9</v>
      </c>
      <c r="Z416" s="2">
        <f t="shared" si="19"/>
        <v>3155661.7399999998</v>
      </c>
      <c r="AA416" s="2">
        <f t="shared" si="20"/>
        <v>4526229.4000000004</v>
      </c>
    </row>
    <row r="417" spans="1:27" ht="14.5" customHeight="1">
      <c r="A417" s="19" t="s">
        <v>5106</v>
      </c>
      <c r="B417" s="3" t="s">
        <v>1377</v>
      </c>
      <c r="C417" s="20">
        <v>2174990</v>
      </c>
      <c r="D417" s="20">
        <v>1739194</v>
      </c>
      <c r="E417" s="56">
        <v>25.06</v>
      </c>
      <c r="F417" s="57">
        <v>391144</v>
      </c>
      <c r="G417" s="57">
        <v>162168</v>
      </c>
      <c r="H417" s="57">
        <v>-12783</v>
      </c>
      <c r="I417" s="57">
        <v>47884</v>
      </c>
      <c r="J417" s="57">
        <v>329677</v>
      </c>
      <c r="K417" s="57">
        <v>225098</v>
      </c>
      <c r="L417" s="56">
        <v>46.46</v>
      </c>
      <c r="M417" s="20">
        <v>510767</v>
      </c>
      <c r="N417" s="56">
        <v>6.52</v>
      </c>
      <c r="O417" s="56">
        <v>4.41</v>
      </c>
      <c r="P417" s="58">
        <v>24.91</v>
      </c>
      <c r="Q417" s="59">
        <v>48.691824609457498</v>
      </c>
      <c r="R417" s="59">
        <v>1.2703928847255801</v>
      </c>
      <c r="S417" s="59">
        <v>0.87469543336904299</v>
      </c>
      <c r="X417" s="2">
        <f t="shared" si="18"/>
        <v>0.51308175390542499</v>
      </c>
      <c r="Y417" s="2">
        <f>SUMIF(收盤價!A:A,A417,收盤價!C:C)</f>
        <v>123.5</v>
      </c>
      <c r="Z417" s="2">
        <f t="shared" si="19"/>
        <v>1272320.5970000001</v>
      </c>
      <c r="AA417" s="2">
        <f t="shared" si="20"/>
        <v>6307972.4500000002</v>
      </c>
    </row>
    <row r="418" spans="1:27" ht="14.5" customHeight="1">
      <c r="A418" s="19" t="s">
        <v>5107</v>
      </c>
      <c r="B418" s="3" t="s">
        <v>1379</v>
      </c>
      <c r="C418" s="20">
        <v>3496960</v>
      </c>
      <c r="D418" s="20">
        <v>4530279</v>
      </c>
      <c r="E418" s="56">
        <v>-22.81</v>
      </c>
      <c r="F418" s="57">
        <v>243400</v>
      </c>
      <c r="G418" s="57">
        <v>745507</v>
      </c>
      <c r="H418" s="57">
        <v>13717</v>
      </c>
      <c r="I418" s="57">
        <v>51898</v>
      </c>
      <c r="J418" s="57">
        <v>194461</v>
      </c>
      <c r="K418" s="57">
        <v>562234</v>
      </c>
      <c r="L418" s="56">
        <v>-65.41</v>
      </c>
      <c r="M418" s="20">
        <v>767886</v>
      </c>
      <c r="N418" s="56">
        <v>2.5299999999999998</v>
      </c>
      <c r="O418" s="56">
        <v>7.32</v>
      </c>
      <c r="P418" s="58">
        <v>30.61</v>
      </c>
      <c r="Q418" s="59">
        <v>58.198747566783602</v>
      </c>
      <c r="R418" s="59">
        <v>1.97706392286494</v>
      </c>
      <c r="S418" s="59">
        <v>1.5392598076308901</v>
      </c>
      <c r="X418" s="2">
        <f t="shared" si="18"/>
        <v>0.41801252433216396</v>
      </c>
      <c r="Y418" s="2">
        <f>SUMIF(收盤價!A:A,A418,收盤價!C:C)</f>
        <v>68.3</v>
      </c>
      <c r="Z418" s="2">
        <f t="shared" si="19"/>
        <v>2350499.0460000001</v>
      </c>
      <c r="AA418" s="2">
        <f t="shared" si="20"/>
        <v>5244661.38</v>
      </c>
    </row>
    <row r="419" spans="1:27" ht="14.5" customHeight="1">
      <c r="A419" s="19" t="s">
        <v>5108</v>
      </c>
      <c r="B419" s="3" t="s">
        <v>1381</v>
      </c>
      <c r="C419" s="20">
        <v>17113546</v>
      </c>
      <c r="D419" s="20">
        <v>16022220</v>
      </c>
      <c r="E419" s="56">
        <v>6.81</v>
      </c>
      <c r="F419" s="57">
        <v>1682029</v>
      </c>
      <c r="G419" s="57">
        <v>901010</v>
      </c>
      <c r="H419" s="57">
        <v>110653</v>
      </c>
      <c r="I419" s="57">
        <v>134802</v>
      </c>
      <c r="J419" s="57">
        <v>1228200</v>
      </c>
      <c r="K419" s="57">
        <v>672775</v>
      </c>
      <c r="L419" s="56">
        <v>82.56</v>
      </c>
      <c r="M419" s="20">
        <v>1205707</v>
      </c>
      <c r="N419" s="56">
        <v>10.19</v>
      </c>
      <c r="O419" s="56">
        <v>6.15</v>
      </c>
      <c r="P419" s="58">
        <v>80.790000000000006</v>
      </c>
      <c r="Q419" s="59">
        <v>52.943836889712998</v>
      </c>
      <c r="R419" s="59">
        <v>2.2636030457456799</v>
      </c>
      <c r="S419" s="59">
        <v>1.5774050282676</v>
      </c>
      <c r="X419" s="2">
        <f t="shared" si="18"/>
        <v>0.47056163110287003</v>
      </c>
      <c r="Y419" s="2">
        <f>SUMIF(收盤價!A:A,A419,收盤價!C:C)</f>
        <v>150.5</v>
      </c>
      <c r="Z419" s="2">
        <f t="shared" si="19"/>
        <v>9740906.8530000001</v>
      </c>
      <c r="AA419" s="2">
        <f t="shared" si="20"/>
        <v>18145890.350000001</v>
      </c>
    </row>
    <row r="420" spans="1:27" ht="14.5" customHeight="1">
      <c r="A420" s="19" t="s">
        <v>5109</v>
      </c>
      <c r="B420" s="3" t="s">
        <v>306</v>
      </c>
      <c r="C420" s="20">
        <v>5850528</v>
      </c>
      <c r="D420" s="20">
        <v>5557150</v>
      </c>
      <c r="E420" s="56">
        <v>5.28</v>
      </c>
      <c r="F420" s="57">
        <v>327705</v>
      </c>
      <c r="G420" s="57">
        <v>85090</v>
      </c>
      <c r="H420" s="57">
        <v>-49061</v>
      </c>
      <c r="I420" s="57">
        <v>61571</v>
      </c>
      <c r="J420" s="57">
        <v>189001</v>
      </c>
      <c r="K420" s="57">
        <v>107123</v>
      </c>
      <c r="L420" s="56">
        <v>76.430000000000007</v>
      </c>
      <c r="M420" s="20">
        <v>961009</v>
      </c>
      <c r="N420" s="56">
        <v>2.0499999999999998</v>
      </c>
      <c r="O420" s="56">
        <v>1.1599999999999999</v>
      </c>
      <c r="P420" s="58">
        <v>20.57</v>
      </c>
      <c r="Q420" s="59">
        <v>25.963904710717198</v>
      </c>
      <c r="R420" s="59">
        <v>0.92883049973431298</v>
      </c>
      <c r="S420" s="59">
        <v>0.49232151047140499</v>
      </c>
      <c r="X420" s="2">
        <f t="shared" si="18"/>
        <v>0.74036095289282799</v>
      </c>
      <c r="Y420" s="2">
        <f>SUMIF(收盤價!A:A,A420,收盤價!C:C)</f>
        <v>41.2</v>
      </c>
      <c r="Z420" s="2">
        <f t="shared" si="19"/>
        <v>1976795.5129999998</v>
      </c>
      <c r="AA420" s="2">
        <f t="shared" si="20"/>
        <v>3959357.0800000005</v>
      </c>
    </row>
    <row r="421" spans="1:27" ht="14.5" customHeight="1">
      <c r="A421" s="19" t="s">
        <v>5110</v>
      </c>
      <c r="B421" s="3" t="s">
        <v>334</v>
      </c>
      <c r="C421" s="20">
        <v>7969700</v>
      </c>
      <c r="D421" s="20">
        <v>7580236</v>
      </c>
      <c r="E421" s="56">
        <v>5.14</v>
      </c>
      <c r="F421" s="57">
        <v>374640</v>
      </c>
      <c r="G421" s="57">
        <v>336442</v>
      </c>
      <c r="H421" s="57">
        <v>70914</v>
      </c>
      <c r="I421" s="57">
        <v>114046</v>
      </c>
      <c r="J421" s="57">
        <v>384690</v>
      </c>
      <c r="K421" s="57">
        <v>369870</v>
      </c>
      <c r="L421" s="56">
        <v>4.01</v>
      </c>
      <c r="M421" s="20">
        <v>2980811</v>
      </c>
      <c r="N421" s="56">
        <v>1.29</v>
      </c>
      <c r="O421" s="56">
        <v>1.24</v>
      </c>
      <c r="P421" s="58">
        <v>19.87</v>
      </c>
      <c r="Q421" s="59">
        <v>51.014963415229303</v>
      </c>
      <c r="R421" s="59">
        <v>1.8134628819779599</v>
      </c>
      <c r="S421" s="59">
        <v>1.05365190090954</v>
      </c>
      <c r="X421" s="2">
        <f t="shared" si="18"/>
        <v>0.48985036584770697</v>
      </c>
      <c r="Y421" s="2">
        <f>SUMIF(收盤價!A:A,A421,收盤價!C:C)</f>
        <v>19.25</v>
      </c>
      <c r="Z421" s="2">
        <f t="shared" si="19"/>
        <v>5922871.4570000004</v>
      </c>
      <c r="AA421" s="2">
        <f t="shared" si="20"/>
        <v>5738061.1749999998</v>
      </c>
    </row>
    <row r="422" spans="1:27" ht="14.5" customHeight="1">
      <c r="A422" s="19" t="s">
        <v>5111</v>
      </c>
      <c r="B422" s="3" t="s">
        <v>338</v>
      </c>
      <c r="C422" s="20">
        <v>9239070</v>
      </c>
      <c r="D422" s="20">
        <v>9183321</v>
      </c>
      <c r="E422" s="56">
        <v>0.61</v>
      </c>
      <c r="F422" s="57">
        <v>2335001</v>
      </c>
      <c r="G422" s="57">
        <v>2349837</v>
      </c>
      <c r="H422" s="57">
        <v>105105</v>
      </c>
      <c r="I422" s="57">
        <v>76827</v>
      </c>
      <c r="J422" s="57">
        <v>1309020</v>
      </c>
      <c r="K422" s="57">
        <v>1295394</v>
      </c>
      <c r="L422" s="56">
        <v>1.05</v>
      </c>
      <c r="M422" s="20">
        <v>1362864</v>
      </c>
      <c r="N422" s="56">
        <v>9.6300000000000008</v>
      </c>
      <c r="O422" s="56">
        <v>9.57</v>
      </c>
      <c r="P422" s="58">
        <v>45.38</v>
      </c>
      <c r="Q422" s="59">
        <v>54.347939193266797</v>
      </c>
      <c r="R422" s="59">
        <v>1.09109861983541</v>
      </c>
      <c r="S422" s="59">
        <v>0.83634835500763804</v>
      </c>
      <c r="X422" s="2">
        <f t="shared" si="18"/>
        <v>0.45652060806733202</v>
      </c>
      <c r="Y422" s="2">
        <f>SUMIF(收盤價!A:A,A422,收盤價!C:C)</f>
        <v>195</v>
      </c>
      <c r="Z422" s="2">
        <f t="shared" si="19"/>
        <v>6184676.8320000004</v>
      </c>
      <c r="AA422" s="2">
        <f t="shared" si="20"/>
        <v>26575848</v>
      </c>
    </row>
    <row r="423" spans="1:27" ht="14.5" customHeight="1">
      <c r="A423" s="19" t="s">
        <v>5112</v>
      </c>
      <c r="B423" s="3" t="s">
        <v>358</v>
      </c>
      <c r="C423" s="20">
        <v>3937129</v>
      </c>
      <c r="D423" s="20">
        <v>3573093</v>
      </c>
      <c r="E423" s="56">
        <v>10.19</v>
      </c>
      <c r="F423" s="57">
        <v>515844</v>
      </c>
      <c r="G423" s="57">
        <v>388258</v>
      </c>
      <c r="H423" s="57">
        <v>69966</v>
      </c>
      <c r="I423" s="57">
        <v>129208</v>
      </c>
      <c r="J423" s="57">
        <v>376482</v>
      </c>
      <c r="K423" s="57">
        <v>374359</v>
      </c>
      <c r="L423" s="56">
        <v>0.56999999999999995</v>
      </c>
      <c r="M423" s="20">
        <v>1786961</v>
      </c>
      <c r="N423" s="56">
        <v>2.11</v>
      </c>
      <c r="O423" s="56">
        <v>2.09</v>
      </c>
      <c r="P423" s="58">
        <v>21.06</v>
      </c>
      <c r="Q423" s="59">
        <v>54.333282717504197</v>
      </c>
      <c r="R423" s="59">
        <v>1.99332894295598</v>
      </c>
      <c r="S423" s="59">
        <v>1.3892229473331199</v>
      </c>
      <c r="X423" s="2">
        <f t="shared" si="18"/>
        <v>0.45666717282495806</v>
      </c>
      <c r="Y423" s="2">
        <f>SUMIF(收盤價!A:A,A423,收盤價!C:C)</f>
        <v>33.700000000000003</v>
      </c>
      <c r="Z423" s="2">
        <f t="shared" si="19"/>
        <v>3763339.8659999995</v>
      </c>
      <c r="AA423" s="2">
        <f t="shared" si="20"/>
        <v>6022058.5700000003</v>
      </c>
    </row>
    <row r="424" spans="1:27" ht="14.5" customHeight="1">
      <c r="A424" s="19" t="s">
        <v>5113</v>
      </c>
      <c r="B424" s="3" t="s">
        <v>376</v>
      </c>
      <c r="C424" s="20">
        <v>1100863</v>
      </c>
      <c r="D424" s="20">
        <v>1123398</v>
      </c>
      <c r="E424" s="56">
        <v>-2.0099999999999998</v>
      </c>
      <c r="F424" s="57">
        <v>147926</v>
      </c>
      <c r="G424" s="57">
        <v>137568</v>
      </c>
      <c r="H424" s="57">
        <v>-13096</v>
      </c>
      <c r="I424" s="57">
        <v>-26379</v>
      </c>
      <c r="J424" s="57">
        <v>100605</v>
      </c>
      <c r="K424" s="57">
        <v>75765</v>
      </c>
      <c r="L424" s="56">
        <v>32.79</v>
      </c>
      <c r="M424" s="20">
        <v>1329152</v>
      </c>
      <c r="N424" s="56">
        <v>0.76</v>
      </c>
      <c r="O424" s="56">
        <v>0.56999999999999995</v>
      </c>
      <c r="P424" s="58">
        <v>13.22</v>
      </c>
      <c r="Q424" s="59">
        <v>64.254243168866495</v>
      </c>
      <c r="R424" s="59">
        <v>2.3805328051512902</v>
      </c>
      <c r="S424" s="59">
        <v>1.2945732920577799</v>
      </c>
      <c r="X424" s="2">
        <f t="shared" si="18"/>
        <v>0.35745756831133507</v>
      </c>
      <c r="Y424" s="2">
        <f>SUMIF(收盤價!A:A,A424,收盤價!C:C)</f>
        <v>13.3</v>
      </c>
      <c r="Z424" s="2">
        <f t="shared" si="19"/>
        <v>1757138.9440000001</v>
      </c>
      <c r="AA424" s="2">
        <f t="shared" si="20"/>
        <v>1767772.1600000001</v>
      </c>
    </row>
    <row r="425" spans="1:27" ht="14.5" customHeight="1">
      <c r="A425" s="19" t="s">
        <v>5114</v>
      </c>
      <c r="B425" s="3" t="s">
        <v>380</v>
      </c>
      <c r="C425" s="20">
        <v>2198862</v>
      </c>
      <c r="D425" s="20">
        <v>2043614</v>
      </c>
      <c r="E425" s="56">
        <v>7.6</v>
      </c>
      <c r="F425" s="57">
        <v>203276</v>
      </c>
      <c r="G425" s="57">
        <v>227352</v>
      </c>
      <c r="H425" s="57">
        <v>-40336</v>
      </c>
      <c r="I425" s="57">
        <v>-66007</v>
      </c>
      <c r="J425" s="57">
        <v>113859</v>
      </c>
      <c r="K425" s="57">
        <v>95119</v>
      </c>
      <c r="L425" s="56">
        <v>19.7</v>
      </c>
      <c r="M425" s="20">
        <v>999862</v>
      </c>
      <c r="N425" s="56">
        <v>1.1399999999999999</v>
      </c>
      <c r="O425" s="56">
        <v>0.95</v>
      </c>
      <c r="P425" s="58">
        <v>16.77</v>
      </c>
      <c r="Q425" s="59">
        <v>59.548801431622799</v>
      </c>
      <c r="R425" s="59">
        <v>2.8614119237702802</v>
      </c>
      <c r="S425" s="59">
        <v>1.81741404841617</v>
      </c>
      <c r="X425" s="2">
        <f t="shared" si="18"/>
        <v>0.404511985683772</v>
      </c>
      <c r="Y425" s="2">
        <f>SUMIF(收盤價!A:A,A425,收盤價!C:C)</f>
        <v>28.35</v>
      </c>
      <c r="Z425" s="2">
        <f t="shared" si="19"/>
        <v>1676768.574</v>
      </c>
      <c r="AA425" s="2">
        <f t="shared" si="20"/>
        <v>2834608.7700000005</v>
      </c>
    </row>
    <row r="426" spans="1:27" ht="14.5" customHeight="1">
      <c r="A426" s="19" t="s">
        <v>5115</v>
      </c>
      <c r="B426" s="3" t="s">
        <v>382</v>
      </c>
      <c r="C426" s="20">
        <v>2394589</v>
      </c>
      <c r="D426" s="20">
        <v>2215837</v>
      </c>
      <c r="E426" s="56">
        <v>8.07</v>
      </c>
      <c r="F426" s="57">
        <v>-146970</v>
      </c>
      <c r="G426" s="57">
        <v>-119296</v>
      </c>
      <c r="H426" s="57">
        <v>60264</v>
      </c>
      <c r="I426" s="57">
        <v>31615</v>
      </c>
      <c r="J426" s="57">
        <v>13961</v>
      </c>
      <c r="K426" s="57">
        <v>8785</v>
      </c>
      <c r="L426" s="56">
        <v>58.92</v>
      </c>
      <c r="M426" s="20">
        <v>1677221</v>
      </c>
      <c r="N426" s="56">
        <v>0.08</v>
      </c>
      <c r="O426" s="56">
        <v>0.05</v>
      </c>
      <c r="P426" s="58">
        <v>16.59</v>
      </c>
      <c r="Q426" s="59">
        <v>47.0403060986485</v>
      </c>
      <c r="R426" s="59">
        <v>1.9570800560303101</v>
      </c>
      <c r="S426" s="59">
        <v>1.28284318348369</v>
      </c>
      <c r="X426" s="2">
        <f t="shared" si="18"/>
        <v>0.52959693901351501</v>
      </c>
      <c r="Y426" s="2">
        <f>SUMIF(收盤價!A:A,A426,收盤價!C:C)</f>
        <v>19.399999999999999</v>
      </c>
      <c r="Z426" s="2">
        <f t="shared" si="19"/>
        <v>2782509.639</v>
      </c>
      <c r="AA426" s="2">
        <f t="shared" si="20"/>
        <v>3253808.7399999998</v>
      </c>
    </row>
    <row r="427" spans="1:27" ht="14.5" customHeight="1">
      <c r="A427" s="19" t="s">
        <v>5116</v>
      </c>
      <c r="B427" s="3" t="s">
        <v>386</v>
      </c>
      <c r="C427" s="20">
        <v>25372561</v>
      </c>
      <c r="D427" s="20">
        <v>21757064</v>
      </c>
      <c r="E427" s="56">
        <v>16.62</v>
      </c>
      <c r="F427" s="57">
        <v>1609133</v>
      </c>
      <c r="G427" s="57">
        <v>51645</v>
      </c>
      <c r="H427" s="57">
        <v>8069</v>
      </c>
      <c r="I427" s="57">
        <v>241210</v>
      </c>
      <c r="J427" s="57">
        <v>1292531</v>
      </c>
      <c r="K427" s="57">
        <v>389787</v>
      </c>
      <c r="L427" s="56">
        <v>231.6</v>
      </c>
      <c r="M427" s="20">
        <v>3036166</v>
      </c>
      <c r="N427" s="56">
        <v>4.26</v>
      </c>
      <c r="O427" s="56">
        <v>1.29</v>
      </c>
      <c r="P427" s="58">
        <v>30.13</v>
      </c>
      <c r="Q427" s="59">
        <v>33.895194304606299</v>
      </c>
      <c r="R427" s="59">
        <v>1.39623560755333</v>
      </c>
      <c r="S427" s="59">
        <v>0.85390773139087905</v>
      </c>
      <c r="X427" s="2">
        <f t="shared" si="18"/>
        <v>0.66104805695393709</v>
      </c>
      <c r="Y427" s="2">
        <f>SUMIF(收盤價!A:A,A427,收盤價!C:C)</f>
        <v>85</v>
      </c>
      <c r="Z427" s="2">
        <f t="shared" si="19"/>
        <v>9147968.1579999998</v>
      </c>
      <c r="AA427" s="2">
        <f t="shared" si="20"/>
        <v>25807411</v>
      </c>
    </row>
    <row r="428" spans="1:27" ht="14.5" customHeight="1">
      <c r="A428" s="19" t="s">
        <v>5117</v>
      </c>
      <c r="B428" s="3" t="s">
        <v>390</v>
      </c>
      <c r="C428" s="20">
        <v>1573944</v>
      </c>
      <c r="D428" s="20">
        <v>1408741</v>
      </c>
      <c r="E428" s="56">
        <v>11.73</v>
      </c>
      <c r="F428" s="57">
        <v>223933</v>
      </c>
      <c r="G428" s="57">
        <v>212538</v>
      </c>
      <c r="H428" s="57">
        <v>2361</v>
      </c>
      <c r="I428" s="57">
        <v>31840</v>
      </c>
      <c r="J428" s="57">
        <v>161329</v>
      </c>
      <c r="K428" s="57">
        <v>159171</v>
      </c>
      <c r="L428" s="56">
        <v>1.36</v>
      </c>
      <c r="M428" s="20">
        <v>767391</v>
      </c>
      <c r="N428" s="56">
        <v>2.1</v>
      </c>
      <c r="O428" s="56">
        <v>2.09</v>
      </c>
      <c r="P428" s="58">
        <v>17.72</v>
      </c>
      <c r="Q428" s="59">
        <v>71.088151173065796</v>
      </c>
      <c r="R428" s="59">
        <v>3.1372789514617598</v>
      </c>
      <c r="S428" s="59">
        <v>2.1180880496729699</v>
      </c>
      <c r="X428" s="2">
        <f t="shared" si="18"/>
        <v>0.28911848826934206</v>
      </c>
      <c r="Y428" s="2">
        <f>SUMIF(收盤價!A:A,A428,收盤價!C:C)</f>
        <v>85.8</v>
      </c>
      <c r="Z428" s="2">
        <f t="shared" si="19"/>
        <v>1359816.852</v>
      </c>
      <c r="AA428" s="2">
        <f t="shared" si="20"/>
        <v>6584214.7799999993</v>
      </c>
    </row>
    <row r="429" spans="1:27" ht="14.5" customHeight="1">
      <c r="A429" s="19" t="s">
        <v>5118</v>
      </c>
      <c r="B429" s="3" t="s">
        <v>392</v>
      </c>
      <c r="C429" s="20">
        <v>1156642</v>
      </c>
      <c r="D429" s="20">
        <v>1019452</v>
      </c>
      <c r="E429" s="56">
        <v>13.46</v>
      </c>
      <c r="F429" s="57">
        <v>121108</v>
      </c>
      <c r="G429" s="57">
        <v>30976</v>
      </c>
      <c r="H429" s="57">
        <v>22635</v>
      </c>
      <c r="I429" s="57">
        <v>209270</v>
      </c>
      <c r="J429" s="57">
        <v>117003</v>
      </c>
      <c r="K429" s="57">
        <v>234251</v>
      </c>
      <c r="L429" s="56">
        <v>-50.05</v>
      </c>
      <c r="M429" s="20">
        <v>775600</v>
      </c>
      <c r="N429" s="56">
        <v>1.51</v>
      </c>
      <c r="O429" s="56">
        <v>3.02</v>
      </c>
      <c r="P429" s="58">
        <v>25.98</v>
      </c>
      <c r="Q429" s="59">
        <v>58.5923130630703</v>
      </c>
      <c r="R429" s="59">
        <v>1.19284309065233</v>
      </c>
      <c r="S429" s="59">
        <v>0.472719639430834</v>
      </c>
      <c r="X429" s="2">
        <f t="shared" si="18"/>
        <v>0.414076869369297</v>
      </c>
      <c r="Y429" s="2">
        <f>SUMIF(收盤價!A:A,A429,收盤價!C:C)</f>
        <v>35.5</v>
      </c>
      <c r="Z429" s="2">
        <f t="shared" si="19"/>
        <v>2015008.8</v>
      </c>
      <c r="AA429" s="2">
        <f t="shared" si="20"/>
        <v>2753380</v>
      </c>
    </row>
    <row r="430" spans="1:27" ht="14.5" customHeight="1">
      <c r="A430" s="19" t="s">
        <v>5119</v>
      </c>
      <c r="B430" s="3" t="s">
        <v>398</v>
      </c>
      <c r="C430" s="20">
        <v>452199</v>
      </c>
      <c r="D430" s="20">
        <v>427680</v>
      </c>
      <c r="E430" s="56">
        <v>5.73</v>
      </c>
      <c r="F430" s="57">
        <v>65621</v>
      </c>
      <c r="G430" s="57">
        <v>46188</v>
      </c>
      <c r="H430" s="57">
        <v>7174</v>
      </c>
      <c r="I430" s="57">
        <v>11120</v>
      </c>
      <c r="J430" s="57">
        <v>60111</v>
      </c>
      <c r="K430" s="57">
        <v>57055</v>
      </c>
      <c r="L430" s="56">
        <v>5.36</v>
      </c>
      <c r="M430" s="20">
        <v>694650</v>
      </c>
      <c r="N430" s="56">
        <v>0.87</v>
      </c>
      <c r="O430" s="56">
        <v>0.82</v>
      </c>
      <c r="P430" s="58">
        <v>12.26</v>
      </c>
      <c r="Q430" s="59">
        <v>71.811645181807293</v>
      </c>
      <c r="R430" s="59">
        <v>1.9883584407516699</v>
      </c>
      <c r="S430" s="59">
        <v>1.1612331107314799</v>
      </c>
      <c r="X430" s="2">
        <f t="shared" si="18"/>
        <v>0.28188354818192707</v>
      </c>
      <c r="Y430" s="2">
        <f>SUMIF(收盤價!A:A,A430,收盤價!C:C)</f>
        <v>25.25</v>
      </c>
      <c r="Z430" s="2">
        <f t="shared" si="19"/>
        <v>851640.9</v>
      </c>
      <c r="AA430" s="2">
        <f t="shared" si="20"/>
        <v>1753991.25</v>
      </c>
    </row>
    <row r="431" spans="1:27" ht="14.5" customHeight="1">
      <c r="A431" s="19" t="s">
        <v>5120</v>
      </c>
      <c r="B431" s="3" t="s">
        <v>400</v>
      </c>
      <c r="C431" s="20">
        <v>437873</v>
      </c>
      <c r="D431" s="20">
        <v>329581</v>
      </c>
      <c r="E431" s="56">
        <v>32.86</v>
      </c>
      <c r="F431" s="57">
        <v>134187</v>
      </c>
      <c r="G431" s="57">
        <v>80660</v>
      </c>
      <c r="H431" s="57">
        <v>90</v>
      </c>
      <c r="I431" s="57">
        <v>12440</v>
      </c>
      <c r="J431" s="57">
        <v>120703</v>
      </c>
      <c r="K431" s="57">
        <v>86869</v>
      </c>
      <c r="L431" s="56">
        <v>38.950000000000003</v>
      </c>
      <c r="M431" s="20">
        <v>581000</v>
      </c>
      <c r="N431" s="56">
        <v>2.09</v>
      </c>
      <c r="O431" s="56">
        <v>1.66</v>
      </c>
      <c r="P431" s="58">
        <v>23.42</v>
      </c>
      <c r="Q431" s="59">
        <v>73.086803681294597</v>
      </c>
      <c r="R431" s="59">
        <v>3.6397446479923299</v>
      </c>
      <c r="S431" s="59">
        <v>2.6119794440302502</v>
      </c>
      <c r="X431" s="2">
        <f t="shared" si="18"/>
        <v>0.26913196318705401</v>
      </c>
      <c r="Y431" s="2">
        <f>SUMIF(收盤價!A:A,A431,收盤價!C:C)</f>
        <v>71.8</v>
      </c>
      <c r="Z431" s="2">
        <f t="shared" si="19"/>
        <v>1360702.0000000002</v>
      </c>
      <c r="AA431" s="2">
        <f t="shared" si="20"/>
        <v>4171580</v>
      </c>
    </row>
    <row r="432" spans="1:27" ht="14.5" customHeight="1">
      <c r="A432" s="19" t="s">
        <v>5121</v>
      </c>
      <c r="B432" s="3" t="s">
        <v>402</v>
      </c>
      <c r="C432" s="20">
        <v>2892783</v>
      </c>
      <c r="D432" s="20">
        <v>3524263</v>
      </c>
      <c r="E432" s="56">
        <v>-17.920000000000002</v>
      </c>
      <c r="F432" s="57">
        <v>266854</v>
      </c>
      <c r="G432" s="57">
        <v>558412</v>
      </c>
      <c r="H432" s="57">
        <v>-1800</v>
      </c>
      <c r="I432" s="57">
        <v>-67871</v>
      </c>
      <c r="J432" s="57">
        <v>216656</v>
      </c>
      <c r="K432" s="57">
        <v>442978</v>
      </c>
      <c r="L432" s="56">
        <v>-51.09</v>
      </c>
      <c r="M432" s="20">
        <v>7907392</v>
      </c>
      <c r="N432" s="56">
        <v>0.27</v>
      </c>
      <c r="O432" s="56">
        <v>0.56000000000000005</v>
      </c>
      <c r="P432" s="58">
        <v>12.98</v>
      </c>
      <c r="Q432" s="59">
        <v>87.882887960526801</v>
      </c>
      <c r="R432" s="59">
        <v>7.2889866760499196</v>
      </c>
      <c r="S432" s="59">
        <v>5.3513974441420098</v>
      </c>
      <c r="X432" s="2">
        <f t="shared" si="18"/>
        <v>0.12117112039473199</v>
      </c>
      <c r="Y432" s="2">
        <f>SUMIF(收盤價!A:A,A432,收盤價!C:C)</f>
        <v>26.6</v>
      </c>
      <c r="Z432" s="2">
        <f t="shared" si="19"/>
        <v>10263794.816</v>
      </c>
      <c r="AA432" s="2">
        <f t="shared" si="20"/>
        <v>21033662.720000003</v>
      </c>
    </row>
    <row r="433" spans="1:27" ht="14.5" customHeight="1">
      <c r="A433" s="19" t="s">
        <v>5122</v>
      </c>
      <c r="B433" s="3" t="s">
        <v>404</v>
      </c>
      <c r="C433" s="20">
        <v>9174740</v>
      </c>
      <c r="D433" s="20">
        <v>6428894</v>
      </c>
      <c r="E433" s="56">
        <v>42.71</v>
      </c>
      <c r="F433" s="57">
        <v>1113153</v>
      </c>
      <c r="G433" s="57">
        <v>448688</v>
      </c>
      <c r="H433" s="57">
        <v>-236733</v>
      </c>
      <c r="I433" s="57">
        <v>-284984</v>
      </c>
      <c r="J433" s="57">
        <v>662807</v>
      </c>
      <c r="K433" s="57">
        <v>99476</v>
      </c>
      <c r="L433" s="56">
        <v>566.29999999999995</v>
      </c>
      <c r="M433" s="20">
        <v>2431140</v>
      </c>
      <c r="N433" s="56">
        <v>2.74</v>
      </c>
      <c r="O433" s="56">
        <v>0.42</v>
      </c>
      <c r="P433" s="58">
        <v>31.85</v>
      </c>
      <c r="Q433" s="59">
        <v>43.208207065471399</v>
      </c>
      <c r="R433" s="59">
        <v>1.8485830044341001</v>
      </c>
      <c r="S433" s="59">
        <v>1.1740355978294801</v>
      </c>
      <c r="X433" s="2">
        <f t="shared" si="18"/>
        <v>0.56791792934528607</v>
      </c>
      <c r="Y433" s="2">
        <f>SUMIF(收盤價!A:A,A433,收盤價!C:C)</f>
        <v>115</v>
      </c>
      <c r="Z433" s="2">
        <f t="shared" si="19"/>
        <v>7743180.9000000004</v>
      </c>
      <c r="AA433" s="2">
        <f t="shared" si="20"/>
        <v>27958110</v>
      </c>
    </row>
    <row r="434" spans="1:27" ht="14.5" customHeight="1">
      <c r="A434" s="19" t="s">
        <v>5123</v>
      </c>
      <c r="B434" s="3" t="s">
        <v>1149</v>
      </c>
      <c r="C434" s="20">
        <v>346244</v>
      </c>
      <c r="D434" s="20">
        <v>406532</v>
      </c>
      <c r="E434" s="56">
        <v>-14.83</v>
      </c>
      <c r="F434" s="57">
        <v>77623</v>
      </c>
      <c r="G434" s="57">
        <v>122205</v>
      </c>
      <c r="H434" s="57">
        <v>-2083</v>
      </c>
      <c r="I434" s="57">
        <v>1698</v>
      </c>
      <c r="J434" s="57">
        <v>57451</v>
      </c>
      <c r="K434" s="57">
        <v>158019</v>
      </c>
      <c r="L434" s="56">
        <v>-63.64</v>
      </c>
      <c r="M434" s="20">
        <v>889344</v>
      </c>
      <c r="N434" s="56">
        <v>0.65</v>
      </c>
      <c r="O434" s="56">
        <v>1.78</v>
      </c>
      <c r="P434" s="58">
        <v>15.57</v>
      </c>
      <c r="Q434" s="59">
        <v>88.149179235429699</v>
      </c>
      <c r="R434" s="59">
        <v>7.7430101803933997</v>
      </c>
      <c r="S434" s="59">
        <v>2.9859920504603301</v>
      </c>
      <c r="X434" s="2">
        <f t="shared" si="18"/>
        <v>0.11850820764570301</v>
      </c>
      <c r="Y434" s="2">
        <f>SUMIF(收盤價!A:A,A434,收盤價!C:C)</f>
        <v>24.9</v>
      </c>
      <c r="Z434" s="2">
        <f t="shared" si="19"/>
        <v>1384708.608</v>
      </c>
      <c r="AA434" s="2">
        <f t="shared" si="20"/>
        <v>2214466.5599999996</v>
      </c>
    </row>
    <row r="435" spans="1:27" ht="14.5" customHeight="1">
      <c r="A435" s="19" t="s">
        <v>5124</v>
      </c>
      <c r="B435" s="3" t="s">
        <v>1283</v>
      </c>
      <c r="C435" s="20">
        <v>8191531</v>
      </c>
      <c r="D435" s="20">
        <v>7513686</v>
      </c>
      <c r="E435" s="56">
        <v>9.02</v>
      </c>
      <c r="F435" s="57">
        <v>891904</v>
      </c>
      <c r="G435" s="57">
        <v>802162</v>
      </c>
      <c r="H435" s="57">
        <v>119994</v>
      </c>
      <c r="I435" s="57">
        <v>131005</v>
      </c>
      <c r="J435" s="57">
        <v>748601</v>
      </c>
      <c r="K435" s="57">
        <v>701982</v>
      </c>
      <c r="L435" s="56">
        <v>6.64</v>
      </c>
      <c r="M435" s="20">
        <v>2664230</v>
      </c>
      <c r="N435" s="56">
        <v>2.81</v>
      </c>
      <c r="O435" s="56">
        <v>2.64</v>
      </c>
      <c r="P435" s="58">
        <v>23.46</v>
      </c>
      <c r="Q435" s="59">
        <v>50.569515449468902</v>
      </c>
      <c r="R435" s="59">
        <v>1.1980374372114599</v>
      </c>
      <c r="S435" s="59">
        <v>0.65264084049406901</v>
      </c>
      <c r="X435" s="2">
        <f t="shared" si="18"/>
        <v>0.49430484550531095</v>
      </c>
      <c r="Y435" s="2">
        <f>SUMIF(收盤價!A:A,A435,收盤價!C:C)</f>
        <v>42.85</v>
      </c>
      <c r="Z435" s="2">
        <f t="shared" si="19"/>
        <v>6250283.5800000001</v>
      </c>
      <c r="AA435" s="2">
        <f t="shared" si="20"/>
        <v>11416225.550000001</v>
      </c>
    </row>
    <row r="436" spans="1:27" ht="14.5" customHeight="1">
      <c r="A436" s="19" t="s">
        <v>5125</v>
      </c>
      <c r="B436" s="3" t="s">
        <v>1293</v>
      </c>
      <c r="C436" s="20">
        <v>6457362</v>
      </c>
      <c r="D436" s="20">
        <v>6345031</v>
      </c>
      <c r="E436" s="56">
        <v>1.77</v>
      </c>
      <c r="F436" s="57">
        <v>464039</v>
      </c>
      <c r="G436" s="57">
        <v>438119</v>
      </c>
      <c r="H436" s="57">
        <v>282786</v>
      </c>
      <c r="I436" s="57">
        <v>210381</v>
      </c>
      <c r="J436" s="57">
        <v>514755</v>
      </c>
      <c r="K436" s="57">
        <v>451562</v>
      </c>
      <c r="L436" s="56">
        <v>13.99</v>
      </c>
      <c r="M436" s="20">
        <v>1281490</v>
      </c>
      <c r="N436" s="56">
        <v>4.0199999999999996</v>
      </c>
      <c r="O436" s="56">
        <v>3.53</v>
      </c>
      <c r="P436" s="58">
        <v>54.21</v>
      </c>
      <c r="Q436" s="59">
        <v>50.463850884243698</v>
      </c>
      <c r="R436" s="59">
        <v>1.78391034192278</v>
      </c>
      <c r="S436" s="59">
        <v>1.46561679583492</v>
      </c>
      <c r="X436" s="2">
        <f t="shared" si="18"/>
        <v>0.49536149115756301</v>
      </c>
      <c r="Y436" s="2">
        <f>SUMIF(收盤價!A:A,A436,收盤價!C:C)</f>
        <v>53.9</v>
      </c>
      <c r="Z436" s="2">
        <f t="shared" si="19"/>
        <v>6946957.290000001</v>
      </c>
      <c r="AA436" s="2">
        <f t="shared" si="20"/>
        <v>6907231.0999999996</v>
      </c>
    </row>
    <row r="437" spans="1:27" ht="14.5" customHeight="1">
      <c r="A437" s="19" t="s">
        <v>5126</v>
      </c>
      <c r="B437" s="3" t="s">
        <v>1295</v>
      </c>
      <c r="C437" s="20">
        <v>2036232</v>
      </c>
      <c r="D437" s="20">
        <v>2105748</v>
      </c>
      <c r="E437" s="56">
        <v>-3.3</v>
      </c>
      <c r="F437" s="57">
        <v>128763</v>
      </c>
      <c r="G437" s="57">
        <v>136905</v>
      </c>
      <c r="H437" s="57">
        <v>-337</v>
      </c>
      <c r="I437" s="57">
        <v>13366</v>
      </c>
      <c r="J437" s="57">
        <v>87921</v>
      </c>
      <c r="K437" s="57">
        <v>108413</v>
      </c>
      <c r="L437" s="56">
        <v>-18.899999999999999</v>
      </c>
      <c r="M437" s="20">
        <v>1009116</v>
      </c>
      <c r="N437" s="56">
        <v>0.87</v>
      </c>
      <c r="O437" s="56">
        <v>1.24</v>
      </c>
      <c r="P437" s="58">
        <v>20.079999999999998</v>
      </c>
      <c r="Q437" s="59">
        <v>67.076677771134101</v>
      </c>
      <c r="R437" s="59">
        <v>1.97127189577353</v>
      </c>
      <c r="S437" s="59">
        <v>0.98740433144484596</v>
      </c>
      <c r="X437" s="2">
        <f t="shared" si="18"/>
        <v>0.32923322228865898</v>
      </c>
      <c r="Y437" s="2">
        <f>SUMIF(收盤價!A:A,A437,收盤價!C:C)</f>
        <v>24.3</v>
      </c>
      <c r="Z437" s="2">
        <f t="shared" si="19"/>
        <v>2026304.9279999998</v>
      </c>
      <c r="AA437" s="2">
        <f t="shared" si="20"/>
        <v>2452151.88</v>
      </c>
    </row>
    <row r="438" spans="1:27" ht="14.5" customHeight="1">
      <c r="A438" s="19" t="s">
        <v>5127</v>
      </c>
      <c r="B438" s="3" t="s">
        <v>1297</v>
      </c>
      <c r="C438" s="20">
        <v>95485</v>
      </c>
      <c r="D438" s="20">
        <v>107483</v>
      </c>
      <c r="E438" s="56">
        <v>-11.16</v>
      </c>
      <c r="F438" s="57">
        <v>-235843</v>
      </c>
      <c r="G438" s="57">
        <v>-268907</v>
      </c>
      <c r="H438" s="57">
        <v>31077</v>
      </c>
      <c r="I438" s="57">
        <v>60135</v>
      </c>
      <c r="J438" s="57">
        <v>-170752</v>
      </c>
      <c r="K438" s="57">
        <v>-182476</v>
      </c>
      <c r="L438" s="56"/>
      <c r="M438" s="20">
        <v>1636164</v>
      </c>
      <c r="N438" s="56">
        <v>-1.04</v>
      </c>
      <c r="O438" s="56">
        <v>-1.1200000000000001</v>
      </c>
      <c r="P438" s="58">
        <v>7.96</v>
      </c>
      <c r="Q438" s="59">
        <v>69.230585297165206</v>
      </c>
      <c r="R438" s="59">
        <v>9.1202017899442005</v>
      </c>
      <c r="S438" s="59">
        <v>1.2564992021566499</v>
      </c>
      <c r="X438" s="2">
        <f t="shared" si="18"/>
        <v>0.30769414702834796</v>
      </c>
      <c r="Y438" s="2">
        <f>SUMIF(收盤價!A:A,A438,收盤價!C:C)</f>
        <v>18</v>
      </c>
      <c r="Z438" s="2">
        <f t="shared" si="19"/>
        <v>1302386.544</v>
      </c>
      <c r="AA438" s="2">
        <f t="shared" si="20"/>
        <v>2945095.2</v>
      </c>
    </row>
    <row r="439" spans="1:27" ht="14.5" customHeight="1">
      <c r="A439" s="19" t="s">
        <v>5128</v>
      </c>
      <c r="B439" s="3" t="s">
        <v>1299</v>
      </c>
      <c r="C439" s="20">
        <v>2355747</v>
      </c>
      <c r="D439" s="20">
        <v>1939913</v>
      </c>
      <c r="E439" s="56">
        <v>21.44</v>
      </c>
      <c r="F439" s="57">
        <v>697121</v>
      </c>
      <c r="G439" s="57">
        <v>515566</v>
      </c>
      <c r="H439" s="57">
        <v>14039</v>
      </c>
      <c r="I439" s="57">
        <v>29221</v>
      </c>
      <c r="J439" s="57">
        <v>571101</v>
      </c>
      <c r="K439" s="57">
        <v>447237</v>
      </c>
      <c r="L439" s="56">
        <v>27.7</v>
      </c>
      <c r="M439" s="20">
        <v>794853</v>
      </c>
      <c r="N439" s="56">
        <v>7.19</v>
      </c>
      <c r="O439" s="56">
        <v>5.63</v>
      </c>
      <c r="P439" s="58">
        <v>43.71</v>
      </c>
      <c r="Q439" s="59">
        <v>85.131926506017294</v>
      </c>
      <c r="R439" s="59">
        <v>3.31360138567497</v>
      </c>
      <c r="S439" s="59">
        <v>2.34822614434571</v>
      </c>
      <c r="X439" s="2">
        <f t="shared" si="18"/>
        <v>0.14868073493982706</v>
      </c>
      <c r="Y439" s="2">
        <f>SUMIF(收盤價!A:A,A439,收盤價!C:C)</f>
        <v>109</v>
      </c>
      <c r="Z439" s="2">
        <f t="shared" si="19"/>
        <v>3474302.4630000005</v>
      </c>
      <c r="AA439" s="2">
        <f t="shared" si="20"/>
        <v>8663897.6999999993</v>
      </c>
    </row>
    <row r="440" spans="1:27" ht="14.5" customHeight="1">
      <c r="A440" s="19" t="s">
        <v>5129</v>
      </c>
      <c r="B440" s="3" t="s">
        <v>1301</v>
      </c>
      <c r="C440" s="20">
        <v>414158</v>
      </c>
      <c r="D440" s="20">
        <v>426023</v>
      </c>
      <c r="E440" s="56">
        <v>-2.79</v>
      </c>
      <c r="F440" s="57">
        <v>2644</v>
      </c>
      <c r="G440" s="57">
        <v>20157</v>
      </c>
      <c r="H440" s="57">
        <v>-1664</v>
      </c>
      <c r="I440" s="57">
        <v>16949</v>
      </c>
      <c r="J440" s="57">
        <v>3263</v>
      </c>
      <c r="K440" s="57">
        <v>46118</v>
      </c>
      <c r="L440" s="56">
        <v>-92.92</v>
      </c>
      <c r="M440" s="20">
        <v>605536</v>
      </c>
      <c r="N440" s="56">
        <v>0.05</v>
      </c>
      <c r="O440" s="56">
        <v>0.76</v>
      </c>
      <c r="P440" s="58">
        <v>19.690000000000001</v>
      </c>
      <c r="Q440" s="59">
        <v>94.336501346135094</v>
      </c>
      <c r="R440" s="59">
        <v>10.9382717969455</v>
      </c>
      <c r="S440" s="59">
        <v>3.5817599303244299</v>
      </c>
      <c r="X440" s="2">
        <f t="shared" si="18"/>
        <v>5.6634986538649061E-2</v>
      </c>
      <c r="Y440" s="2">
        <f>SUMIF(收盤價!A:A,A440,收盤價!C:C)</f>
        <v>25.4</v>
      </c>
      <c r="Z440" s="2">
        <f t="shared" si="19"/>
        <v>1192300.3840000001</v>
      </c>
      <c r="AA440" s="2">
        <f t="shared" si="20"/>
        <v>1538061.44</v>
      </c>
    </row>
    <row r="441" spans="1:27" ht="14.5" customHeight="1">
      <c r="A441" s="19" t="s">
        <v>5130</v>
      </c>
      <c r="B441" s="3" t="s">
        <v>1303</v>
      </c>
      <c r="C441" s="20">
        <v>5138879</v>
      </c>
      <c r="D441" s="20">
        <v>4578513</v>
      </c>
      <c r="E441" s="56">
        <v>12.24</v>
      </c>
      <c r="F441" s="57">
        <v>1789074</v>
      </c>
      <c r="G441" s="57">
        <v>1562668</v>
      </c>
      <c r="H441" s="57">
        <v>193178</v>
      </c>
      <c r="I441" s="57">
        <v>105877</v>
      </c>
      <c r="J441" s="57">
        <v>1432163</v>
      </c>
      <c r="K441" s="57">
        <v>1218880</v>
      </c>
      <c r="L441" s="56">
        <v>17.5</v>
      </c>
      <c r="M441" s="20">
        <v>794924</v>
      </c>
      <c r="N441" s="56">
        <v>18.02</v>
      </c>
      <c r="O441" s="56">
        <v>15.4</v>
      </c>
      <c r="P441" s="58">
        <v>55.12</v>
      </c>
      <c r="Q441" s="59">
        <v>53.7382987879636</v>
      </c>
      <c r="R441" s="59">
        <v>1.91094317641533</v>
      </c>
      <c r="S441" s="59">
        <v>1.7592795652986</v>
      </c>
      <c r="X441" s="2">
        <f t="shared" si="18"/>
        <v>0.46261701212036399</v>
      </c>
      <c r="Y441" s="2">
        <f>SUMIF(收盤價!A:A,A441,收盤價!C:C)</f>
        <v>238</v>
      </c>
      <c r="Z441" s="2">
        <f t="shared" si="19"/>
        <v>4381621.0879999995</v>
      </c>
      <c r="AA441" s="2">
        <f t="shared" si="20"/>
        <v>18919191.199999999</v>
      </c>
    </row>
    <row r="442" spans="1:27" ht="14.5" customHeight="1">
      <c r="A442" s="21" t="s">
        <v>5131</v>
      </c>
      <c r="B442" s="22" t="s">
        <v>1305</v>
      </c>
      <c r="C442" s="23">
        <v>8353053</v>
      </c>
      <c r="D442" s="23">
        <v>9123834</v>
      </c>
      <c r="E442" s="60">
        <v>-8.4499999999999993</v>
      </c>
      <c r="F442" s="61">
        <v>94166</v>
      </c>
      <c r="G442" s="61">
        <v>684807</v>
      </c>
      <c r="H442" s="61">
        <v>-458864</v>
      </c>
      <c r="I442" s="61">
        <v>-432094</v>
      </c>
      <c r="J442" s="61">
        <v>-452364</v>
      </c>
      <c r="K442" s="61">
        <v>96268</v>
      </c>
      <c r="L442" s="60"/>
      <c r="M442" s="23">
        <v>1711450</v>
      </c>
      <c r="N442" s="60">
        <v>-2.64</v>
      </c>
      <c r="O442" s="60">
        <v>0.61</v>
      </c>
      <c r="P442" s="62">
        <v>30.97</v>
      </c>
      <c r="Q442" s="63">
        <v>31.746434332743899</v>
      </c>
      <c r="R442" s="63">
        <v>0.77895951375569294</v>
      </c>
      <c r="S442" s="63">
        <v>0.48181322341920102</v>
      </c>
      <c r="X442" s="2">
        <f t="shared" si="18"/>
        <v>0.682535656672561</v>
      </c>
      <c r="Y442" s="2">
        <f>SUMIF(收盤價!A:A,A442,收盤價!C:C)</f>
        <v>14.75</v>
      </c>
      <c r="Z442" s="2">
        <f t="shared" si="19"/>
        <v>5300360.6500000004</v>
      </c>
      <c r="AA442" s="2">
        <f t="shared" si="20"/>
        <v>2524388.75</v>
      </c>
    </row>
    <row r="443" spans="1:27" ht="14.5" customHeight="1">
      <c r="A443" s="24" t="s">
        <v>5132</v>
      </c>
      <c r="B443" s="25" t="s">
        <v>1307</v>
      </c>
      <c r="C443" s="26">
        <v>1299689</v>
      </c>
      <c r="D443" s="26">
        <v>822366</v>
      </c>
      <c r="E443" s="64">
        <v>58.04</v>
      </c>
      <c r="F443" s="65">
        <v>-298979</v>
      </c>
      <c r="G443" s="65">
        <v>-725213</v>
      </c>
      <c r="H443" s="65">
        <v>-15613</v>
      </c>
      <c r="I443" s="65">
        <v>50573</v>
      </c>
      <c r="J443" s="65">
        <v>-280678</v>
      </c>
      <c r="K443" s="65">
        <v>-617843</v>
      </c>
      <c r="L443" s="64"/>
      <c r="M443" s="26">
        <v>3631576</v>
      </c>
      <c r="N443" s="64">
        <v>-0.9</v>
      </c>
      <c r="O443" s="64">
        <v>-2.62</v>
      </c>
      <c r="P443" s="66">
        <v>10.039999999999999</v>
      </c>
      <c r="Q443" s="67">
        <v>55.482071668275701</v>
      </c>
      <c r="R443" s="67">
        <v>11.1607316607841</v>
      </c>
      <c r="S443" s="67">
        <v>7.43906801488124</v>
      </c>
      <c r="X443" s="2">
        <f t="shared" si="18"/>
        <v>0.44517928331724299</v>
      </c>
      <c r="Y443" s="2">
        <f>SUMIF(收盤價!A:A,A443,收盤價!C:C)</f>
        <v>25.3</v>
      </c>
      <c r="Z443" s="2">
        <f t="shared" si="19"/>
        <v>3646102.304</v>
      </c>
      <c r="AA443" s="2">
        <f t="shared" si="20"/>
        <v>9187887.2799999993</v>
      </c>
    </row>
    <row r="444" spans="1:27" ht="14.5" customHeight="1">
      <c r="A444" s="19" t="s">
        <v>5133</v>
      </c>
      <c r="B444" s="3" t="s">
        <v>1309</v>
      </c>
      <c r="C444" s="20">
        <v>2164475</v>
      </c>
      <c r="D444" s="20">
        <v>2134586</v>
      </c>
      <c r="E444" s="56">
        <v>1.4</v>
      </c>
      <c r="F444" s="57">
        <v>113685</v>
      </c>
      <c r="G444" s="57">
        <v>128733</v>
      </c>
      <c r="H444" s="57">
        <v>20274</v>
      </c>
      <c r="I444" s="57">
        <v>82888</v>
      </c>
      <c r="J444" s="57">
        <v>84296</v>
      </c>
      <c r="K444" s="57">
        <v>134738</v>
      </c>
      <c r="L444" s="56">
        <v>-37.44</v>
      </c>
      <c r="M444" s="20">
        <v>771390</v>
      </c>
      <c r="N444" s="56">
        <v>1.0900000000000001</v>
      </c>
      <c r="O444" s="56">
        <v>1.75</v>
      </c>
      <c r="P444" s="58">
        <v>31.12</v>
      </c>
      <c r="Q444" s="59">
        <v>56.590343937920899</v>
      </c>
      <c r="R444" s="59">
        <v>1.0820722310670099</v>
      </c>
      <c r="S444" s="59">
        <v>0.78276459287233502</v>
      </c>
      <c r="X444" s="2">
        <f t="shared" si="18"/>
        <v>0.43409656062079099</v>
      </c>
      <c r="Y444" s="2">
        <f>SUMIF(收盤價!A:A,A444,收盤價!C:C)</f>
        <v>28.75</v>
      </c>
      <c r="Z444" s="2">
        <f t="shared" si="19"/>
        <v>2400565.6800000002</v>
      </c>
      <c r="AA444" s="2">
        <f t="shared" si="20"/>
        <v>2217746.25</v>
      </c>
    </row>
    <row r="445" spans="1:27" ht="14.5" customHeight="1">
      <c r="A445" s="19" t="s">
        <v>5134</v>
      </c>
      <c r="B445" s="3" t="s">
        <v>1311</v>
      </c>
      <c r="C445" s="20">
        <v>1767699</v>
      </c>
      <c r="D445" s="20">
        <v>2687581</v>
      </c>
      <c r="E445" s="56">
        <v>-34.229999999999997</v>
      </c>
      <c r="F445" s="57">
        <v>73231</v>
      </c>
      <c r="G445" s="57">
        <v>356769</v>
      </c>
      <c r="H445" s="57">
        <v>30587</v>
      </c>
      <c r="I445" s="57">
        <v>42246</v>
      </c>
      <c r="J445" s="57">
        <v>35694</v>
      </c>
      <c r="K445" s="57">
        <v>305058</v>
      </c>
      <c r="L445" s="56">
        <v>-88.3</v>
      </c>
      <c r="M445" s="20">
        <v>640340</v>
      </c>
      <c r="N445" s="56">
        <v>0.56000000000000005</v>
      </c>
      <c r="O445" s="56">
        <v>4.76</v>
      </c>
      <c r="P445" s="58">
        <v>31.95</v>
      </c>
      <c r="Q445" s="59">
        <v>77.5042801488609</v>
      </c>
      <c r="R445" s="59">
        <v>10.1957272654727</v>
      </c>
      <c r="S445" s="59">
        <v>7.1731095885725997</v>
      </c>
      <c r="X445" s="2">
        <f t="shared" si="18"/>
        <v>0.22495719851139101</v>
      </c>
      <c r="Y445" s="2">
        <f>SUMIF(收盤價!A:A,A445,收盤價!C:C)</f>
        <v>41.4</v>
      </c>
      <c r="Z445" s="2">
        <f t="shared" si="19"/>
        <v>2045886.3</v>
      </c>
      <c r="AA445" s="2">
        <f t="shared" si="20"/>
        <v>2651007.6</v>
      </c>
    </row>
    <row r="446" spans="1:27" ht="14.5" customHeight="1">
      <c r="A446" s="19" t="s">
        <v>5135</v>
      </c>
      <c r="B446" s="3" t="s">
        <v>1313</v>
      </c>
      <c r="C446" s="20">
        <v>1241252</v>
      </c>
      <c r="D446" s="20">
        <v>1120346</v>
      </c>
      <c r="E446" s="56">
        <v>10.79</v>
      </c>
      <c r="F446" s="57">
        <v>110997</v>
      </c>
      <c r="G446" s="57">
        <v>137108</v>
      </c>
      <c r="H446" s="57">
        <v>32381</v>
      </c>
      <c r="I446" s="57">
        <v>64487</v>
      </c>
      <c r="J446" s="57">
        <v>125760</v>
      </c>
      <c r="K446" s="57">
        <v>161362</v>
      </c>
      <c r="L446" s="56">
        <v>-22.06</v>
      </c>
      <c r="M446" s="20">
        <v>786211</v>
      </c>
      <c r="N446" s="56">
        <v>1.71</v>
      </c>
      <c r="O446" s="56">
        <v>2.15</v>
      </c>
      <c r="P446" s="58">
        <v>16.68</v>
      </c>
      <c r="Q446" s="59">
        <v>58.1068519949633</v>
      </c>
      <c r="R446" s="59">
        <v>1.7197750003730099</v>
      </c>
      <c r="S446" s="59">
        <v>1.0333056477028399</v>
      </c>
      <c r="X446" s="2">
        <f t="shared" si="18"/>
        <v>0.41893148005036701</v>
      </c>
      <c r="Y446" s="2">
        <f>SUMIF(收盤價!A:A,A446,收盤價!C:C)</f>
        <v>33.450000000000003</v>
      </c>
      <c r="Z446" s="2">
        <f t="shared" si="19"/>
        <v>1311399.9480000001</v>
      </c>
      <c r="AA446" s="2">
        <f t="shared" si="20"/>
        <v>2629875.7950000004</v>
      </c>
    </row>
    <row r="447" spans="1:27" ht="14.5" customHeight="1">
      <c r="A447" s="19" t="s">
        <v>5136</v>
      </c>
      <c r="B447" s="3" t="s">
        <v>1315</v>
      </c>
      <c r="C447" s="20">
        <v>2950052</v>
      </c>
      <c r="D447" s="20">
        <v>2507466</v>
      </c>
      <c r="E447" s="56">
        <v>17.649999999999999</v>
      </c>
      <c r="F447" s="57">
        <v>529571</v>
      </c>
      <c r="G447" s="57">
        <v>459981</v>
      </c>
      <c r="H447" s="57">
        <v>-52978</v>
      </c>
      <c r="I447" s="57">
        <v>-91812</v>
      </c>
      <c r="J447" s="57">
        <v>395172</v>
      </c>
      <c r="K447" s="57">
        <v>323422</v>
      </c>
      <c r="L447" s="56">
        <v>22.18</v>
      </c>
      <c r="M447" s="20">
        <v>1416335</v>
      </c>
      <c r="N447" s="56">
        <v>2.83</v>
      </c>
      <c r="O447" s="56">
        <v>2.3199999999999998</v>
      </c>
      <c r="P447" s="58">
        <v>36.71</v>
      </c>
      <c r="Q447" s="59">
        <v>46.0686682447854</v>
      </c>
      <c r="R447" s="59">
        <v>1.1510079561416799</v>
      </c>
      <c r="S447" s="59">
        <v>0.771088498178638</v>
      </c>
      <c r="X447" s="2">
        <f t="shared" si="18"/>
        <v>0.53931331755214595</v>
      </c>
      <c r="Y447" s="2">
        <f>SUMIF(收盤價!A:A,A447,收盤價!C:C)</f>
        <v>40.25</v>
      </c>
      <c r="Z447" s="2">
        <f t="shared" si="19"/>
        <v>5199365.7850000001</v>
      </c>
      <c r="AA447" s="2">
        <f t="shared" si="20"/>
        <v>5700748.375</v>
      </c>
    </row>
    <row r="448" spans="1:27" ht="14.5" customHeight="1">
      <c r="A448" s="19" t="s">
        <v>5137</v>
      </c>
      <c r="B448" s="3" t="s">
        <v>1317</v>
      </c>
      <c r="C448" s="20">
        <v>3252265</v>
      </c>
      <c r="D448" s="20">
        <v>3108496</v>
      </c>
      <c r="E448" s="56">
        <v>4.63</v>
      </c>
      <c r="F448" s="57">
        <v>692040</v>
      </c>
      <c r="G448" s="57">
        <v>700691</v>
      </c>
      <c r="H448" s="57">
        <v>-41156</v>
      </c>
      <c r="I448" s="57">
        <v>20070</v>
      </c>
      <c r="J448" s="57">
        <v>470466</v>
      </c>
      <c r="K448" s="57">
        <v>527525</v>
      </c>
      <c r="L448" s="56">
        <v>-10.82</v>
      </c>
      <c r="M448" s="20">
        <v>609147</v>
      </c>
      <c r="N448" s="56">
        <v>8.0500000000000007</v>
      </c>
      <c r="O448" s="56">
        <v>9.02</v>
      </c>
      <c r="P448" s="58">
        <v>33.18</v>
      </c>
      <c r="Q448" s="59">
        <v>31.241559027686499</v>
      </c>
      <c r="R448" s="59">
        <v>0.58478997103983499</v>
      </c>
      <c r="S448" s="59">
        <v>0.36170912929772098</v>
      </c>
      <c r="X448" s="2">
        <f t="shared" si="18"/>
        <v>0.68758440972313506</v>
      </c>
      <c r="Y448" s="2">
        <f>SUMIF(收盤價!A:A,A448,收盤價!C:C)</f>
        <v>123</v>
      </c>
      <c r="Z448" s="2">
        <f t="shared" si="19"/>
        <v>2021149.746</v>
      </c>
      <c r="AA448" s="2">
        <f t="shared" si="20"/>
        <v>7492508.0999999996</v>
      </c>
    </row>
    <row r="449" spans="1:27" ht="14.5" customHeight="1">
      <c r="A449" s="19" t="s">
        <v>5138</v>
      </c>
      <c r="B449" s="3" t="s">
        <v>1369</v>
      </c>
      <c r="C449" s="20">
        <v>2172923</v>
      </c>
      <c r="D449" s="20">
        <v>2007222</v>
      </c>
      <c r="E449" s="56">
        <v>8.26</v>
      </c>
      <c r="F449" s="57">
        <v>156271</v>
      </c>
      <c r="G449" s="57">
        <v>240551</v>
      </c>
      <c r="H449" s="57">
        <v>-21704</v>
      </c>
      <c r="I449" s="57">
        <v>-78588</v>
      </c>
      <c r="J449" s="57">
        <v>106258</v>
      </c>
      <c r="K449" s="57">
        <v>128032</v>
      </c>
      <c r="L449" s="56">
        <v>-17.010000000000002</v>
      </c>
      <c r="M449" s="20">
        <v>638006</v>
      </c>
      <c r="N449" s="56">
        <v>1.85</v>
      </c>
      <c r="O449" s="56">
        <v>2.23</v>
      </c>
      <c r="P449" s="58">
        <v>34.89</v>
      </c>
      <c r="Q449" s="59">
        <v>46.377513487003398</v>
      </c>
      <c r="R449" s="59">
        <v>1.1553014339237899</v>
      </c>
      <c r="S449" s="59">
        <v>0.80496623378128096</v>
      </c>
      <c r="X449" s="2">
        <f t="shared" si="18"/>
        <v>0.53622486512996603</v>
      </c>
      <c r="Y449" s="2">
        <f>SUMIF(收盤價!A:A,A449,收盤價!C:C)</f>
        <v>80.5</v>
      </c>
      <c r="Z449" s="2">
        <f t="shared" si="19"/>
        <v>2226002.9339999999</v>
      </c>
      <c r="AA449" s="2">
        <f t="shared" si="20"/>
        <v>5135948.3</v>
      </c>
    </row>
    <row r="450" spans="1:27" ht="14.5" customHeight="1">
      <c r="A450" s="19" t="s">
        <v>5139</v>
      </c>
      <c r="B450" s="3" t="s">
        <v>1373</v>
      </c>
      <c r="C450" s="20">
        <v>2759591</v>
      </c>
      <c r="D450" s="20">
        <v>2687731</v>
      </c>
      <c r="E450" s="56">
        <v>2.67</v>
      </c>
      <c r="F450" s="57">
        <v>24438</v>
      </c>
      <c r="G450" s="57">
        <v>60484</v>
      </c>
      <c r="H450" s="57">
        <v>-64644</v>
      </c>
      <c r="I450" s="57">
        <v>86489</v>
      </c>
      <c r="J450" s="57">
        <v>11631</v>
      </c>
      <c r="K450" s="57">
        <v>176821</v>
      </c>
      <c r="L450" s="56">
        <v>-93.42</v>
      </c>
      <c r="M450" s="20">
        <v>990126</v>
      </c>
      <c r="N450" s="56">
        <v>0.12</v>
      </c>
      <c r="O450" s="56">
        <v>1.85</v>
      </c>
      <c r="P450" s="58">
        <v>44.05</v>
      </c>
      <c r="Q450" s="59">
        <v>45.395503372517403</v>
      </c>
      <c r="R450" s="59">
        <v>1.1112888671107499</v>
      </c>
      <c r="S450" s="59">
        <v>0.55243006871435096</v>
      </c>
      <c r="X450" s="2">
        <f t="shared" si="18"/>
        <v>0.54604496627482602</v>
      </c>
      <c r="Y450" s="2">
        <f>SUMIF(收盤價!A:A,A450,收盤價!C:C)</f>
        <v>41.85</v>
      </c>
      <c r="Z450" s="2">
        <f t="shared" si="19"/>
        <v>4361505.0299999993</v>
      </c>
      <c r="AA450" s="2">
        <f t="shared" si="20"/>
        <v>4143677.31</v>
      </c>
    </row>
    <row r="451" spans="1:27" ht="14.5" customHeight="1">
      <c r="A451" s="19" t="s">
        <v>5140</v>
      </c>
      <c r="B451" s="3" t="s">
        <v>1648</v>
      </c>
      <c r="C451" s="20">
        <v>5087793</v>
      </c>
      <c r="D451" s="20">
        <v>5177164</v>
      </c>
      <c r="E451" s="56">
        <v>-1.73</v>
      </c>
      <c r="F451" s="57">
        <v>1336251</v>
      </c>
      <c r="G451" s="57">
        <v>1384229</v>
      </c>
      <c r="H451" s="57">
        <v>-112556</v>
      </c>
      <c r="I451" s="57">
        <v>-23218</v>
      </c>
      <c r="J451" s="57">
        <v>945807</v>
      </c>
      <c r="K451" s="57">
        <v>1114329</v>
      </c>
      <c r="L451" s="56">
        <v>-15.12</v>
      </c>
      <c r="M451" s="20">
        <v>1000000</v>
      </c>
      <c r="N451" s="56">
        <v>9.4600000000000009</v>
      </c>
      <c r="O451" s="56">
        <v>11.14</v>
      </c>
      <c r="P451" s="58">
        <v>76.02</v>
      </c>
      <c r="Q451" s="59">
        <v>73.354627784704505</v>
      </c>
      <c r="R451" s="59">
        <v>3.5673900022987599</v>
      </c>
      <c r="S451" s="59">
        <v>1.4768927323380501</v>
      </c>
      <c r="X451" s="2">
        <f t="shared" si="18"/>
        <v>0.26645372215295493</v>
      </c>
      <c r="Y451" s="2">
        <f>SUMIF(收盤價!A:A,A451,收盤價!C:C)</f>
        <v>217</v>
      </c>
      <c r="Z451" s="2">
        <f t="shared" si="19"/>
        <v>7602000</v>
      </c>
      <c r="AA451" s="2">
        <f t="shared" si="20"/>
        <v>21700000</v>
      </c>
    </row>
    <row r="452" spans="1:27" ht="14.5" customHeight="1">
      <c r="A452" s="19" t="s">
        <v>5141</v>
      </c>
      <c r="B452" s="3" t="s">
        <v>1656</v>
      </c>
      <c r="C452" s="20">
        <v>3355133</v>
      </c>
      <c r="D452" s="20">
        <v>3132671</v>
      </c>
      <c r="E452" s="56">
        <v>7.1</v>
      </c>
      <c r="F452" s="57">
        <v>592114</v>
      </c>
      <c r="G452" s="57">
        <v>791067</v>
      </c>
      <c r="H452" s="57">
        <v>-31259</v>
      </c>
      <c r="I452" s="57">
        <v>-30611</v>
      </c>
      <c r="J452" s="57">
        <v>475492</v>
      </c>
      <c r="K452" s="57">
        <v>541156</v>
      </c>
      <c r="L452" s="56">
        <v>-12.13</v>
      </c>
      <c r="M452" s="20">
        <v>700000</v>
      </c>
      <c r="N452" s="56">
        <v>7.62</v>
      </c>
      <c r="O452" s="56">
        <v>9.02</v>
      </c>
      <c r="P452" s="58">
        <v>57.91</v>
      </c>
      <c r="Q452" s="59">
        <v>76.345201852080294</v>
      </c>
      <c r="R452" s="59">
        <v>1.6720486473387699</v>
      </c>
      <c r="S452" s="59">
        <v>1.16500514946923</v>
      </c>
      <c r="X452" s="2">
        <f t="shared" si="18"/>
        <v>0.23654798147919706</v>
      </c>
      <c r="Y452" s="2">
        <f>SUMIF(收盤價!A:A,A452,收盤價!C:C)</f>
        <v>181.5</v>
      </c>
      <c r="Z452" s="2">
        <f t="shared" si="19"/>
        <v>4053700</v>
      </c>
      <c r="AA452" s="2">
        <f t="shared" si="20"/>
        <v>12705000</v>
      </c>
    </row>
    <row r="453" spans="1:27" ht="14.5" customHeight="1">
      <c r="A453" s="19" t="s">
        <v>5142</v>
      </c>
      <c r="B453" s="3" t="s">
        <v>1668</v>
      </c>
      <c r="C453" s="20">
        <v>0</v>
      </c>
      <c r="D453" s="20">
        <v>0</v>
      </c>
      <c r="E453" s="56"/>
      <c r="F453" s="57">
        <v>-2328156</v>
      </c>
      <c r="G453" s="57">
        <v>-1950580</v>
      </c>
      <c r="H453" s="57">
        <v>53955</v>
      </c>
      <c r="I453" s="57">
        <v>56742</v>
      </c>
      <c r="J453" s="57">
        <v>-2274226</v>
      </c>
      <c r="K453" s="57">
        <v>-1893862</v>
      </c>
      <c r="L453" s="56"/>
      <c r="M453" s="20">
        <v>2642041</v>
      </c>
      <c r="N453" s="56">
        <v>-9.26</v>
      </c>
      <c r="O453" s="56">
        <v>-8.32</v>
      </c>
      <c r="P453" s="58">
        <v>11.47</v>
      </c>
      <c r="Q453" s="59">
        <v>84.827230280048099</v>
      </c>
      <c r="R453" s="59">
        <v>9.6320697509317892</v>
      </c>
      <c r="S453" s="59">
        <v>8.98043616517778</v>
      </c>
      <c r="X453" s="2">
        <f t="shared" ref="X453:X516" si="21">IF(W453&lt;&gt;"",ROUND(W453/U453,2),(100-Q453)/100)</f>
        <v>0.15172769719951901</v>
      </c>
      <c r="Y453" s="2">
        <f>SUMIF(收盤價!A:A,A453,收盤價!C:C)</f>
        <v>44.75</v>
      </c>
      <c r="Z453" s="2">
        <f t="shared" ref="Z453:Z516" si="22">IF(W453&lt;&gt;"",U453-W453,M453*P453/10)</f>
        <v>3030421.0270000002</v>
      </c>
      <c r="AA453" s="2">
        <f t="shared" ref="AA453:AA516" si="23">Y453*M453/10</f>
        <v>11823133.475</v>
      </c>
    </row>
    <row r="454" spans="1:27" ht="14.5" customHeight="1">
      <c r="A454" s="19" t="s">
        <v>5143</v>
      </c>
      <c r="B454" s="3" t="s">
        <v>6320</v>
      </c>
      <c r="C454" s="20">
        <v>1445695</v>
      </c>
      <c r="D454" s="20">
        <v>1358184</v>
      </c>
      <c r="E454" s="56">
        <v>6.44</v>
      </c>
      <c r="F454" s="57">
        <v>527236</v>
      </c>
      <c r="G454" s="57">
        <v>572166</v>
      </c>
      <c r="H454" s="57">
        <v>42104</v>
      </c>
      <c r="I454" s="57">
        <v>11274</v>
      </c>
      <c r="J454" s="57">
        <v>497740</v>
      </c>
      <c r="K454" s="57">
        <v>431247</v>
      </c>
      <c r="L454" s="56">
        <v>15.42</v>
      </c>
      <c r="M454" s="20">
        <v>473880</v>
      </c>
      <c r="N454" s="56">
        <v>10.5</v>
      </c>
      <c r="O454" s="56">
        <v>10.08</v>
      </c>
      <c r="P454" s="58">
        <v>39</v>
      </c>
      <c r="Q454" s="59">
        <v>84.177530279269305</v>
      </c>
      <c r="R454" s="59">
        <v>4.9991554204756996</v>
      </c>
      <c r="S454" s="59">
        <v>3.73278574444927</v>
      </c>
      <c r="X454" s="2">
        <f t="shared" si="21"/>
        <v>0.15822469720730695</v>
      </c>
      <c r="Y454" s="2">
        <f>SUMIF(收盤價!A:A,A454,收盤價!C:C)</f>
        <v>176.5</v>
      </c>
      <c r="Z454" s="2">
        <f t="shared" si="22"/>
        <v>1848132</v>
      </c>
      <c r="AA454" s="2">
        <f t="shared" si="23"/>
        <v>8363982</v>
      </c>
    </row>
    <row r="455" spans="1:27" ht="14.5" customHeight="1">
      <c r="A455" s="19" t="s">
        <v>5144</v>
      </c>
      <c r="B455" s="3" t="s">
        <v>895</v>
      </c>
      <c r="C455" s="20">
        <v>18012657</v>
      </c>
      <c r="D455" s="20">
        <v>19016293</v>
      </c>
      <c r="E455" s="56">
        <v>-5.28</v>
      </c>
      <c r="F455" s="57">
        <v>173547</v>
      </c>
      <c r="G455" s="57">
        <v>216218</v>
      </c>
      <c r="H455" s="57">
        <v>281577</v>
      </c>
      <c r="I455" s="57">
        <v>97454</v>
      </c>
      <c r="J455" s="57">
        <v>290953</v>
      </c>
      <c r="K455" s="57">
        <v>236467</v>
      </c>
      <c r="L455" s="56">
        <v>23.04</v>
      </c>
      <c r="M455" s="20">
        <v>1372818</v>
      </c>
      <c r="N455" s="56">
        <v>2.14</v>
      </c>
      <c r="O455" s="56">
        <v>1.76</v>
      </c>
      <c r="P455" s="58">
        <v>29.58</v>
      </c>
      <c r="Q455" s="59">
        <v>44.991818957284003</v>
      </c>
      <c r="R455" s="59">
        <v>1.0043222264428</v>
      </c>
      <c r="S455" s="59">
        <v>0.86705755449378497</v>
      </c>
      <c r="X455" s="2">
        <f t="shared" si="21"/>
        <v>0.55008181042715998</v>
      </c>
      <c r="Y455" s="2">
        <f>SUMIF(收盤價!A:A,A455,收盤價!C:C)</f>
        <v>29.85</v>
      </c>
      <c r="Z455" s="2">
        <f t="shared" si="22"/>
        <v>4060795.6439999999</v>
      </c>
      <c r="AA455" s="2">
        <f t="shared" si="23"/>
        <v>4097861.7300000004</v>
      </c>
    </row>
    <row r="456" spans="1:27" ht="14.5" customHeight="1">
      <c r="A456" s="19" t="s">
        <v>5145</v>
      </c>
      <c r="B456" s="3" t="s">
        <v>1660</v>
      </c>
      <c r="C456" s="20">
        <v>646022809</v>
      </c>
      <c r="D456" s="20">
        <v>767550218</v>
      </c>
      <c r="E456" s="56">
        <v>-15.83</v>
      </c>
      <c r="F456" s="57">
        <v>36785656</v>
      </c>
      <c r="G456" s="57">
        <v>66469324</v>
      </c>
      <c r="H456" s="57">
        <v>8112695</v>
      </c>
      <c r="I456" s="57">
        <v>8077789</v>
      </c>
      <c r="J456" s="57">
        <v>36798213</v>
      </c>
      <c r="K456" s="57">
        <v>60090225</v>
      </c>
      <c r="L456" s="56">
        <v>-38.76</v>
      </c>
      <c r="M456" s="20">
        <v>95259597</v>
      </c>
      <c r="N456" s="56">
        <v>3.86</v>
      </c>
      <c r="O456" s="56">
        <v>6.31</v>
      </c>
      <c r="P456" s="58">
        <v>34.67</v>
      </c>
      <c r="Q456" s="59">
        <v>82.963991019682197</v>
      </c>
      <c r="R456" s="59">
        <v>6.1610124550887697</v>
      </c>
      <c r="S456" s="59">
        <v>2.6318493134382499</v>
      </c>
      <c r="X456" s="2">
        <f t="shared" si="21"/>
        <v>0.17036008980317802</v>
      </c>
      <c r="Y456" s="2">
        <f>SUMIF(收盤價!A:A,A456,收盤價!C:C)</f>
        <v>97.5</v>
      </c>
      <c r="Z456" s="2">
        <f t="shared" si="22"/>
        <v>330265022.79900002</v>
      </c>
      <c r="AA456" s="2">
        <f t="shared" si="23"/>
        <v>928781070.75</v>
      </c>
    </row>
    <row r="457" spans="1:27" ht="14.5" customHeight="1">
      <c r="A457" s="19" t="s">
        <v>5146</v>
      </c>
      <c r="B457" s="3" t="s">
        <v>1816</v>
      </c>
      <c r="C457" s="20">
        <v>7186086</v>
      </c>
      <c r="D457" s="20">
        <v>3814274</v>
      </c>
      <c r="E457" s="56">
        <v>88.4</v>
      </c>
      <c r="F457" s="57">
        <v>302941</v>
      </c>
      <c r="G457" s="57">
        <v>262794</v>
      </c>
      <c r="H457" s="57">
        <v>799697</v>
      </c>
      <c r="I457" s="57">
        <v>413374</v>
      </c>
      <c r="J457" s="57">
        <v>1098048</v>
      </c>
      <c r="K457" s="57">
        <v>672295</v>
      </c>
      <c r="L457" s="56">
        <v>63.33</v>
      </c>
      <c r="M457" s="20">
        <v>5890486</v>
      </c>
      <c r="N457" s="56">
        <v>1.86</v>
      </c>
      <c r="O457" s="56">
        <v>1.1399999999999999</v>
      </c>
      <c r="P457" s="58">
        <v>20.309999999999999</v>
      </c>
      <c r="Q457" s="59">
        <v>58.567912431178399</v>
      </c>
      <c r="R457" s="59">
        <v>1.30244472340065</v>
      </c>
      <c r="S457" s="59">
        <v>1.1756307455233901</v>
      </c>
      <c r="X457" s="2">
        <f t="shared" si="21"/>
        <v>0.41432087568821602</v>
      </c>
      <c r="Y457" s="2">
        <f>SUMIF(收盤價!A:A,A457,收盤價!C:C)</f>
        <v>29.9</v>
      </c>
      <c r="Z457" s="2">
        <f t="shared" si="22"/>
        <v>11963577.066</v>
      </c>
      <c r="AA457" s="2">
        <f t="shared" si="23"/>
        <v>17612553.140000001</v>
      </c>
    </row>
    <row r="458" spans="1:27" ht="14.5" customHeight="1">
      <c r="A458" s="19" t="s">
        <v>5147</v>
      </c>
      <c r="B458" s="3" t="s">
        <v>1862</v>
      </c>
      <c r="C458" s="20">
        <v>4236594</v>
      </c>
      <c r="D458" s="20">
        <v>4059913</v>
      </c>
      <c r="E458" s="56">
        <v>4.3499999999999996</v>
      </c>
      <c r="F458" s="57">
        <v>597089</v>
      </c>
      <c r="G458" s="57">
        <v>571467</v>
      </c>
      <c r="H458" s="57">
        <v>418395</v>
      </c>
      <c r="I458" s="57">
        <v>280467</v>
      </c>
      <c r="J458" s="57">
        <v>841687</v>
      </c>
      <c r="K458" s="57">
        <v>661316</v>
      </c>
      <c r="L458" s="56">
        <v>27.27</v>
      </c>
      <c r="M458" s="20">
        <v>5163580</v>
      </c>
      <c r="N458" s="56">
        <v>1.68</v>
      </c>
      <c r="O458" s="56">
        <v>1.32</v>
      </c>
      <c r="P458" s="58">
        <v>21.81</v>
      </c>
      <c r="Q458" s="59">
        <v>64.012001178456899</v>
      </c>
      <c r="R458" s="59">
        <v>3.01394469277917</v>
      </c>
      <c r="S458" s="59">
        <v>1.96545457544465</v>
      </c>
      <c r="X458" s="2">
        <f t="shared" si="21"/>
        <v>0.35987998821543099</v>
      </c>
      <c r="Y458" s="2">
        <f>SUMIF(收盤價!A:A,A458,收盤價!C:C)</f>
        <v>31.3</v>
      </c>
      <c r="Z458" s="2">
        <f t="shared" si="22"/>
        <v>11261767.98</v>
      </c>
      <c r="AA458" s="2">
        <f t="shared" si="23"/>
        <v>16162005.4</v>
      </c>
    </row>
    <row r="459" spans="1:27" ht="14.5" customHeight="1">
      <c r="A459" s="19" t="s">
        <v>5148</v>
      </c>
      <c r="B459" s="3" t="s">
        <v>1874</v>
      </c>
      <c r="C459" s="20">
        <v>2160628</v>
      </c>
      <c r="D459" s="20">
        <v>2163160</v>
      </c>
      <c r="E459" s="56">
        <v>-0.12</v>
      </c>
      <c r="F459" s="57">
        <v>225479</v>
      </c>
      <c r="G459" s="57">
        <v>290757</v>
      </c>
      <c r="H459" s="57">
        <v>81599</v>
      </c>
      <c r="I459" s="57">
        <v>9030</v>
      </c>
      <c r="J459" s="57">
        <v>261142</v>
      </c>
      <c r="K459" s="57">
        <v>226659</v>
      </c>
      <c r="L459" s="56">
        <v>15.21</v>
      </c>
      <c r="M459" s="20">
        <v>1805375</v>
      </c>
      <c r="N459" s="56">
        <v>1.47</v>
      </c>
      <c r="O459" s="56">
        <v>1.27</v>
      </c>
      <c r="P459" s="58">
        <v>16.77</v>
      </c>
      <c r="Q459" s="59">
        <v>59.256769656822499</v>
      </c>
      <c r="R459" s="59">
        <v>2.2053212832685101</v>
      </c>
      <c r="S459" s="59">
        <v>2.1501944741739001</v>
      </c>
      <c r="X459" s="2">
        <f t="shared" si="21"/>
        <v>0.407432303431775</v>
      </c>
      <c r="Y459" s="2">
        <f>SUMIF(收盤價!A:A,A459,收盤價!C:C)</f>
        <v>33.9</v>
      </c>
      <c r="Z459" s="2">
        <f t="shared" si="22"/>
        <v>3027613.875</v>
      </c>
      <c r="AA459" s="2">
        <f t="shared" si="23"/>
        <v>6120221.25</v>
      </c>
    </row>
    <row r="460" spans="1:27" ht="14.5" customHeight="1">
      <c r="A460" s="19" t="s">
        <v>5149</v>
      </c>
      <c r="B460" s="3" t="s">
        <v>1884</v>
      </c>
      <c r="C460" s="20">
        <v>2402700</v>
      </c>
      <c r="D460" s="20">
        <v>2285333</v>
      </c>
      <c r="E460" s="56">
        <v>5.14</v>
      </c>
      <c r="F460" s="57">
        <v>382827</v>
      </c>
      <c r="G460" s="57">
        <v>344328</v>
      </c>
      <c r="H460" s="57">
        <v>61844</v>
      </c>
      <c r="I460" s="57">
        <v>54423</v>
      </c>
      <c r="J460" s="57">
        <v>363711</v>
      </c>
      <c r="K460" s="57">
        <v>326819</v>
      </c>
      <c r="L460" s="56">
        <v>11.29</v>
      </c>
      <c r="M460" s="20">
        <v>1795041</v>
      </c>
      <c r="N460" s="56">
        <v>2.0299999999999998</v>
      </c>
      <c r="O460" s="56">
        <v>1.82</v>
      </c>
      <c r="P460" s="58">
        <v>17.190000000000001</v>
      </c>
      <c r="Q460" s="59">
        <v>49.126598823044603</v>
      </c>
      <c r="R460" s="59">
        <v>2.0403061625016399</v>
      </c>
      <c r="S460" s="59">
        <v>0.83625714161106002</v>
      </c>
      <c r="X460" s="2">
        <f t="shared" si="21"/>
        <v>0.50873401176955402</v>
      </c>
      <c r="Y460" s="2">
        <f>SUMIF(收盤價!A:A,A460,收盤價!C:C)</f>
        <v>41.65</v>
      </c>
      <c r="Z460" s="2">
        <f t="shared" si="22"/>
        <v>3085675.4790000003</v>
      </c>
      <c r="AA460" s="2">
        <f t="shared" si="23"/>
        <v>7476345.7649999987</v>
      </c>
    </row>
    <row r="461" spans="1:27" ht="14.5" customHeight="1">
      <c r="A461" s="19" t="s">
        <v>5150</v>
      </c>
      <c r="B461" s="3" t="s">
        <v>1894</v>
      </c>
      <c r="C461" s="20">
        <v>1455556</v>
      </c>
      <c r="D461" s="20">
        <v>1485240</v>
      </c>
      <c r="E461" s="56">
        <v>-2</v>
      </c>
      <c r="F461" s="57">
        <v>189044</v>
      </c>
      <c r="G461" s="57">
        <v>205668</v>
      </c>
      <c r="H461" s="57">
        <v>57486</v>
      </c>
      <c r="I461" s="57">
        <v>53448</v>
      </c>
      <c r="J461" s="57">
        <v>192952</v>
      </c>
      <c r="K461" s="57">
        <v>211706</v>
      </c>
      <c r="L461" s="56">
        <v>-8.86</v>
      </c>
      <c r="M461" s="20">
        <v>1022505</v>
      </c>
      <c r="N461" s="56">
        <v>1.89</v>
      </c>
      <c r="O461" s="56">
        <v>2.0699999999999998</v>
      </c>
      <c r="P461" s="58">
        <v>19.899999999999999</v>
      </c>
      <c r="Q461" s="59">
        <v>45.760289396264099</v>
      </c>
      <c r="R461" s="59">
        <v>0.85489316512426705</v>
      </c>
      <c r="S461" s="59">
        <v>0.28174112156903303</v>
      </c>
      <c r="X461" s="2">
        <f t="shared" si="21"/>
        <v>0.54239710603735902</v>
      </c>
      <c r="Y461" s="2">
        <f>SUMIF(收盤價!A:A,A461,收盤價!C:C)</f>
        <v>35.5</v>
      </c>
      <c r="Z461" s="2">
        <f t="shared" si="22"/>
        <v>2034784.95</v>
      </c>
      <c r="AA461" s="2">
        <f t="shared" si="23"/>
        <v>3629892.75</v>
      </c>
    </row>
    <row r="462" spans="1:27" ht="14.5" customHeight="1">
      <c r="A462" s="19" t="s">
        <v>5151</v>
      </c>
      <c r="B462" s="3" t="s">
        <v>1902</v>
      </c>
      <c r="C462" s="20">
        <v>22932443</v>
      </c>
      <c r="D462" s="20">
        <v>22758688</v>
      </c>
      <c r="E462" s="56">
        <v>0.76</v>
      </c>
      <c r="F462" s="57">
        <v>744463</v>
      </c>
      <c r="G462" s="57">
        <v>756499</v>
      </c>
      <c r="H462" s="57">
        <v>177092</v>
      </c>
      <c r="I462" s="57">
        <v>139302</v>
      </c>
      <c r="J462" s="57">
        <v>737640</v>
      </c>
      <c r="K462" s="57">
        <v>735477</v>
      </c>
      <c r="L462" s="56">
        <v>0.28999999999999998</v>
      </c>
      <c r="M462" s="20">
        <v>3090430</v>
      </c>
      <c r="N462" s="56">
        <v>2.39</v>
      </c>
      <c r="O462" s="56">
        <v>2.38</v>
      </c>
      <c r="P462" s="58">
        <v>16.079999999999998</v>
      </c>
      <c r="Q462" s="59">
        <v>37.553549383159201</v>
      </c>
      <c r="R462" s="59">
        <v>0.27765930825374402</v>
      </c>
      <c r="S462" s="59">
        <v>0.21067112264465701</v>
      </c>
      <c r="X462" s="2">
        <f t="shared" si="21"/>
        <v>0.62446450616840798</v>
      </c>
      <c r="Y462" s="2">
        <f>SUMIF(收盤價!A:A,A462,收盤價!C:C)</f>
        <v>45</v>
      </c>
      <c r="Z462" s="2">
        <f t="shared" si="22"/>
        <v>4969411.4399999995</v>
      </c>
      <c r="AA462" s="2">
        <f t="shared" si="23"/>
        <v>13906935</v>
      </c>
    </row>
    <row r="463" spans="1:27" ht="14.5" customHeight="1">
      <c r="A463" s="19" t="s">
        <v>5152</v>
      </c>
      <c r="B463" s="3" t="s">
        <v>540</v>
      </c>
      <c r="C463" s="20">
        <v>498284</v>
      </c>
      <c r="D463" s="20">
        <v>520371</v>
      </c>
      <c r="E463" s="56">
        <v>-4.24</v>
      </c>
      <c r="F463" s="57">
        <v>-4352</v>
      </c>
      <c r="G463" s="57">
        <v>14010</v>
      </c>
      <c r="H463" s="57">
        <v>4818</v>
      </c>
      <c r="I463" s="57">
        <v>13667</v>
      </c>
      <c r="J463" s="57">
        <v>441</v>
      </c>
      <c r="K463" s="57">
        <v>27653</v>
      </c>
      <c r="L463" s="56">
        <v>-98.41</v>
      </c>
      <c r="M463" s="20">
        <v>1663029</v>
      </c>
      <c r="N463" s="56">
        <v>0</v>
      </c>
      <c r="O463" s="56">
        <v>0.17</v>
      </c>
      <c r="P463" s="58">
        <v>9.7200000000000006</v>
      </c>
      <c r="Q463" s="59">
        <v>82.830559159487805</v>
      </c>
      <c r="R463" s="59">
        <v>1.6770799414670099</v>
      </c>
      <c r="S463" s="59">
        <v>1.15503003150267</v>
      </c>
      <c r="X463" s="2">
        <f t="shared" si="21"/>
        <v>0.17169440840512196</v>
      </c>
      <c r="Y463" s="2">
        <f>SUMIF(收盤價!A:A,A463,收盤價!C:C)</f>
        <v>8.2100000000000009</v>
      </c>
      <c r="Z463" s="2">
        <f t="shared" si="22"/>
        <v>1616464.1880000001</v>
      </c>
      <c r="AA463" s="2">
        <f t="shared" si="23"/>
        <v>1365346.8090000001</v>
      </c>
    </row>
    <row r="464" spans="1:27" ht="14.5" customHeight="1">
      <c r="A464" s="19" t="s">
        <v>5153</v>
      </c>
      <c r="B464" s="3" t="s">
        <v>542</v>
      </c>
      <c r="C464" s="20">
        <v>148201641</v>
      </c>
      <c r="D464" s="20">
        <v>151252571</v>
      </c>
      <c r="E464" s="56">
        <v>-2.02</v>
      </c>
      <c r="F464" s="57">
        <v>4689850</v>
      </c>
      <c r="G464" s="57">
        <v>5797232</v>
      </c>
      <c r="H464" s="57">
        <v>1045787</v>
      </c>
      <c r="I464" s="57">
        <v>-3612833</v>
      </c>
      <c r="J464" s="57">
        <v>9707614</v>
      </c>
      <c r="K464" s="57">
        <v>7072990</v>
      </c>
      <c r="L464" s="56">
        <v>37.25</v>
      </c>
      <c r="M464" s="20">
        <v>117575798</v>
      </c>
      <c r="N464" s="56">
        <v>0.82</v>
      </c>
      <c r="O464" s="56">
        <v>0.57999999999999996</v>
      </c>
      <c r="P464" s="58">
        <v>17.66</v>
      </c>
      <c r="Q464" s="59">
        <v>55.864779987831298</v>
      </c>
      <c r="R464" s="59">
        <v>2.1145372296808298</v>
      </c>
      <c r="S464" s="59">
        <v>1.6889757426329299</v>
      </c>
      <c r="X464" s="2">
        <f t="shared" si="21"/>
        <v>0.44135220012168702</v>
      </c>
      <c r="Y464" s="2">
        <f>SUMIF(收盤價!A:A,A464,收盤價!C:C)</f>
        <v>16.45</v>
      </c>
      <c r="Z464" s="2">
        <f t="shared" si="22"/>
        <v>207638859.26800001</v>
      </c>
      <c r="AA464" s="2">
        <f t="shared" si="23"/>
        <v>193412187.70999998</v>
      </c>
    </row>
    <row r="465" spans="1:27" ht="14.5" customHeight="1">
      <c r="A465" s="19" t="s">
        <v>5154</v>
      </c>
      <c r="B465" s="3" t="s">
        <v>566</v>
      </c>
      <c r="C465" s="20">
        <v>17515145</v>
      </c>
      <c r="D465" s="20">
        <v>15188192</v>
      </c>
      <c r="E465" s="56">
        <v>15.32</v>
      </c>
      <c r="F465" s="57">
        <v>776472</v>
      </c>
      <c r="G465" s="57">
        <v>-406063</v>
      </c>
      <c r="H465" s="57">
        <v>-39879</v>
      </c>
      <c r="I465" s="57">
        <v>43527</v>
      </c>
      <c r="J465" s="57">
        <v>587960</v>
      </c>
      <c r="K465" s="57">
        <v>-111548</v>
      </c>
      <c r="L465" s="56"/>
      <c r="M465" s="20">
        <v>5573285</v>
      </c>
      <c r="N465" s="56">
        <v>1.06</v>
      </c>
      <c r="O465" s="56">
        <v>-0.2</v>
      </c>
      <c r="P465" s="58">
        <v>10.88</v>
      </c>
      <c r="Q465" s="59">
        <v>38.106980761680397</v>
      </c>
      <c r="R465" s="59">
        <v>0.75737336792124499</v>
      </c>
      <c r="S465" s="59">
        <v>0.57755051559965498</v>
      </c>
      <c r="X465" s="2">
        <f t="shared" si="21"/>
        <v>0.61893019238319602</v>
      </c>
      <c r="Y465" s="2">
        <f>SUMIF(收盤價!A:A,A465,收盤價!C:C)</f>
        <v>14.85</v>
      </c>
      <c r="Z465" s="2">
        <f t="shared" si="22"/>
        <v>6063734.0800000001</v>
      </c>
      <c r="AA465" s="2">
        <f t="shared" si="23"/>
        <v>8276328.2249999996</v>
      </c>
    </row>
    <row r="466" spans="1:27" ht="14.5" customHeight="1">
      <c r="A466" s="19" t="s">
        <v>5155</v>
      </c>
      <c r="B466" s="3" t="s">
        <v>568</v>
      </c>
      <c r="C466" s="20">
        <v>1069985448</v>
      </c>
      <c r="D466" s="20">
        <v>1031473557</v>
      </c>
      <c r="E466" s="56">
        <v>3.73</v>
      </c>
      <c r="F466" s="57">
        <v>372701090</v>
      </c>
      <c r="G466" s="57">
        <v>383623524</v>
      </c>
      <c r="H466" s="57">
        <v>17144246</v>
      </c>
      <c r="I466" s="57">
        <v>13886739</v>
      </c>
      <c r="J466" s="57">
        <v>345263668</v>
      </c>
      <c r="K466" s="57">
        <v>351130884</v>
      </c>
      <c r="L466" s="56">
        <v>-1.67</v>
      </c>
      <c r="M466" s="20">
        <v>259303805</v>
      </c>
      <c r="N466" s="56">
        <v>13.32</v>
      </c>
      <c r="O466" s="56">
        <v>13.54</v>
      </c>
      <c r="P466" s="58">
        <v>62.53</v>
      </c>
      <c r="Q466" s="59">
        <v>71.591598441838897</v>
      </c>
      <c r="R466" s="59">
        <v>1.3925244616289101</v>
      </c>
      <c r="S466" s="59">
        <v>1.00814710536684</v>
      </c>
      <c r="X466" s="2">
        <f t="shared" si="21"/>
        <v>0.284084015581611</v>
      </c>
      <c r="Y466" s="2">
        <f>SUMIF(收盤價!A:A,A466,收盤價!C:C)</f>
        <v>331</v>
      </c>
      <c r="Z466" s="2">
        <f t="shared" si="22"/>
        <v>1621426692.665</v>
      </c>
      <c r="AA466" s="2">
        <f t="shared" si="23"/>
        <v>8582955945.5</v>
      </c>
    </row>
    <row r="467" spans="1:27" ht="14.5" customHeight="1">
      <c r="A467" s="19" t="s">
        <v>5156</v>
      </c>
      <c r="B467" s="3" t="s">
        <v>574</v>
      </c>
      <c r="C467" s="20">
        <v>34995411</v>
      </c>
      <c r="D467" s="20">
        <v>36953032</v>
      </c>
      <c r="E467" s="56">
        <v>-5.3</v>
      </c>
      <c r="F467" s="57">
        <v>3098877</v>
      </c>
      <c r="G467" s="57">
        <v>6509338</v>
      </c>
      <c r="H467" s="57">
        <v>-72551</v>
      </c>
      <c r="I467" s="57">
        <v>2755049</v>
      </c>
      <c r="J467" s="57">
        <v>3011960</v>
      </c>
      <c r="K467" s="57">
        <v>8993006</v>
      </c>
      <c r="L467" s="56">
        <v>-66.510000000000005</v>
      </c>
      <c r="M467" s="20">
        <v>18399089</v>
      </c>
      <c r="N467" s="56">
        <v>1.64</v>
      </c>
      <c r="O467" s="56">
        <v>4.9400000000000004</v>
      </c>
      <c r="P467" s="58">
        <v>17.68</v>
      </c>
      <c r="Q467" s="59">
        <v>53.565970813682199</v>
      </c>
      <c r="R467" s="59">
        <v>1.7023116549047701</v>
      </c>
      <c r="S467" s="59">
        <v>0.87386200501373101</v>
      </c>
      <c r="X467" s="2">
        <f t="shared" si="21"/>
        <v>0.46434029186317799</v>
      </c>
      <c r="Y467" s="2">
        <f>SUMIF(收盤價!A:A,A467,收盤價!C:C)</f>
        <v>37.200000000000003</v>
      </c>
      <c r="Z467" s="2">
        <f t="shared" si="22"/>
        <v>32529589.351999998</v>
      </c>
      <c r="AA467" s="2">
        <f t="shared" si="23"/>
        <v>68444611.080000013</v>
      </c>
    </row>
    <row r="468" spans="1:27" ht="14.5" customHeight="1">
      <c r="A468" s="19" t="s">
        <v>5157</v>
      </c>
      <c r="B468" s="3" t="s">
        <v>576</v>
      </c>
      <c r="C468" s="20">
        <v>3468682</v>
      </c>
      <c r="D468" s="20">
        <v>2885982</v>
      </c>
      <c r="E468" s="56">
        <v>20.190000000000001</v>
      </c>
      <c r="F468" s="57">
        <v>7329</v>
      </c>
      <c r="G468" s="57">
        <v>259536</v>
      </c>
      <c r="H468" s="57">
        <v>367188</v>
      </c>
      <c r="I468" s="57">
        <v>-55890</v>
      </c>
      <c r="J468" s="57">
        <v>431254</v>
      </c>
      <c r="K468" s="57">
        <v>199203</v>
      </c>
      <c r="L468" s="56">
        <v>116.49</v>
      </c>
      <c r="M468" s="20">
        <v>2527136</v>
      </c>
      <c r="N468" s="56">
        <v>2.19</v>
      </c>
      <c r="O468" s="56">
        <v>1.02</v>
      </c>
      <c r="P468" s="58">
        <v>15.07</v>
      </c>
      <c r="Q468" s="59">
        <v>52.218456020131399</v>
      </c>
      <c r="R468" s="59">
        <v>1.3145519743297001</v>
      </c>
      <c r="S468" s="59">
        <v>1.1166406541876599</v>
      </c>
      <c r="X468" s="2">
        <f t="shared" si="21"/>
        <v>0.47781543979868601</v>
      </c>
      <c r="Y468" s="2">
        <f>SUMIF(收盤價!A:A,A468,收盤價!C:C)</f>
        <v>34.450000000000003</v>
      </c>
      <c r="Z468" s="2">
        <f t="shared" si="22"/>
        <v>3808393.9520000005</v>
      </c>
      <c r="AA468" s="2">
        <f t="shared" si="23"/>
        <v>8705983.5199999996</v>
      </c>
    </row>
    <row r="469" spans="1:27" ht="14.5" customHeight="1">
      <c r="A469" s="19" t="s">
        <v>5158</v>
      </c>
      <c r="B469" s="3" t="s">
        <v>580</v>
      </c>
      <c r="C469" s="20">
        <v>1357621</v>
      </c>
      <c r="D469" s="20">
        <v>1852559</v>
      </c>
      <c r="E469" s="56">
        <v>-26.72</v>
      </c>
      <c r="F469" s="57">
        <v>-109464</v>
      </c>
      <c r="G469" s="57">
        <v>126101</v>
      </c>
      <c r="H469" s="57">
        <v>-287459</v>
      </c>
      <c r="I469" s="57">
        <v>59407</v>
      </c>
      <c r="J469" s="57">
        <v>-396646</v>
      </c>
      <c r="K469" s="57">
        <v>177234</v>
      </c>
      <c r="L469" s="56"/>
      <c r="M469" s="20">
        <v>1563423</v>
      </c>
      <c r="N469" s="56">
        <v>-2.56</v>
      </c>
      <c r="O469" s="56">
        <v>1.54</v>
      </c>
      <c r="P469" s="58">
        <v>12.35</v>
      </c>
      <c r="Q469" s="59">
        <v>70.451585982108099</v>
      </c>
      <c r="R469" s="59">
        <v>3.91310037345339</v>
      </c>
      <c r="S469" s="59">
        <v>2.5888543149302099</v>
      </c>
      <c r="X469" s="2">
        <f t="shared" si="21"/>
        <v>0.295484140178919</v>
      </c>
      <c r="Y469" s="2">
        <f>SUMIF(收盤價!A:A,A469,收盤價!C:C)</f>
        <v>20.3</v>
      </c>
      <c r="Z469" s="2">
        <f t="shared" si="22"/>
        <v>1930827.405</v>
      </c>
      <c r="AA469" s="2">
        <f t="shared" si="23"/>
        <v>3173748.6900000004</v>
      </c>
    </row>
    <row r="470" spans="1:27" ht="14.5" customHeight="1">
      <c r="A470" s="19" t="s">
        <v>5159</v>
      </c>
      <c r="B470" s="3" t="s">
        <v>582</v>
      </c>
      <c r="C470" s="20">
        <v>48771434</v>
      </c>
      <c r="D470" s="20">
        <v>51190323</v>
      </c>
      <c r="E470" s="56">
        <v>-4.7300000000000004</v>
      </c>
      <c r="F470" s="57">
        <v>1255209</v>
      </c>
      <c r="G470" s="57">
        <v>7926697</v>
      </c>
      <c r="H470" s="57">
        <v>497308</v>
      </c>
      <c r="I470" s="57">
        <v>468203</v>
      </c>
      <c r="J470" s="57">
        <v>1256387</v>
      </c>
      <c r="K470" s="57">
        <v>7446496</v>
      </c>
      <c r="L470" s="56">
        <v>-83.13</v>
      </c>
      <c r="M470" s="20">
        <v>39800002</v>
      </c>
      <c r="N470" s="56">
        <v>0.32</v>
      </c>
      <c r="O470" s="56">
        <v>1.87</v>
      </c>
      <c r="P470" s="58">
        <v>15.33</v>
      </c>
      <c r="Q470" s="59">
        <v>58.223062089654199</v>
      </c>
      <c r="R470" s="59">
        <v>2.1442353695602101</v>
      </c>
      <c r="S470" s="59">
        <v>1.0519270738298301</v>
      </c>
      <c r="X470" s="2">
        <f t="shared" si="21"/>
        <v>0.41776937910345802</v>
      </c>
      <c r="Y470" s="2">
        <f>SUMIF(收盤價!A:A,A470,收盤價!C:C)</f>
        <v>19.55</v>
      </c>
      <c r="Z470" s="2">
        <f t="shared" si="22"/>
        <v>61013403.066</v>
      </c>
      <c r="AA470" s="2">
        <f t="shared" si="23"/>
        <v>77809003.909999996</v>
      </c>
    </row>
    <row r="471" spans="1:27" ht="14.5" customHeight="1">
      <c r="A471" s="19" t="s">
        <v>5160</v>
      </c>
      <c r="B471" s="3" t="s">
        <v>592</v>
      </c>
      <c r="C471" s="20">
        <v>8839367</v>
      </c>
      <c r="D471" s="20">
        <v>10416495</v>
      </c>
      <c r="E471" s="56">
        <v>-15.14</v>
      </c>
      <c r="F471" s="57">
        <v>751084</v>
      </c>
      <c r="G471" s="57">
        <v>1099094</v>
      </c>
      <c r="H471" s="57">
        <v>-56486</v>
      </c>
      <c r="I471" s="57">
        <v>41126</v>
      </c>
      <c r="J471" s="57">
        <v>491566</v>
      </c>
      <c r="K471" s="57">
        <v>828880</v>
      </c>
      <c r="L471" s="56">
        <v>-40.700000000000003</v>
      </c>
      <c r="M471" s="20">
        <v>1821403</v>
      </c>
      <c r="N471" s="56">
        <v>2.7</v>
      </c>
      <c r="O471" s="56">
        <v>4.55</v>
      </c>
      <c r="P471" s="58">
        <v>30.97</v>
      </c>
      <c r="Q471" s="59">
        <v>54.260328165924001</v>
      </c>
      <c r="R471" s="59">
        <v>2.4966074391812301</v>
      </c>
      <c r="S471" s="59">
        <v>1.2379683087221001</v>
      </c>
      <c r="X471" s="2">
        <f t="shared" si="21"/>
        <v>0.45739671834076001</v>
      </c>
      <c r="Y471" s="2">
        <f>SUMIF(收盤價!A:A,A471,收盤價!C:C)</f>
        <v>64.900000000000006</v>
      </c>
      <c r="Z471" s="2">
        <f t="shared" si="22"/>
        <v>5640885.091</v>
      </c>
      <c r="AA471" s="2">
        <f t="shared" si="23"/>
        <v>11820905.470000001</v>
      </c>
    </row>
    <row r="472" spans="1:27" ht="14.5" customHeight="1">
      <c r="A472" s="19" t="s">
        <v>5161</v>
      </c>
      <c r="B472" s="3" t="s">
        <v>613</v>
      </c>
      <c r="C472" s="20">
        <v>222952</v>
      </c>
      <c r="D472" s="20">
        <v>223085</v>
      </c>
      <c r="E472" s="56">
        <v>-0.06</v>
      </c>
      <c r="F472" s="57">
        <v>-355576</v>
      </c>
      <c r="G472" s="57">
        <v>-389264</v>
      </c>
      <c r="H472" s="57">
        <v>138391</v>
      </c>
      <c r="I472" s="57">
        <v>229893</v>
      </c>
      <c r="J472" s="57">
        <v>-224691</v>
      </c>
      <c r="K472" s="57">
        <v>-175218</v>
      </c>
      <c r="L472" s="56"/>
      <c r="M472" s="20">
        <v>5540625</v>
      </c>
      <c r="N472" s="56">
        <v>-0.42</v>
      </c>
      <c r="O472" s="56">
        <v>-0.32</v>
      </c>
      <c r="P472" s="58">
        <v>14.41</v>
      </c>
      <c r="Q472" s="59">
        <v>98.931087700894295</v>
      </c>
      <c r="R472" s="59">
        <v>14.3615665563088</v>
      </c>
      <c r="S472" s="59">
        <v>13.1581402070524</v>
      </c>
      <c r="X472" s="2">
        <f t="shared" si="21"/>
        <v>1.0689122991057048E-2</v>
      </c>
      <c r="Y472" s="2">
        <f>SUMIF(收盤價!A:A,A472,收盤價!C:C)</f>
        <v>9.1300000000000008</v>
      </c>
      <c r="Z472" s="2">
        <f t="shared" si="22"/>
        <v>7984040.625</v>
      </c>
      <c r="AA472" s="2">
        <f t="shared" si="23"/>
        <v>5058590.6250000009</v>
      </c>
    </row>
    <row r="473" spans="1:27" ht="14.5" customHeight="1">
      <c r="A473" s="19" t="s">
        <v>5162</v>
      </c>
      <c r="B473" s="3" t="s">
        <v>623</v>
      </c>
      <c r="C473" s="20">
        <v>4719390</v>
      </c>
      <c r="D473" s="20">
        <v>5242959</v>
      </c>
      <c r="E473" s="56">
        <v>-9.99</v>
      </c>
      <c r="F473" s="57">
        <v>-579568</v>
      </c>
      <c r="G473" s="57">
        <v>-275441</v>
      </c>
      <c r="H473" s="57">
        <v>30652</v>
      </c>
      <c r="I473" s="57">
        <v>43224</v>
      </c>
      <c r="J473" s="57">
        <v>-552011</v>
      </c>
      <c r="K473" s="57">
        <v>-207272</v>
      </c>
      <c r="L473" s="56"/>
      <c r="M473" s="20">
        <v>3801023</v>
      </c>
      <c r="N473" s="56">
        <v>-1.47</v>
      </c>
      <c r="O473" s="56">
        <v>-0.55000000000000004</v>
      </c>
      <c r="P473" s="58">
        <v>13.69</v>
      </c>
      <c r="Q473" s="59">
        <v>62.152983790816698</v>
      </c>
      <c r="R473" s="59">
        <v>2.1290218468066602</v>
      </c>
      <c r="S473" s="59">
        <v>1.8221703387521999</v>
      </c>
      <c r="X473" s="2">
        <f t="shared" si="21"/>
        <v>0.37847016209183304</v>
      </c>
      <c r="Y473" s="2">
        <f>SUMIF(收盤價!A:A,A473,收盤價!C:C)</f>
        <v>10.4</v>
      </c>
      <c r="Z473" s="2">
        <f t="shared" si="22"/>
        <v>5203600.4869999997</v>
      </c>
      <c r="AA473" s="2">
        <f t="shared" si="23"/>
        <v>3953063.9200000004</v>
      </c>
    </row>
    <row r="474" spans="1:27" ht="14.5" customHeight="1">
      <c r="A474" s="19" t="s">
        <v>5163</v>
      </c>
      <c r="B474" s="3" t="s">
        <v>636</v>
      </c>
      <c r="C474" s="20">
        <v>60744006</v>
      </c>
      <c r="D474" s="20">
        <v>45805746</v>
      </c>
      <c r="E474" s="56">
        <v>32.61</v>
      </c>
      <c r="F474" s="57">
        <v>6330865</v>
      </c>
      <c r="G474" s="57">
        <v>3764460</v>
      </c>
      <c r="H474" s="57">
        <v>905007</v>
      </c>
      <c r="I474" s="57">
        <v>892741</v>
      </c>
      <c r="J474" s="57">
        <v>6790283</v>
      </c>
      <c r="K474" s="57">
        <v>4350768</v>
      </c>
      <c r="L474" s="56">
        <v>56.07</v>
      </c>
      <c r="M474" s="20">
        <v>5080955</v>
      </c>
      <c r="N474" s="56">
        <v>13.36</v>
      </c>
      <c r="O474" s="56">
        <v>8.57</v>
      </c>
      <c r="P474" s="58">
        <v>53.57</v>
      </c>
      <c r="Q474" s="59">
        <v>37.067011675999403</v>
      </c>
      <c r="R474" s="59">
        <v>1.4621177526490801</v>
      </c>
      <c r="S474" s="59">
        <v>0.38711115783974298</v>
      </c>
      <c r="X474" s="2">
        <f t="shared" si="21"/>
        <v>0.62932988324000594</v>
      </c>
      <c r="Y474" s="2">
        <f>SUMIF(收盤價!A:A,A474,收盤價!C:C)</f>
        <v>235</v>
      </c>
      <c r="Z474" s="2">
        <f t="shared" si="22"/>
        <v>27218675.935000002</v>
      </c>
      <c r="AA474" s="2">
        <f t="shared" si="23"/>
        <v>119402442.5</v>
      </c>
    </row>
    <row r="475" spans="1:27" ht="14.5" customHeight="1">
      <c r="A475" s="19" t="s">
        <v>5164</v>
      </c>
      <c r="B475" s="3" t="s">
        <v>647</v>
      </c>
      <c r="C475" s="20">
        <v>5527213</v>
      </c>
      <c r="D475" s="20">
        <v>4796841</v>
      </c>
      <c r="E475" s="56">
        <v>15.23</v>
      </c>
      <c r="F475" s="57">
        <v>-789865</v>
      </c>
      <c r="G475" s="57">
        <v>-1229051</v>
      </c>
      <c r="H475" s="57">
        <v>929386</v>
      </c>
      <c r="I475" s="57">
        <v>1325671</v>
      </c>
      <c r="J475" s="57">
        <v>42493</v>
      </c>
      <c r="K475" s="57">
        <v>68793</v>
      </c>
      <c r="L475" s="56">
        <v>-38.229999999999997</v>
      </c>
      <c r="M475" s="20">
        <v>4933034</v>
      </c>
      <c r="N475" s="56">
        <v>0.09</v>
      </c>
      <c r="O475" s="56">
        <v>0.14000000000000001</v>
      </c>
      <c r="P475" s="58">
        <v>7.16</v>
      </c>
      <c r="Q475" s="59">
        <v>38.096134327544803</v>
      </c>
      <c r="R475" s="59">
        <v>1.3047716723977301</v>
      </c>
      <c r="S475" s="59">
        <v>0.97846298046910896</v>
      </c>
      <c r="X475" s="2">
        <f t="shared" si="21"/>
        <v>0.61903865672455194</v>
      </c>
      <c r="Y475" s="2">
        <f>SUMIF(收盤價!A:A,A475,收盤價!C:C)</f>
        <v>35.85</v>
      </c>
      <c r="Z475" s="2">
        <f t="shared" si="22"/>
        <v>3532052.3439999996</v>
      </c>
      <c r="AA475" s="2">
        <f t="shared" si="23"/>
        <v>17684926.890000001</v>
      </c>
    </row>
    <row r="476" spans="1:27" ht="14.5" customHeight="1">
      <c r="A476" s="19" t="s">
        <v>5165</v>
      </c>
      <c r="B476" s="3" t="s">
        <v>661</v>
      </c>
      <c r="C476" s="20">
        <v>5512330</v>
      </c>
      <c r="D476" s="20">
        <v>6077733</v>
      </c>
      <c r="E476" s="56">
        <v>-9.3000000000000007</v>
      </c>
      <c r="F476" s="57">
        <v>131741</v>
      </c>
      <c r="G476" s="57">
        <v>-89790</v>
      </c>
      <c r="H476" s="57">
        <v>112479</v>
      </c>
      <c r="I476" s="57">
        <v>293780</v>
      </c>
      <c r="J476" s="57">
        <v>15309</v>
      </c>
      <c r="K476" s="57">
        <v>5616</v>
      </c>
      <c r="L476" s="56">
        <v>172.6</v>
      </c>
      <c r="M476" s="20">
        <v>5919949</v>
      </c>
      <c r="N476" s="56">
        <v>0.03</v>
      </c>
      <c r="O476" s="56">
        <v>0.01</v>
      </c>
      <c r="P476" s="58">
        <v>13.9</v>
      </c>
      <c r="Q476" s="59">
        <v>71.181016986680405</v>
      </c>
      <c r="R476" s="59">
        <v>4.4249673722601601</v>
      </c>
      <c r="S476" s="59">
        <v>3.7038436669407999</v>
      </c>
      <c r="X476" s="2">
        <f t="shared" si="21"/>
        <v>0.28818983013319593</v>
      </c>
      <c r="Y476" s="2">
        <f>SUMIF(收盤價!A:A,A476,收盤價!C:C)</f>
        <v>13.55</v>
      </c>
      <c r="Z476" s="2">
        <f t="shared" si="22"/>
        <v>8228729.1100000013</v>
      </c>
      <c r="AA476" s="2">
        <f t="shared" si="23"/>
        <v>8021530.8950000005</v>
      </c>
    </row>
    <row r="477" spans="1:27" ht="14.5" customHeight="1">
      <c r="A477" s="21" t="s">
        <v>5166</v>
      </c>
      <c r="B477" s="22" t="s">
        <v>671</v>
      </c>
      <c r="C477" s="23">
        <v>51727458</v>
      </c>
      <c r="D477" s="23">
        <v>84721804</v>
      </c>
      <c r="E477" s="60">
        <v>-38.94</v>
      </c>
      <c r="F477" s="61">
        <v>9516820</v>
      </c>
      <c r="G477" s="61">
        <v>39355470</v>
      </c>
      <c r="H477" s="61">
        <v>1708462</v>
      </c>
      <c r="I477" s="61">
        <v>2228867</v>
      </c>
      <c r="J477" s="61">
        <v>9824599</v>
      </c>
      <c r="K477" s="61">
        <v>39361625</v>
      </c>
      <c r="L477" s="60">
        <v>-75.040000000000006</v>
      </c>
      <c r="M477" s="23">
        <v>30737124</v>
      </c>
      <c r="N477" s="60">
        <v>3.23</v>
      </c>
      <c r="O477" s="60">
        <v>12.8</v>
      </c>
      <c r="P477" s="62">
        <v>49.78</v>
      </c>
      <c r="Q477" s="63">
        <v>92.072048873556199</v>
      </c>
      <c r="R477" s="63">
        <v>5.9375282258741402</v>
      </c>
      <c r="S477" s="63">
        <v>4.3273291979117197</v>
      </c>
      <c r="X477" s="2">
        <f t="shared" si="21"/>
        <v>7.927951126443801E-2</v>
      </c>
      <c r="Y477" s="2">
        <f>SUMIF(收盤價!A:A,A477,收盤價!C:C)</f>
        <v>83.4</v>
      </c>
      <c r="Z477" s="2">
        <f t="shared" si="22"/>
        <v>153009403.27200001</v>
      </c>
      <c r="AA477" s="2">
        <f t="shared" si="23"/>
        <v>256347614.16000003</v>
      </c>
    </row>
    <row r="478" spans="1:27" ht="14.5" customHeight="1">
      <c r="A478" s="24" t="s">
        <v>5634</v>
      </c>
      <c r="B478" s="25" t="s">
        <v>711</v>
      </c>
      <c r="C478" s="26">
        <v>165229</v>
      </c>
      <c r="D478" s="26">
        <v>304695</v>
      </c>
      <c r="E478" s="64">
        <v>-45.77</v>
      </c>
      <c r="F478" s="65">
        <v>-234858</v>
      </c>
      <c r="G478" s="65">
        <v>-173416</v>
      </c>
      <c r="H478" s="65">
        <v>-3316</v>
      </c>
      <c r="I478" s="65">
        <v>-7777</v>
      </c>
      <c r="J478" s="65">
        <v>-239481</v>
      </c>
      <c r="K478" s="65">
        <v>-180728</v>
      </c>
      <c r="L478" s="64"/>
      <c r="M478" s="26">
        <v>706021</v>
      </c>
      <c r="N478" s="64">
        <v>-3.39</v>
      </c>
      <c r="O478" s="64">
        <v>-2.56</v>
      </c>
      <c r="P478" s="66">
        <v>1.9</v>
      </c>
      <c r="Q478" s="67">
        <v>20.526183109888901</v>
      </c>
      <c r="R478" s="67">
        <v>0.38818153814560002</v>
      </c>
      <c r="S478" s="67">
        <v>0.15862055196175701</v>
      </c>
      <c r="X478" s="2">
        <f t="shared" si="21"/>
        <v>0.79473816890111093</v>
      </c>
      <c r="Y478" s="2">
        <f>SUMIF(收盤價!A:A,A478,收盤價!C:C)</f>
        <v>6.7</v>
      </c>
      <c r="Z478" s="2">
        <f t="shared" si="22"/>
        <v>134143.99</v>
      </c>
      <c r="AA478" s="2">
        <f t="shared" si="23"/>
        <v>473034.07</v>
      </c>
    </row>
    <row r="479" spans="1:27" ht="14.5" customHeight="1">
      <c r="A479" s="19" t="s">
        <v>5167</v>
      </c>
      <c r="B479" s="3" t="s">
        <v>713</v>
      </c>
      <c r="C479" s="20">
        <v>2322116</v>
      </c>
      <c r="D479" s="20">
        <v>2564457</v>
      </c>
      <c r="E479" s="56">
        <v>-9.4499999999999993</v>
      </c>
      <c r="F479" s="57">
        <v>56177</v>
      </c>
      <c r="G479" s="57">
        <v>176981</v>
      </c>
      <c r="H479" s="57">
        <v>310630</v>
      </c>
      <c r="I479" s="57">
        <v>47227</v>
      </c>
      <c r="J479" s="57">
        <v>325465</v>
      </c>
      <c r="K479" s="57">
        <v>176309</v>
      </c>
      <c r="L479" s="56">
        <v>84.6</v>
      </c>
      <c r="M479" s="20">
        <v>1780144</v>
      </c>
      <c r="N479" s="56">
        <v>1.84</v>
      </c>
      <c r="O479" s="56">
        <v>0.86</v>
      </c>
      <c r="P479" s="58">
        <v>16.940000000000001</v>
      </c>
      <c r="Q479" s="59">
        <v>78.015953690230802</v>
      </c>
      <c r="R479" s="59">
        <v>4.9328153401493298</v>
      </c>
      <c r="S479" s="59">
        <v>3.7467739836421701</v>
      </c>
      <c r="X479" s="2">
        <f t="shared" si="21"/>
        <v>0.21984046309769198</v>
      </c>
      <c r="Y479" s="2">
        <f>SUMIF(收盤價!A:A,A479,收盤價!C:C)</f>
        <v>26.85</v>
      </c>
      <c r="Z479" s="2">
        <f t="shared" si="22"/>
        <v>3015563.9360000002</v>
      </c>
      <c r="AA479" s="2">
        <f t="shared" si="23"/>
        <v>4779686.6400000006</v>
      </c>
    </row>
    <row r="480" spans="1:27" ht="14.5" customHeight="1">
      <c r="A480" s="19" t="s">
        <v>5168</v>
      </c>
      <c r="B480" s="3" t="s">
        <v>721</v>
      </c>
      <c r="C480" s="20">
        <v>12030481</v>
      </c>
      <c r="D480" s="20">
        <v>12356434</v>
      </c>
      <c r="E480" s="56">
        <v>-2.64</v>
      </c>
      <c r="F480" s="57">
        <v>2339220</v>
      </c>
      <c r="G480" s="57">
        <v>2817913</v>
      </c>
      <c r="H480" s="57">
        <v>57845</v>
      </c>
      <c r="I480" s="57">
        <v>98076</v>
      </c>
      <c r="J480" s="57">
        <v>1895899</v>
      </c>
      <c r="K480" s="57">
        <v>2375453</v>
      </c>
      <c r="L480" s="56">
        <v>-20.190000000000001</v>
      </c>
      <c r="M480" s="20">
        <v>5688459</v>
      </c>
      <c r="N480" s="56">
        <v>3.33</v>
      </c>
      <c r="O480" s="56">
        <v>4.18</v>
      </c>
      <c r="P480" s="58">
        <v>29.28</v>
      </c>
      <c r="Q480" s="59">
        <v>85.337415136575402</v>
      </c>
      <c r="R480" s="59">
        <v>3.1324540755056001</v>
      </c>
      <c r="S480" s="59">
        <v>2.7890317501967998</v>
      </c>
      <c r="X480" s="2">
        <f t="shared" si="21"/>
        <v>0.14662584863424599</v>
      </c>
      <c r="Y480" s="2">
        <f>SUMIF(收盤價!A:A,A480,收盤價!C:C)</f>
        <v>47.85</v>
      </c>
      <c r="Z480" s="2">
        <f t="shared" si="22"/>
        <v>16655807.952000001</v>
      </c>
      <c r="AA480" s="2">
        <f t="shared" si="23"/>
        <v>27219276.315000005</v>
      </c>
    </row>
    <row r="481" spans="1:27" ht="14.5" customHeight="1">
      <c r="A481" s="19" t="s">
        <v>5169</v>
      </c>
      <c r="B481" s="3" t="s">
        <v>731</v>
      </c>
      <c r="C481" s="20">
        <v>25539437</v>
      </c>
      <c r="D481" s="20">
        <v>20815369</v>
      </c>
      <c r="E481" s="56">
        <v>22.7</v>
      </c>
      <c r="F481" s="57">
        <v>4045014</v>
      </c>
      <c r="G481" s="57">
        <v>2719681</v>
      </c>
      <c r="H481" s="57">
        <v>-130151</v>
      </c>
      <c r="I481" s="57">
        <v>-330123</v>
      </c>
      <c r="J481" s="57">
        <v>3041566</v>
      </c>
      <c r="K481" s="57">
        <v>1795344</v>
      </c>
      <c r="L481" s="56">
        <v>69.41</v>
      </c>
      <c r="M481" s="20">
        <v>12227451</v>
      </c>
      <c r="N481" s="56">
        <v>2.4900000000000002</v>
      </c>
      <c r="O481" s="56">
        <v>1.47</v>
      </c>
      <c r="P481" s="58">
        <v>21.42</v>
      </c>
      <c r="Q481" s="59">
        <v>47.553274652082898</v>
      </c>
      <c r="R481" s="59">
        <v>1.7581366285578399</v>
      </c>
      <c r="S481" s="59">
        <v>1.5732061472459899</v>
      </c>
      <c r="X481" s="2">
        <f t="shared" si="21"/>
        <v>0.524467253479171</v>
      </c>
      <c r="Y481" s="2">
        <f>SUMIF(收盤價!A:A,A481,收盤價!C:C)</f>
        <v>37.549999999999997</v>
      </c>
      <c r="Z481" s="2">
        <f t="shared" si="22"/>
        <v>26191200.042000003</v>
      </c>
      <c r="AA481" s="2">
        <f t="shared" si="23"/>
        <v>45914078.504999995</v>
      </c>
    </row>
    <row r="482" spans="1:27" ht="14.5" customHeight="1">
      <c r="A482" s="19" t="s">
        <v>5170</v>
      </c>
      <c r="B482" s="3" t="s">
        <v>735</v>
      </c>
      <c r="C482" s="20">
        <v>13496186</v>
      </c>
      <c r="D482" s="20">
        <v>17615965</v>
      </c>
      <c r="E482" s="56">
        <v>-23.39</v>
      </c>
      <c r="F482" s="57">
        <v>1781010</v>
      </c>
      <c r="G482" s="57">
        <v>2139754</v>
      </c>
      <c r="H482" s="57">
        <v>308733</v>
      </c>
      <c r="I482" s="57">
        <v>513793</v>
      </c>
      <c r="J482" s="57">
        <v>1728967</v>
      </c>
      <c r="K482" s="57">
        <v>2081995</v>
      </c>
      <c r="L482" s="56">
        <v>-16.96</v>
      </c>
      <c r="M482" s="20">
        <v>4307617</v>
      </c>
      <c r="N482" s="56">
        <v>4.01</v>
      </c>
      <c r="O482" s="56">
        <v>4.83</v>
      </c>
      <c r="P482" s="58">
        <v>45.21</v>
      </c>
      <c r="Q482" s="59">
        <v>91.538324751106003</v>
      </c>
      <c r="R482" s="59">
        <v>10.2636624513262</v>
      </c>
      <c r="S482" s="59">
        <v>3.6099239533850702</v>
      </c>
      <c r="X482" s="2">
        <f t="shared" si="21"/>
        <v>8.4616752488939961E-2</v>
      </c>
      <c r="Y482" s="2">
        <f>SUMIF(收盤價!A:A,A482,收盤價!C:C)</f>
        <v>77.900000000000006</v>
      </c>
      <c r="Z482" s="2">
        <f t="shared" si="22"/>
        <v>19474736.456999999</v>
      </c>
      <c r="AA482" s="2">
        <f t="shared" si="23"/>
        <v>33556336.43</v>
      </c>
    </row>
    <row r="483" spans="1:27" ht="14.5" customHeight="1">
      <c r="A483" s="19" t="s">
        <v>5171</v>
      </c>
      <c r="B483" s="3" t="s">
        <v>739</v>
      </c>
      <c r="C483" s="20">
        <v>246221731</v>
      </c>
      <c r="D483" s="20">
        <v>238057346</v>
      </c>
      <c r="E483" s="56">
        <v>3.43</v>
      </c>
      <c r="F483" s="57">
        <v>22567452</v>
      </c>
      <c r="G483" s="57">
        <v>16182476</v>
      </c>
      <c r="H483" s="57">
        <v>4459917</v>
      </c>
      <c r="I483" s="57">
        <v>7509009</v>
      </c>
      <c r="J483" s="57">
        <v>23032721</v>
      </c>
      <c r="K483" s="57">
        <v>20760498</v>
      </c>
      <c r="L483" s="56">
        <v>10.94</v>
      </c>
      <c r="M483" s="20">
        <v>15900253</v>
      </c>
      <c r="N483" s="56">
        <v>14.69</v>
      </c>
      <c r="O483" s="56">
        <v>13.26</v>
      </c>
      <c r="P483" s="58">
        <v>197.66</v>
      </c>
      <c r="Q483" s="59">
        <v>68.181626514414702</v>
      </c>
      <c r="R483" s="59">
        <v>2.0345777241554699</v>
      </c>
      <c r="S483" s="59">
        <v>1.6555384763072101</v>
      </c>
      <c r="X483" s="2">
        <f t="shared" si="21"/>
        <v>0.318183734855853</v>
      </c>
      <c r="Y483" s="2">
        <f>SUMIF(收盤價!A:A,A483,收盤價!C:C)</f>
        <v>443.5</v>
      </c>
      <c r="Z483" s="2">
        <f t="shared" si="22"/>
        <v>314284400.79799998</v>
      </c>
      <c r="AA483" s="2">
        <f t="shared" si="23"/>
        <v>705176220.54999995</v>
      </c>
    </row>
    <row r="484" spans="1:27" ht="14.5" customHeight="1">
      <c r="A484" s="19" t="s">
        <v>5172</v>
      </c>
      <c r="B484" s="3" t="s">
        <v>747</v>
      </c>
      <c r="C484" s="20">
        <v>9487977</v>
      </c>
      <c r="D484" s="20">
        <v>8651332</v>
      </c>
      <c r="E484" s="56">
        <v>9.67</v>
      </c>
      <c r="F484" s="57">
        <v>2081426</v>
      </c>
      <c r="G484" s="57">
        <v>1730288</v>
      </c>
      <c r="H484" s="57">
        <v>728234</v>
      </c>
      <c r="I484" s="57">
        <v>139780</v>
      </c>
      <c r="J484" s="57">
        <v>2496744</v>
      </c>
      <c r="K484" s="57">
        <v>1559580</v>
      </c>
      <c r="L484" s="56">
        <v>60.09</v>
      </c>
      <c r="M484" s="20">
        <v>3038804</v>
      </c>
      <c r="N484" s="56">
        <v>8.57</v>
      </c>
      <c r="O484" s="56">
        <v>4.16</v>
      </c>
      <c r="P484" s="58">
        <v>26.31</v>
      </c>
      <c r="Q484" s="59">
        <v>68.187113382079204</v>
      </c>
      <c r="R484" s="59">
        <v>2.6184203684766998</v>
      </c>
      <c r="S484" s="59">
        <v>1.4097721309861799</v>
      </c>
      <c r="X484" s="2">
        <f t="shared" si="21"/>
        <v>0.31812886617920794</v>
      </c>
      <c r="Y484" s="2">
        <f>SUMIF(收盤價!A:A,A484,收盤價!C:C)</f>
        <v>91.2</v>
      </c>
      <c r="Z484" s="2">
        <f t="shared" si="22"/>
        <v>7995093.3239999991</v>
      </c>
      <c r="AA484" s="2">
        <f t="shared" si="23"/>
        <v>27713892.48</v>
      </c>
    </row>
    <row r="485" spans="1:27" ht="14.5" customHeight="1">
      <c r="A485" s="19" t="s">
        <v>5173</v>
      </c>
      <c r="B485" s="3" t="s">
        <v>781</v>
      </c>
      <c r="C485" s="20">
        <v>9142650</v>
      </c>
      <c r="D485" s="20">
        <v>11365605</v>
      </c>
      <c r="E485" s="56">
        <v>-19.559999999999999</v>
      </c>
      <c r="F485" s="57">
        <v>628410</v>
      </c>
      <c r="G485" s="57">
        <v>932455</v>
      </c>
      <c r="H485" s="57">
        <v>-27838</v>
      </c>
      <c r="I485" s="57">
        <v>20261</v>
      </c>
      <c r="J485" s="57">
        <v>530209</v>
      </c>
      <c r="K485" s="57">
        <v>891741</v>
      </c>
      <c r="L485" s="56">
        <v>-40.54</v>
      </c>
      <c r="M485" s="20">
        <v>3328149</v>
      </c>
      <c r="N485" s="56">
        <v>1.5</v>
      </c>
      <c r="O485" s="56">
        <v>2.41</v>
      </c>
      <c r="P485" s="58">
        <v>18.78</v>
      </c>
      <c r="Q485" s="59">
        <v>40.517806399337701</v>
      </c>
      <c r="R485" s="59">
        <v>1.6805738797068199</v>
      </c>
      <c r="S485" s="59">
        <v>1.2729481207400299</v>
      </c>
      <c r="X485" s="2">
        <f t="shared" si="21"/>
        <v>0.59482193600662303</v>
      </c>
      <c r="Y485" s="2">
        <f>SUMIF(收盤價!A:A,A485,收盤價!C:C)</f>
        <v>27.7</v>
      </c>
      <c r="Z485" s="2">
        <f t="shared" si="22"/>
        <v>6250263.8220000006</v>
      </c>
      <c r="AA485" s="2">
        <f t="shared" si="23"/>
        <v>9218972.7300000004</v>
      </c>
    </row>
    <row r="486" spans="1:27" ht="14.5" customHeight="1">
      <c r="A486" s="19" t="s">
        <v>5174</v>
      </c>
      <c r="B486" s="3" t="s">
        <v>1041</v>
      </c>
      <c r="C486" s="20">
        <v>11983479</v>
      </c>
      <c r="D486" s="20">
        <v>11555124</v>
      </c>
      <c r="E486" s="56">
        <v>3.71</v>
      </c>
      <c r="F486" s="57">
        <v>574943</v>
      </c>
      <c r="G486" s="57">
        <v>806415</v>
      </c>
      <c r="H486" s="57">
        <v>1237</v>
      </c>
      <c r="I486" s="57">
        <v>41845</v>
      </c>
      <c r="J486" s="57">
        <v>497405</v>
      </c>
      <c r="K486" s="57">
        <v>706508</v>
      </c>
      <c r="L486" s="56">
        <v>-29.6</v>
      </c>
      <c r="M486" s="20">
        <v>2857589</v>
      </c>
      <c r="N486" s="56">
        <v>1.78</v>
      </c>
      <c r="O486" s="56">
        <v>2.52</v>
      </c>
      <c r="P486" s="58">
        <v>27.4</v>
      </c>
      <c r="Q486" s="59">
        <v>71.194963512564499</v>
      </c>
      <c r="R486" s="59">
        <v>3.1385491144088902</v>
      </c>
      <c r="S486" s="59">
        <v>1.43733907919675</v>
      </c>
      <c r="X486" s="2">
        <f t="shared" si="21"/>
        <v>0.28805036487435504</v>
      </c>
      <c r="Y486" s="2">
        <f>SUMIF(收盤價!A:A,A486,收盤價!C:C)</f>
        <v>38.9</v>
      </c>
      <c r="Z486" s="2">
        <f t="shared" si="22"/>
        <v>7829793.8599999994</v>
      </c>
      <c r="AA486" s="2">
        <f t="shared" si="23"/>
        <v>11116021.209999999</v>
      </c>
    </row>
    <row r="487" spans="1:27" ht="14.5" customHeight="1">
      <c r="A487" s="19" t="s">
        <v>5175</v>
      </c>
      <c r="B487" s="3" t="s">
        <v>1051</v>
      </c>
      <c r="C487" s="20">
        <v>3664910</v>
      </c>
      <c r="D487" s="20">
        <v>3363143</v>
      </c>
      <c r="E487" s="56">
        <v>8.9700000000000006</v>
      </c>
      <c r="F487" s="57">
        <v>665794</v>
      </c>
      <c r="G487" s="57">
        <v>551326</v>
      </c>
      <c r="H487" s="57">
        <v>13807</v>
      </c>
      <c r="I487" s="57">
        <v>32344</v>
      </c>
      <c r="J487" s="57">
        <v>539340</v>
      </c>
      <c r="K487" s="57">
        <v>486961</v>
      </c>
      <c r="L487" s="56">
        <v>10.76</v>
      </c>
      <c r="M487" s="20">
        <v>1610801</v>
      </c>
      <c r="N487" s="56">
        <v>3.38</v>
      </c>
      <c r="O487" s="56">
        <v>3.08</v>
      </c>
      <c r="P487" s="58">
        <v>25.06</v>
      </c>
      <c r="Q487" s="59">
        <v>75.321300927034301</v>
      </c>
      <c r="R487" s="59">
        <v>3.2106056016890498</v>
      </c>
      <c r="S487" s="59">
        <v>2.85774520157856</v>
      </c>
      <c r="X487" s="2">
        <f t="shared" si="21"/>
        <v>0.24678699072965699</v>
      </c>
      <c r="Y487" s="2">
        <f>SUMIF(收盤價!A:A,A487,收盤價!C:C)</f>
        <v>44.15</v>
      </c>
      <c r="Z487" s="2">
        <f t="shared" si="22"/>
        <v>4036667.3059999994</v>
      </c>
      <c r="AA487" s="2">
        <f t="shared" si="23"/>
        <v>7111686.4149999991</v>
      </c>
    </row>
    <row r="488" spans="1:27" ht="14.5" customHeight="1">
      <c r="A488" s="19" t="s">
        <v>5176</v>
      </c>
      <c r="B488" s="3" t="s">
        <v>1055</v>
      </c>
      <c r="C488" s="20">
        <v>3854729</v>
      </c>
      <c r="D488" s="20">
        <v>4524026</v>
      </c>
      <c r="E488" s="56">
        <v>-14.79</v>
      </c>
      <c r="F488" s="57">
        <v>6399</v>
      </c>
      <c r="G488" s="57">
        <v>499480</v>
      </c>
      <c r="H488" s="57">
        <v>4082</v>
      </c>
      <c r="I488" s="57">
        <v>29817</v>
      </c>
      <c r="J488" s="57">
        <v>10478</v>
      </c>
      <c r="K488" s="57">
        <v>430119</v>
      </c>
      <c r="L488" s="56">
        <v>-97.56</v>
      </c>
      <c r="M488" s="20">
        <v>2744013</v>
      </c>
      <c r="N488" s="56">
        <v>0.04</v>
      </c>
      <c r="O488" s="56">
        <v>1.57</v>
      </c>
      <c r="P488" s="58">
        <v>13.92</v>
      </c>
      <c r="Q488" s="59">
        <v>63.426819914719097</v>
      </c>
      <c r="R488" s="59">
        <v>2.8081019923308599</v>
      </c>
      <c r="S488" s="59">
        <v>1.87915834694163</v>
      </c>
      <c r="X488" s="2">
        <f t="shared" si="21"/>
        <v>0.36573180085280904</v>
      </c>
      <c r="Y488" s="2">
        <f>SUMIF(收盤價!A:A,A488,收盤價!C:C)</f>
        <v>52.8</v>
      </c>
      <c r="Z488" s="2">
        <f t="shared" si="22"/>
        <v>3819666.0959999999</v>
      </c>
      <c r="AA488" s="2">
        <f t="shared" si="23"/>
        <v>14488388.640000001</v>
      </c>
    </row>
    <row r="489" spans="1:27" ht="14.5" customHeight="1">
      <c r="A489" s="19" t="s">
        <v>5177</v>
      </c>
      <c r="B489" s="3" t="s">
        <v>1089</v>
      </c>
      <c r="C489" s="20">
        <v>64372306</v>
      </c>
      <c r="D489" s="20">
        <v>54833856</v>
      </c>
      <c r="E489" s="56">
        <v>17.399999999999999</v>
      </c>
      <c r="F489" s="57">
        <v>9857421</v>
      </c>
      <c r="G489" s="57">
        <v>7615163</v>
      </c>
      <c r="H489" s="57">
        <v>-42356</v>
      </c>
      <c r="I489" s="57">
        <v>290436</v>
      </c>
      <c r="J489" s="57">
        <v>7927409</v>
      </c>
      <c r="K489" s="57">
        <v>6390630</v>
      </c>
      <c r="L489" s="56">
        <v>24.05</v>
      </c>
      <c r="M489" s="20">
        <v>6085115</v>
      </c>
      <c r="N489" s="56">
        <v>13.03</v>
      </c>
      <c r="O489" s="56">
        <v>10.5</v>
      </c>
      <c r="P489" s="58">
        <v>54.36</v>
      </c>
      <c r="Q489" s="59">
        <v>70.566730397548497</v>
      </c>
      <c r="R489" s="59">
        <v>2.9655771681570799</v>
      </c>
      <c r="S489" s="59">
        <v>2.45866854308432</v>
      </c>
      <c r="X489" s="2">
        <f t="shared" si="21"/>
        <v>0.29433269602451501</v>
      </c>
      <c r="Y489" s="2">
        <f>SUMIF(收盤價!A:A,A489,收盤價!C:C)</f>
        <v>219</v>
      </c>
      <c r="Z489" s="2">
        <f t="shared" si="22"/>
        <v>33078685.139999997</v>
      </c>
      <c r="AA489" s="2">
        <f t="shared" si="23"/>
        <v>133264018.5</v>
      </c>
    </row>
    <row r="490" spans="1:27" ht="14.5" customHeight="1">
      <c r="A490" s="19" t="s">
        <v>5178</v>
      </c>
      <c r="B490" s="3" t="s">
        <v>1091</v>
      </c>
      <c r="C490" s="20">
        <v>5306351</v>
      </c>
      <c r="D490" s="20">
        <v>4904658</v>
      </c>
      <c r="E490" s="56">
        <v>8.19</v>
      </c>
      <c r="F490" s="57">
        <v>398300</v>
      </c>
      <c r="G490" s="57">
        <v>283008</v>
      </c>
      <c r="H490" s="57">
        <v>18555</v>
      </c>
      <c r="I490" s="57">
        <v>33001</v>
      </c>
      <c r="J490" s="57">
        <v>347877</v>
      </c>
      <c r="K490" s="57">
        <v>263228</v>
      </c>
      <c r="L490" s="56">
        <v>32.159999999999997</v>
      </c>
      <c r="M490" s="20">
        <v>2485503</v>
      </c>
      <c r="N490" s="56">
        <v>1.4</v>
      </c>
      <c r="O490" s="56">
        <v>1.06</v>
      </c>
      <c r="P490" s="58">
        <v>20.94</v>
      </c>
      <c r="Q490" s="59">
        <v>67.562932775627402</v>
      </c>
      <c r="R490" s="59">
        <v>2.4158185068700102</v>
      </c>
      <c r="S490" s="59">
        <v>2.03212722372901</v>
      </c>
      <c r="X490" s="2">
        <f t="shared" si="21"/>
        <v>0.32437067224372595</v>
      </c>
      <c r="Y490" s="2">
        <f>SUMIF(收盤價!A:A,A490,收盤價!C:C)</f>
        <v>56.3</v>
      </c>
      <c r="Z490" s="2">
        <f t="shared" si="22"/>
        <v>5204643.2819999997</v>
      </c>
      <c r="AA490" s="2">
        <f t="shared" si="23"/>
        <v>13993381.890000001</v>
      </c>
    </row>
    <row r="491" spans="1:27" ht="14.5" customHeight="1">
      <c r="A491" s="19" t="s">
        <v>5179</v>
      </c>
      <c r="B491" s="3" t="s">
        <v>1101</v>
      </c>
      <c r="C491" s="20">
        <v>2011515</v>
      </c>
      <c r="D491" s="20">
        <v>2412587</v>
      </c>
      <c r="E491" s="56">
        <v>-16.62</v>
      </c>
      <c r="F491" s="57">
        <v>-448147</v>
      </c>
      <c r="G491" s="57">
        <v>-1070028</v>
      </c>
      <c r="H491" s="57">
        <v>58630</v>
      </c>
      <c r="I491" s="57">
        <v>58470</v>
      </c>
      <c r="J491" s="57">
        <v>-316973</v>
      </c>
      <c r="K491" s="57">
        <v>-762252</v>
      </c>
      <c r="L491" s="56"/>
      <c r="M491" s="20">
        <v>1925399</v>
      </c>
      <c r="N491" s="56">
        <v>-1.68</v>
      </c>
      <c r="O491" s="56">
        <v>-4.05</v>
      </c>
      <c r="P491" s="58">
        <v>17.57</v>
      </c>
      <c r="Q491" s="59">
        <v>83.589914667977695</v>
      </c>
      <c r="R491" s="59">
        <v>3.8214802365157499</v>
      </c>
      <c r="S491" s="59">
        <v>2.6217870390744098</v>
      </c>
      <c r="X491" s="2">
        <f t="shared" si="21"/>
        <v>0.16410085332022306</v>
      </c>
      <c r="Y491" s="2">
        <f>SUMIF(收盤價!A:A,A491,收盤價!C:C)</f>
        <v>17.899999999999999</v>
      </c>
      <c r="Z491" s="2">
        <f t="shared" si="22"/>
        <v>3382926.0430000001</v>
      </c>
      <c r="AA491" s="2">
        <f t="shared" si="23"/>
        <v>3446464.2099999995</v>
      </c>
    </row>
    <row r="492" spans="1:27" ht="14.5" customHeight="1">
      <c r="A492" s="19" t="s">
        <v>5180</v>
      </c>
      <c r="B492" s="3" t="s">
        <v>1125</v>
      </c>
      <c r="C492" s="20">
        <v>129782</v>
      </c>
      <c r="D492" s="20">
        <v>185512</v>
      </c>
      <c r="E492" s="56">
        <v>-30.04</v>
      </c>
      <c r="F492" s="57">
        <v>-81196</v>
      </c>
      <c r="G492" s="57">
        <v>-54659</v>
      </c>
      <c r="H492" s="57">
        <v>89676</v>
      </c>
      <c r="I492" s="57">
        <v>60698</v>
      </c>
      <c r="J492" s="57">
        <v>2782</v>
      </c>
      <c r="K492" s="57">
        <v>891</v>
      </c>
      <c r="L492" s="56">
        <v>212.23</v>
      </c>
      <c r="M492" s="20">
        <v>885133</v>
      </c>
      <c r="N492" s="56">
        <v>0.03</v>
      </c>
      <c r="O492" s="56">
        <v>0.01</v>
      </c>
      <c r="P492" s="58">
        <v>11.58</v>
      </c>
      <c r="Q492" s="59">
        <v>85.166552321961802</v>
      </c>
      <c r="R492" s="59">
        <v>4.3898044753287104</v>
      </c>
      <c r="S492" s="59">
        <v>3.20685853725002</v>
      </c>
      <c r="X492" s="2">
        <f t="shared" si="21"/>
        <v>0.14833447678038197</v>
      </c>
      <c r="Y492" s="2">
        <f>SUMIF(收盤價!A:A,A492,收盤價!C:C)</f>
        <v>28.5</v>
      </c>
      <c r="Z492" s="2">
        <f t="shared" si="22"/>
        <v>1024984.0140000001</v>
      </c>
      <c r="AA492" s="2">
        <f t="shared" si="23"/>
        <v>2522629.0499999998</v>
      </c>
    </row>
    <row r="493" spans="1:27" ht="14.5" customHeight="1">
      <c r="A493" s="19" t="s">
        <v>5181</v>
      </c>
      <c r="B493" s="3" t="s">
        <v>1143</v>
      </c>
      <c r="C493" s="20">
        <v>242531</v>
      </c>
      <c r="D493" s="20">
        <v>261095</v>
      </c>
      <c r="E493" s="56">
        <v>-7.11</v>
      </c>
      <c r="F493" s="57">
        <v>10186</v>
      </c>
      <c r="G493" s="57">
        <v>9980</v>
      </c>
      <c r="H493" s="57">
        <v>35089</v>
      </c>
      <c r="I493" s="57">
        <v>32871</v>
      </c>
      <c r="J493" s="57">
        <v>41396</v>
      </c>
      <c r="K493" s="57">
        <v>37635</v>
      </c>
      <c r="L493" s="56">
        <v>9.99</v>
      </c>
      <c r="M493" s="20">
        <v>846551</v>
      </c>
      <c r="N493" s="56">
        <v>0.5</v>
      </c>
      <c r="O493" s="56">
        <v>0.44</v>
      </c>
      <c r="P493" s="58">
        <v>13.28</v>
      </c>
      <c r="Q493" s="59">
        <v>89.429090387881004</v>
      </c>
      <c r="R493" s="59">
        <v>16.811971917221101</v>
      </c>
      <c r="S493" s="59">
        <v>16.130821666190499</v>
      </c>
      <c r="X493" s="2">
        <f t="shared" si="21"/>
        <v>0.10570909612118996</v>
      </c>
      <c r="Y493" s="2">
        <f>SUMIF(收盤價!A:A,A493,收盤價!C:C)</f>
        <v>18.649999999999999</v>
      </c>
      <c r="Z493" s="2">
        <f t="shared" si="22"/>
        <v>1124219.7279999999</v>
      </c>
      <c r="AA493" s="2">
        <f t="shared" si="23"/>
        <v>1578817.6149999998</v>
      </c>
    </row>
    <row r="494" spans="1:27" ht="14.5" customHeight="1">
      <c r="A494" s="19" t="s">
        <v>5182</v>
      </c>
      <c r="B494" s="3" t="s">
        <v>11</v>
      </c>
      <c r="C494" s="20">
        <v>22327410</v>
      </c>
      <c r="D494" s="20">
        <v>23727929</v>
      </c>
      <c r="E494" s="56">
        <v>-5.9</v>
      </c>
      <c r="F494" s="57">
        <v>-1650225</v>
      </c>
      <c r="G494" s="57">
        <v>791650</v>
      </c>
      <c r="H494" s="57">
        <v>-196033</v>
      </c>
      <c r="I494" s="57">
        <v>-81128</v>
      </c>
      <c r="J494" s="57">
        <v>-2025332</v>
      </c>
      <c r="K494" s="57">
        <v>349485</v>
      </c>
      <c r="L494" s="56"/>
      <c r="M494" s="20">
        <v>4510738</v>
      </c>
      <c r="N494" s="56">
        <v>-4.5199999999999996</v>
      </c>
      <c r="O494" s="56">
        <v>0.78</v>
      </c>
      <c r="P494" s="58">
        <v>56.68</v>
      </c>
      <c r="Q494" s="59">
        <v>61.306883176877101</v>
      </c>
      <c r="R494" s="59">
        <v>1.7839791617510099</v>
      </c>
      <c r="S494" s="59">
        <v>1.48648103930758</v>
      </c>
      <c r="X494" s="2">
        <f t="shared" si="21"/>
        <v>0.38693116823122897</v>
      </c>
      <c r="Y494" s="2">
        <f>SUMIF(收盤價!A:A,A494,收盤價!C:C)</f>
        <v>51.8</v>
      </c>
      <c r="Z494" s="2">
        <f t="shared" si="22"/>
        <v>25566862.984000001</v>
      </c>
      <c r="AA494" s="2">
        <f t="shared" si="23"/>
        <v>23365622.839999996</v>
      </c>
    </row>
    <row r="495" spans="1:27" ht="14.5" customHeight="1">
      <c r="A495" s="19" t="s">
        <v>5183</v>
      </c>
      <c r="B495" s="3" t="s">
        <v>1159</v>
      </c>
      <c r="C495" s="20">
        <v>687633</v>
      </c>
      <c r="D495" s="20">
        <v>775692</v>
      </c>
      <c r="E495" s="56">
        <v>-11.35</v>
      </c>
      <c r="F495" s="57">
        <v>64679</v>
      </c>
      <c r="G495" s="57">
        <v>47343</v>
      </c>
      <c r="H495" s="57">
        <v>35837</v>
      </c>
      <c r="I495" s="57">
        <v>80830</v>
      </c>
      <c r="J495" s="57">
        <v>93109</v>
      </c>
      <c r="K495" s="57">
        <v>113287</v>
      </c>
      <c r="L495" s="56">
        <v>-17.809999999999999</v>
      </c>
      <c r="M495" s="20">
        <v>693803</v>
      </c>
      <c r="N495" s="56">
        <v>1.34</v>
      </c>
      <c r="O495" s="56">
        <v>1.63</v>
      </c>
      <c r="P495" s="58">
        <v>21.64</v>
      </c>
      <c r="Q495" s="59">
        <v>92.115329048390606</v>
      </c>
      <c r="R495" s="59">
        <v>11.168784585158299</v>
      </c>
      <c r="S495" s="59">
        <v>8.4873285387263699</v>
      </c>
      <c r="X495" s="2">
        <f t="shared" si="21"/>
        <v>7.8846709516093932E-2</v>
      </c>
      <c r="Y495" s="2">
        <f>SUMIF(收盤價!A:A,A495,收盤價!C:C)</f>
        <v>58.5</v>
      </c>
      <c r="Z495" s="2">
        <f t="shared" si="22"/>
        <v>1501389.692</v>
      </c>
      <c r="AA495" s="2">
        <f t="shared" si="23"/>
        <v>4058747.55</v>
      </c>
    </row>
    <row r="496" spans="1:27" ht="14.5" customHeight="1">
      <c r="A496" s="19" t="s">
        <v>5184</v>
      </c>
      <c r="B496" s="3" t="s">
        <v>1188</v>
      </c>
      <c r="C496" s="20">
        <v>7305825</v>
      </c>
      <c r="D496" s="20">
        <v>9304949</v>
      </c>
      <c r="E496" s="56">
        <v>-21.48</v>
      </c>
      <c r="F496" s="57">
        <v>883801</v>
      </c>
      <c r="G496" s="57">
        <v>1332640</v>
      </c>
      <c r="H496" s="57">
        <v>-85942</v>
      </c>
      <c r="I496" s="57">
        <v>100435</v>
      </c>
      <c r="J496" s="57">
        <v>649322</v>
      </c>
      <c r="K496" s="57">
        <v>1162661</v>
      </c>
      <c r="L496" s="56">
        <v>-44.15</v>
      </c>
      <c r="M496" s="20">
        <v>826875</v>
      </c>
      <c r="N496" s="56">
        <v>7.85</v>
      </c>
      <c r="O496" s="56">
        <v>14.06</v>
      </c>
      <c r="P496" s="58">
        <v>51.72</v>
      </c>
      <c r="Q496" s="59">
        <v>51.7361411869229</v>
      </c>
      <c r="R496" s="59">
        <v>2.0757798384231001</v>
      </c>
      <c r="S496" s="59">
        <v>1.5381562586917801</v>
      </c>
      <c r="X496" s="2">
        <f t="shared" si="21"/>
        <v>0.48263858813077098</v>
      </c>
      <c r="Y496" s="2">
        <f>SUMIF(收盤價!A:A,A496,收盤價!C:C)</f>
        <v>178</v>
      </c>
      <c r="Z496" s="2">
        <f t="shared" si="22"/>
        <v>4276597.5</v>
      </c>
      <c r="AA496" s="2">
        <f t="shared" si="23"/>
        <v>14718375</v>
      </c>
    </row>
    <row r="497" spans="1:27" ht="14.5" customHeight="1">
      <c r="A497" s="19" t="s">
        <v>5185</v>
      </c>
      <c r="B497" s="3" t="s">
        <v>1198</v>
      </c>
      <c r="C497" s="20">
        <v>10710068</v>
      </c>
      <c r="D497" s="20">
        <v>13459804</v>
      </c>
      <c r="E497" s="56">
        <v>-20.43</v>
      </c>
      <c r="F497" s="57">
        <v>697229</v>
      </c>
      <c r="G497" s="57">
        <v>1096373</v>
      </c>
      <c r="H497" s="57">
        <v>85873</v>
      </c>
      <c r="I497" s="57">
        <v>39111</v>
      </c>
      <c r="J497" s="57">
        <v>633467</v>
      </c>
      <c r="K497" s="57">
        <v>988156</v>
      </c>
      <c r="L497" s="56">
        <v>-35.89</v>
      </c>
      <c r="M497" s="20">
        <v>1340119</v>
      </c>
      <c r="N497" s="56">
        <v>4.7300000000000004</v>
      </c>
      <c r="O497" s="56">
        <v>7.37</v>
      </c>
      <c r="P497" s="58">
        <v>32.18</v>
      </c>
      <c r="Q497" s="59">
        <v>51.709883385297303</v>
      </c>
      <c r="R497" s="59">
        <v>1.8184433834299401</v>
      </c>
      <c r="S497" s="59">
        <v>1.1777418568389</v>
      </c>
      <c r="X497" s="2">
        <f t="shared" si="21"/>
        <v>0.48290116614702699</v>
      </c>
      <c r="Y497" s="2">
        <f>SUMIF(收盤價!A:A,A497,收盤價!C:C)</f>
        <v>241</v>
      </c>
      <c r="Z497" s="2">
        <f t="shared" si="22"/>
        <v>4312502.9419999998</v>
      </c>
      <c r="AA497" s="2">
        <f t="shared" si="23"/>
        <v>32296867.899999999</v>
      </c>
    </row>
    <row r="498" spans="1:27" ht="14.5" customHeight="1">
      <c r="A498" s="19" t="s">
        <v>5186</v>
      </c>
      <c r="B498" s="3" t="s">
        <v>1217</v>
      </c>
      <c r="C498" s="20">
        <v>2294110</v>
      </c>
      <c r="D498" s="20">
        <v>2034267</v>
      </c>
      <c r="E498" s="56">
        <v>12.77</v>
      </c>
      <c r="F498" s="57">
        <v>156051</v>
      </c>
      <c r="G498" s="57">
        <v>180054</v>
      </c>
      <c r="H498" s="57">
        <v>26059</v>
      </c>
      <c r="I498" s="57">
        <v>9919</v>
      </c>
      <c r="J498" s="57">
        <v>156010</v>
      </c>
      <c r="K498" s="57">
        <v>157432</v>
      </c>
      <c r="L498" s="56">
        <v>-0.9</v>
      </c>
      <c r="M498" s="20">
        <v>780809</v>
      </c>
      <c r="N498" s="56">
        <v>2.0099999999999998</v>
      </c>
      <c r="O498" s="56">
        <v>2.17</v>
      </c>
      <c r="P498" s="58">
        <v>26.99</v>
      </c>
      <c r="Q498" s="59">
        <v>85.371459340904707</v>
      </c>
      <c r="R498" s="59">
        <v>4.8719466515658301</v>
      </c>
      <c r="S498" s="59">
        <v>1.63090835088216</v>
      </c>
      <c r="X498" s="2">
        <f t="shared" si="21"/>
        <v>0.14628540659095293</v>
      </c>
      <c r="Y498" s="2">
        <f>SUMIF(收盤價!A:A,A498,收盤價!C:C)</f>
        <v>99.6</v>
      </c>
      <c r="Z498" s="2">
        <f t="shared" si="22"/>
        <v>2107403.4909999999</v>
      </c>
      <c r="AA498" s="2">
        <f t="shared" si="23"/>
        <v>7776857.6399999987</v>
      </c>
    </row>
    <row r="499" spans="1:27" ht="14.5" customHeight="1">
      <c r="A499" s="19" t="s">
        <v>5187</v>
      </c>
      <c r="B499" s="3" t="s">
        <v>1219</v>
      </c>
      <c r="C499" s="20">
        <v>11636040</v>
      </c>
      <c r="D499" s="20">
        <v>16358126</v>
      </c>
      <c r="E499" s="56">
        <v>-28.87</v>
      </c>
      <c r="F499" s="57">
        <v>2619363</v>
      </c>
      <c r="G499" s="57">
        <v>6179888</v>
      </c>
      <c r="H499" s="57">
        <v>49595</v>
      </c>
      <c r="I499" s="57">
        <v>227894</v>
      </c>
      <c r="J499" s="57">
        <v>2125798</v>
      </c>
      <c r="K499" s="57">
        <v>5580459</v>
      </c>
      <c r="L499" s="56">
        <v>-61.91</v>
      </c>
      <c r="M499" s="20">
        <v>3878483</v>
      </c>
      <c r="N499" s="56">
        <v>5.48</v>
      </c>
      <c r="O499" s="56">
        <v>9.41</v>
      </c>
      <c r="P499" s="58">
        <v>52.58</v>
      </c>
      <c r="Q499" s="59">
        <v>89.387566173626197</v>
      </c>
      <c r="R499" s="59">
        <v>6.0143916880428296</v>
      </c>
      <c r="S499" s="59">
        <v>4.4371366137277102</v>
      </c>
      <c r="X499" s="2">
        <f t="shared" si="21"/>
        <v>0.10612433826373803</v>
      </c>
      <c r="Y499" s="2">
        <f>SUMIF(收盤價!A:A,A499,收盤價!C:C)</f>
        <v>117</v>
      </c>
      <c r="Z499" s="2">
        <f t="shared" si="22"/>
        <v>20393063.614</v>
      </c>
      <c r="AA499" s="2">
        <f t="shared" si="23"/>
        <v>45378251.100000001</v>
      </c>
    </row>
    <row r="500" spans="1:27" ht="14.5" customHeight="1">
      <c r="A500" s="19" t="s">
        <v>5642</v>
      </c>
      <c r="B500" s="3" t="s">
        <v>1225</v>
      </c>
      <c r="C500" s="20">
        <v>1124798</v>
      </c>
      <c r="D500" s="20">
        <v>1131495</v>
      </c>
      <c r="E500" s="56">
        <v>-0.59</v>
      </c>
      <c r="F500" s="57">
        <v>-233593</v>
      </c>
      <c r="G500" s="57">
        <v>-57903</v>
      </c>
      <c r="H500" s="57">
        <v>-161909</v>
      </c>
      <c r="I500" s="57">
        <v>-5891</v>
      </c>
      <c r="J500" s="57">
        <v>-354206</v>
      </c>
      <c r="K500" s="57">
        <v>-65685</v>
      </c>
      <c r="L500" s="56"/>
      <c r="M500" s="20">
        <v>1068000</v>
      </c>
      <c r="N500" s="56">
        <v>-3.32</v>
      </c>
      <c r="O500" s="56">
        <v>-0.62</v>
      </c>
      <c r="P500" s="58">
        <v>2.44</v>
      </c>
      <c r="Q500" s="59">
        <v>18.086330336907299</v>
      </c>
      <c r="R500" s="59">
        <v>1.1791639789778701</v>
      </c>
      <c r="S500" s="59">
        <v>0.82593082153393904</v>
      </c>
      <c r="X500" s="2">
        <f t="shared" si="21"/>
        <v>0.81913669663092703</v>
      </c>
      <c r="Y500" s="2">
        <f>SUMIF(收盤價!A:A,A500,收盤價!C:C)</f>
        <v>3.85</v>
      </c>
      <c r="Z500" s="2">
        <f t="shared" si="22"/>
        <v>260592</v>
      </c>
      <c r="AA500" s="2">
        <f t="shared" si="23"/>
        <v>411180</v>
      </c>
    </row>
    <row r="501" spans="1:27" ht="14.5" customHeight="1">
      <c r="A501" s="19" t="s">
        <v>5188</v>
      </c>
      <c r="B501" s="3" t="s">
        <v>1227</v>
      </c>
      <c r="C501" s="20">
        <v>9160261</v>
      </c>
      <c r="D501" s="20">
        <v>9919368</v>
      </c>
      <c r="E501" s="56">
        <v>-7.65</v>
      </c>
      <c r="F501" s="57">
        <v>-340656</v>
      </c>
      <c r="G501" s="57">
        <v>-675056</v>
      </c>
      <c r="H501" s="57">
        <v>160295</v>
      </c>
      <c r="I501" s="57">
        <v>-1828593</v>
      </c>
      <c r="J501" s="57">
        <v>-175249</v>
      </c>
      <c r="K501" s="57">
        <v>-2451642</v>
      </c>
      <c r="L501" s="56"/>
      <c r="M501" s="20">
        <v>2996759</v>
      </c>
      <c r="N501" s="56">
        <v>-0.63</v>
      </c>
      <c r="O501" s="56">
        <v>-8.66</v>
      </c>
      <c r="P501" s="58">
        <v>26.66</v>
      </c>
      <c r="Q501" s="59">
        <v>66.3405892060903</v>
      </c>
      <c r="R501" s="59">
        <v>2.5001016872463699</v>
      </c>
      <c r="S501" s="59">
        <v>1.43064343704065</v>
      </c>
      <c r="X501" s="2">
        <f t="shared" si="21"/>
        <v>0.336594107939097</v>
      </c>
      <c r="Y501" s="2">
        <f>SUMIF(收盤價!A:A,A501,收盤價!C:C)</f>
        <v>23.8</v>
      </c>
      <c r="Z501" s="2">
        <f t="shared" si="22"/>
        <v>7989359.4939999999</v>
      </c>
      <c r="AA501" s="2">
        <f t="shared" si="23"/>
        <v>7132286.4199999999</v>
      </c>
    </row>
    <row r="502" spans="1:27" ht="14.5" customHeight="1">
      <c r="A502" s="19" t="s">
        <v>5189</v>
      </c>
      <c r="B502" s="3" t="s">
        <v>1237</v>
      </c>
      <c r="C502" s="20">
        <v>3949351</v>
      </c>
      <c r="D502" s="20">
        <v>3988033</v>
      </c>
      <c r="E502" s="56">
        <v>-0.97</v>
      </c>
      <c r="F502" s="57">
        <v>387557</v>
      </c>
      <c r="G502" s="57">
        <v>513615</v>
      </c>
      <c r="H502" s="57">
        <v>15897</v>
      </c>
      <c r="I502" s="57">
        <v>26250</v>
      </c>
      <c r="J502" s="57">
        <v>322699</v>
      </c>
      <c r="K502" s="57">
        <v>417770</v>
      </c>
      <c r="L502" s="56">
        <v>-22.76</v>
      </c>
      <c r="M502" s="20">
        <v>811390</v>
      </c>
      <c r="N502" s="56">
        <v>4.0199999999999996</v>
      </c>
      <c r="O502" s="56">
        <v>5.16</v>
      </c>
      <c r="P502" s="58">
        <v>32.61</v>
      </c>
      <c r="Q502" s="59">
        <v>72.190795540926899</v>
      </c>
      <c r="R502" s="59">
        <v>2.4312331319441598</v>
      </c>
      <c r="S502" s="59">
        <v>1.46323620073158</v>
      </c>
      <c r="X502" s="2">
        <f t="shared" si="21"/>
        <v>0.278092044590731</v>
      </c>
      <c r="Y502" s="2">
        <f>SUMIF(收盤價!A:A,A502,收盤價!C:C)</f>
        <v>65.2</v>
      </c>
      <c r="Z502" s="2">
        <f t="shared" si="22"/>
        <v>2645942.79</v>
      </c>
      <c r="AA502" s="2">
        <f t="shared" si="23"/>
        <v>5290262.8</v>
      </c>
    </row>
    <row r="503" spans="1:27" ht="14.5" customHeight="1">
      <c r="A503" s="19" t="s">
        <v>5190</v>
      </c>
      <c r="B503" s="3" t="s">
        <v>1239</v>
      </c>
      <c r="C503" s="20">
        <v>1048390</v>
      </c>
      <c r="D503" s="20">
        <v>1080437</v>
      </c>
      <c r="E503" s="56">
        <v>-2.97</v>
      </c>
      <c r="F503" s="57">
        <v>28352</v>
      </c>
      <c r="G503" s="57">
        <v>21874</v>
      </c>
      <c r="H503" s="57">
        <v>5826</v>
      </c>
      <c r="I503" s="57">
        <v>16849</v>
      </c>
      <c r="J503" s="57">
        <v>23377</v>
      </c>
      <c r="K503" s="57">
        <v>37015</v>
      </c>
      <c r="L503" s="56">
        <v>-36.840000000000003</v>
      </c>
      <c r="M503" s="20">
        <v>468822</v>
      </c>
      <c r="N503" s="56">
        <v>0.5</v>
      </c>
      <c r="O503" s="56">
        <v>0.8</v>
      </c>
      <c r="P503" s="58">
        <v>27.89</v>
      </c>
      <c r="Q503" s="59">
        <v>85.180424879370406</v>
      </c>
      <c r="R503" s="59">
        <v>5.2569013643852003</v>
      </c>
      <c r="S503" s="59">
        <v>3.8749761684778599</v>
      </c>
      <c r="X503" s="2">
        <f t="shared" si="21"/>
        <v>0.14819575120629594</v>
      </c>
      <c r="Y503" s="2">
        <f>SUMIF(收盤價!A:A,A503,收盤價!C:C)</f>
        <v>29.85</v>
      </c>
      <c r="Z503" s="2">
        <f t="shared" si="22"/>
        <v>1307544.558</v>
      </c>
      <c r="AA503" s="2">
        <f t="shared" si="23"/>
        <v>1399433.6700000002</v>
      </c>
    </row>
    <row r="504" spans="1:27" ht="14.5" customHeight="1">
      <c r="A504" s="19" t="s">
        <v>5191</v>
      </c>
      <c r="B504" s="3" t="s">
        <v>1259</v>
      </c>
      <c r="C504" s="20">
        <v>4331956</v>
      </c>
      <c r="D504" s="20">
        <v>3450678</v>
      </c>
      <c r="E504" s="56">
        <v>25.54</v>
      </c>
      <c r="F504" s="57">
        <v>432878</v>
      </c>
      <c r="G504" s="57">
        <v>321925</v>
      </c>
      <c r="H504" s="57">
        <v>92405</v>
      </c>
      <c r="I504" s="57">
        <v>12880</v>
      </c>
      <c r="J504" s="57">
        <v>433512</v>
      </c>
      <c r="K504" s="57">
        <v>257357</v>
      </c>
      <c r="L504" s="56">
        <v>68.45</v>
      </c>
      <c r="M504" s="20">
        <v>606129</v>
      </c>
      <c r="N504" s="56">
        <v>7.2</v>
      </c>
      <c r="O504" s="56">
        <v>4.22</v>
      </c>
      <c r="P504" s="58">
        <v>54.47</v>
      </c>
      <c r="Q504" s="59">
        <v>63.190493670319199</v>
      </c>
      <c r="R504" s="59">
        <v>2.2626667019154398</v>
      </c>
      <c r="S504" s="59">
        <v>1.8161903125354599</v>
      </c>
      <c r="X504" s="2">
        <f t="shared" si="21"/>
        <v>0.36809506329680802</v>
      </c>
      <c r="Y504" s="2">
        <f>SUMIF(收盤價!A:A,A504,收盤價!C:C)</f>
        <v>234.5</v>
      </c>
      <c r="Z504" s="2">
        <f t="shared" si="22"/>
        <v>3301584.6629999997</v>
      </c>
      <c r="AA504" s="2">
        <f t="shared" si="23"/>
        <v>14213725.050000001</v>
      </c>
    </row>
    <row r="505" spans="1:27" ht="14.5" customHeight="1">
      <c r="A505" s="19" t="s">
        <v>5645</v>
      </c>
      <c r="B505" s="3" t="s">
        <v>1270</v>
      </c>
      <c r="C505" s="20">
        <v>125500</v>
      </c>
      <c r="D505" s="20">
        <v>257468</v>
      </c>
      <c r="E505" s="56">
        <v>-51.26</v>
      </c>
      <c r="F505" s="57">
        <v>-151120</v>
      </c>
      <c r="G505" s="57">
        <v>-253440</v>
      </c>
      <c r="H505" s="57">
        <v>24161</v>
      </c>
      <c r="I505" s="57">
        <v>-986315</v>
      </c>
      <c r="J505" s="57">
        <v>-198689</v>
      </c>
      <c r="K505" s="57">
        <v>-1846800</v>
      </c>
      <c r="L505" s="56"/>
      <c r="M505" s="20">
        <v>1135136</v>
      </c>
      <c r="N505" s="56">
        <v>-1.75</v>
      </c>
      <c r="O505" s="56">
        <v>-5.28</v>
      </c>
      <c r="P505" s="58">
        <v>8.25</v>
      </c>
      <c r="Q505" s="59">
        <v>73.926680160792699</v>
      </c>
      <c r="R505" s="59">
        <v>9.6560503637958597</v>
      </c>
      <c r="S505" s="59">
        <v>2.68124258217658</v>
      </c>
      <c r="X505" s="2">
        <f t="shared" si="21"/>
        <v>0.26073319839207298</v>
      </c>
      <c r="Y505" s="2">
        <f>SUMIF(收盤價!A:A,A505,收盤價!C:C)</f>
        <v>4.16</v>
      </c>
      <c r="Z505" s="2">
        <f t="shared" si="22"/>
        <v>936487.2</v>
      </c>
      <c r="AA505" s="2">
        <f t="shared" si="23"/>
        <v>472216.576</v>
      </c>
    </row>
    <row r="506" spans="1:27" ht="14.5" customHeight="1">
      <c r="A506" s="19" t="s">
        <v>5192</v>
      </c>
      <c r="B506" s="3" t="s">
        <v>1289</v>
      </c>
      <c r="C506" s="20">
        <v>413182184</v>
      </c>
      <c r="D506" s="20">
        <v>371092421</v>
      </c>
      <c r="E506" s="56">
        <v>11.34</v>
      </c>
      <c r="F506" s="57">
        <v>23526404</v>
      </c>
      <c r="G506" s="57">
        <v>26647749</v>
      </c>
      <c r="H506" s="57">
        <v>-164354</v>
      </c>
      <c r="I506" s="57">
        <v>5399689</v>
      </c>
      <c r="J506" s="57">
        <v>16849809</v>
      </c>
      <c r="K506" s="57">
        <v>25262356</v>
      </c>
      <c r="L506" s="56">
        <v>-33.299999999999997</v>
      </c>
      <c r="M506" s="20">
        <v>43305287</v>
      </c>
      <c r="N506" s="56">
        <v>3.96</v>
      </c>
      <c r="O506" s="56">
        <v>5.95</v>
      </c>
      <c r="P506" s="58">
        <v>47.2</v>
      </c>
      <c r="Q506" s="59">
        <v>36.102968958921998</v>
      </c>
      <c r="R506" s="59">
        <v>1.3266449998278</v>
      </c>
      <c r="S506" s="59">
        <v>0.98774116532219602</v>
      </c>
      <c r="X506" s="2">
        <f t="shared" si="21"/>
        <v>0.63897031041078001</v>
      </c>
      <c r="Y506" s="2">
        <f>SUMIF(收盤價!A:A,A506,收盤價!C:C)</f>
        <v>83.2</v>
      </c>
      <c r="Z506" s="2">
        <f t="shared" si="22"/>
        <v>204400954.64000002</v>
      </c>
      <c r="AA506" s="2">
        <f t="shared" si="23"/>
        <v>360299987.84000003</v>
      </c>
    </row>
    <row r="507" spans="1:27" ht="14.5" customHeight="1">
      <c r="A507" s="19" t="s">
        <v>5193</v>
      </c>
      <c r="B507" s="3" t="s">
        <v>1395</v>
      </c>
      <c r="C507" s="20">
        <v>10367269</v>
      </c>
      <c r="D507" s="20">
        <v>10040221</v>
      </c>
      <c r="E507" s="56">
        <v>3.26</v>
      </c>
      <c r="F507" s="57">
        <v>584321</v>
      </c>
      <c r="G507" s="57">
        <v>754659</v>
      </c>
      <c r="H507" s="57">
        <v>83248</v>
      </c>
      <c r="I507" s="57">
        <v>84261</v>
      </c>
      <c r="J507" s="57">
        <v>558459</v>
      </c>
      <c r="K507" s="57">
        <v>710633</v>
      </c>
      <c r="L507" s="56">
        <v>-21.41</v>
      </c>
      <c r="M507" s="20">
        <v>2875544</v>
      </c>
      <c r="N507" s="56">
        <v>2.5299999999999998</v>
      </c>
      <c r="O507" s="56">
        <v>3.42</v>
      </c>
      <c r="P507" s="58">
        <v>25.71</v>
      </c>
      <c r="Q507" s="59">
        <v>66.259226123809398</v>
      </c>
      <c r="R507" s="59">
        <v>3.4960557397377499</v>
      </c>
      <c r="S507" s="59">
        <v>2.7500324525040498</v>
      </c>
      <c r="X507" s="2">
        <f t="shared" si="21"/>
        <v>0.337407738761906</v>
      </c>
      <c r="Y507" s="2">
        <f>SUMIF(收盤價!A:A,A507,收盤價!C:C)</f>
        <v>46.75</v>
      </c>
      <c r="Z507" s="2">
        <f t="shared" si="22"/>
        <v>7393023.6240000008</v>
      </c>
      <c r="AA507" s="2">
        <f t="shared" si="23"/>
        <v>13443168.199999999</v>
      </c>
    </row>
    <row r="508" spans="1:27" ht="14.5" customHeight="1">
      <c r="A508" s="19" t="s">
        <v>5194</v>
      </c>
      <c r="B508" s="3" t="s">
        <v>1410</v>
      </c>
      <c r="C508" s="20">
        <v>2634421</v>
      </c>
      <c r="D508" s="20">
        <v>2844744</v>
      </c>
      <c r="E508" s="56">
        <v>-7.39</v>
      </c>
      <c r="F508" s="57">
        <v>222975</v>
      </c>
      <c r="G508" s="57">
        <v>300534</v>
      </c>
      <c r="H508" s="57">
        <v>23177</v>
      </c>
      <c r="I508" s="57">
        <v>23182</v>
      </c>
      <c r="J508" s="57">
        <v>223584</v>
      </c>
      <c r="K508" s="57">
        <v>284345</v>
      </c>
      <c r="L508" s="56">
        <v>-21.37</v>
      </c>
      <c r="M508" s="20">
        <v>1088158</v>
      </c>
      <c r="N508" s="56">
        <v>2.0499999999999998</v>
      </c>
      <c r="O508" s="56">
        <v>2.61</v>
      </c>
      <c r="P508" s="58">
        <v>18.54</v>
      </c>
      <c r="Q508" s="59">
        <v>74.357300514719896</v>
      </c>
      <c r="R508" s="59">
        <v>3.5893872988367499</v>
      </c>
      <c r="S508" s="59">
        <v>2.8868999922220802</v>
      </c>
      <c r="X508" s="2">
        <f t="shared" si="21"/>
        <v>0.25642699485280107</v>
      </c>
      <c r="Y508" s="2">
        <f>SUMIF(收盤價!A:A,A508,收盤價!C:C)</f>
        <v>33.65</v>
      </c>
      <c r="Z508" s="2">
        <f t="shared" si="22"/>
        <v>2017444.932</v>
      </c>
      <c r="AA508" s="2">
        <f t="shared" si="23"/>
        <v>3661651.6699999995</v>
      </c>
    </row>
    <row r="509" spans="1:27" ht="14.5" customHeight="1">
      <c r="A509" s="19" t="s">
        <v>5195</v>
      </c>
      <c r="B509" s="3" t="s">
        <v>1418</v>
      </c>
      <c r="C509" s="20">
        <v>9166293</v>
      </c>
      <c r="D509" s="20">
        <v>8852376</v>
      </c>
      <c r="E509" s="56">
        <v>3.55</v>
      </c>
      <c r="F509" s="57">
        <v>353341</v>
      </c>
      <c r="G509" s="57">
        <v>444054</v>
      </c>
      <c r="H509" s="57">
        <v>8832</v>
      </c>
      <c r="I509" s="57">
        <v>-14888</v>
      </c>
      <c r="J509" s="57">
        <v>308456</v>
      </c>
      <c r="K509" s="57">
        <v>346074</v>
      </c>
      <c r="L509" s="56">
        <v>-10.87</v>
      </c>
      <c r="M509" s="20">
        <v>1656875</v>
      </c>
      <c r="N509" s="56">
        <v>1.92</v>
      </c>
      <c r="O509" s="56">
        <v>2.4300000000000002</v>
      </c>
      <c r="P509" s="58">
        <v>23.32</v>
      </c>
      <c r="Q509" s="59">
        <v>65.247108759873697</v>
      </c>
      <c r="R509" s="59">
        <v>2.7327610563709901</v>
      </c>
      <c r="S509" s="59">
        <v>1.8442743385886999</v>
      </c>
      <c r="X509" s="2">
        <f t="shared" si="21"/>
        <v>0.34752891240126305</v>
      </c>
      <c r="Y509" s="2">
        <f>SUMIF(收盤價!A:A,A509,收盤價!C:C)</f>
        <v>37.6</v>
      </c>
      <c r="Z509" s="2">
        <f t="shared" si="22"/>
        <v>3863832.5</v>
      </c>
      <c r="AA509" s="2">
        <f t="shared" si="23"/>
        <v>6229850</v>
      </c>
    </row>
    <row r="510" spans="1:27" ht="14.5" customHeight="1">
      <c r="A510" s="19" t="s">
        <v>5196</v>
      </c>
      <c r="B510" s="3" t="s">
        <v>1420</v>
      </c>
      <c r="C510" s="20">
        <v>6905321</v>
      </c>
      <c r="D510" s="20">
        <v>7199517</v>
      </c>
      <c r="E510" s="56">
        <v>-4.09</v>
      </c>
      <c r="F510" s="57">
        <v>22333</v>
      </c>
      <c r="G510" s="57">
        <v>193936</v>
      </c>
      <c r="H510" s="57">
        <v>-4791</v>
      </c>
      <c r="I510" s="57">
        <v>29792</v>
      </c>
      <c r="J510" s="57">
        <v>7732</v>
      </c>
      <c r="K510" s="57">
        <v>173761</v>
      </c>
      <c r="L510" s="56">
        <v>-95.55</v>
      </c>
      <c r="M510" s="20">
        <v>682575</v>
      </c>
      <c r="N510" s="56">
        <v>0.11</v>
      </c>
      <c r="O510" s="56">
        <v>3.04</v>
      </c>
      <c r="P510" s="58">
        <v>16.059999999999999</v>
      </c>
      <c r="Q510" s="59">
        <v>42.821420265854201</v>
      </c>
      <c r="R510" s="59">
        <v>1.63084350348964</v>
      </c>
      <c r="S510" s="59">
        <v>0.617612034555168</v>
      </c>
      <c r="X510" s="2">
        <f t="shared" si="21"/>
        <v>0.57178579734145796</v>
      </c>
      <c r="Y510" s="2">
        <f>SUMIF(收盤價!A:A,A510,收盤價!C:C)</f>
        <v>30.25</v>
      </c>
      <c r="Z510" s="2">
        <f t="shared" si="22"/>
        <v>1096215.45</v>
      </c>
      <c r="AA510" s="2">
        <f t="shared" si="23"/>
        <v>2064789.375</v>
      </c>
    </row>
    <row r="511" spans="1:27" ht="14.5" customHeight="1">
      <c r="A511" s="19" t="s">
        <v>5197</v>
      </c>
      <c r="B511" s="3" t="s">
        <v>1422</v>
      </c>
      <c r="C511" s="20">
        <v>2749555</v>
      </c>
      <c r="D511" s="20">
        <v>2650169</v>
      </c>
      <c r="E511" s="56">
        <v>3.75</v>
      </c>
      <c r="F511" s="57">
        <v>243234</v>
      </c>
      <c r="G511" s="57">
        <v>201169</v>
      </c>
      <c r="H511" s="57">
        <v>511</v>
      </c>
      <c r="I511" s="57">
        <v>12934</v>
      </c>
      <c r="J511" s="57">
        <v>190737</v>
      </c>
      <c r="K511" s="57">
        <v>177185</v>
      </c>
      <c r="L511" s="56">
        <v>7.65</v>
      </c>
      <c r="M511" s="20">
        <v>619511</v>
      </c>
      <c r="N511" s="56">
        <v>3.13</v>
      </c>
      <c r="O511" s="56">
        <v>2.93</v>
      </c>
      <c r="P511" s="58">
        <v>22.09</v>
      </c>
      <c r="Q511" s="59">
        <v>57.424789985956401</v>
      </c>
      <c r="R511" s="59">
        <v>2.1767517698168799</v>
      </c>
      <c r="S511" s="59">
        <v>1.5657189156301099</v>
      </c>
      <c r="X511" s="2">
        <f t="shared" si="21"/>
        <v>0.42575210014043596</v>
      </c>
      <c r="Y511" s="2">
        <f>SUMIF(收盤價!A:A,A511,收盤價!C:C)</f>
        <v>170</v>
      </c>
      <c r="Z511" s="2">
        <f t="shared" si="22"/>
        <v>1368499.7990000001</v>
      </c>
      <c r="AA511" s="2">
        <f t="shared" si="23"/>
        <v>10531687</v>
      </c>
    </row>
    <row r="512" spans="1:27" ht="14.5" customHeight="1">
      <c r="A512" s="19" t="s">
        <v>5198</v>
      </c>
      <c r="B512" s="3" t="s">
        <v>1450</v>
      </c>
      <c r="C512" s="20">
        <v>3746124</v>
      </c>
      <c r="D512" s="20">
        <v>3722351</v>
      </c>
      <c r="E512" s="56">
        <v>0.64</v>
      </c>
      <c r="F512" s="57">
        <v>1169191</v>
      </c>
      <c r="G512" s="57">
        <v>1100294</v>
      </c>
      <c r="H512" s="57">
        <v>-7556</v>
      </c>
      <c r="I512" s="57">
        <v>44138</v>
      </c>
      <c r="J512" s="57">
        <v>965207</v>
      </c>
      <c r="K512" s="57">
        <v>955847</v>
      </c>
      <c r="L512" s="56">
        <v>0.98</v>
      </c>
      <c r="M512" s="20">
        <v>600379</v>
      </c>
      <c r="N512" s="56">
        <v>16.079999999999998</v>
      </c>
      <c r="O512" s="56">
        <v>15.93</v>
      </c>
      <c r="P512" s="58">
        <v>43</v>
      </c>
      <c r="Q512" s="59">
        <v>74.802127676220493</v>
      </c>
      <c r="R512" s="59">
        <v>3.3404748481604001</v>
      </c>
      <c r="S512" s="59">
        <v>2.9818029354077602</v>
      </c>
      <c r="X512" s="2">
        <f t="shared" si="21"/>
        <v>0.25197872323779508</v>
      </c>
      <c r="Y512" s="2">
        <f>SUMIF(收盤價!A:A,A512,收盤價!C:C)</f>
        <v>657</v>
      </c>
      <c r="Z512" s="2">
        <f t="shared" si="22"/>
        <v>2581629.7000000002</v>
      </c>
      <c r="AA512" s="2">
        <f t="shared" si="23"/>
        <v>39444900.299999997</v>
      </c>
    </row>
    <row r="513" spans="1:27" ht="14.5" customHeight="1">
      <c r="A513" s="19" t="s">
        <v>5199</v>
      </c>
      <c r="B513" s="3" t="s">
        <v>1456</v>
      </c>
      <c r="C513" s="20">
        <v>4458146</v>
      </c>
      <c r="D513" s="20">
        <v>5009229</v>
      </c>
      <c r="E513" s="56">
        <v>-11</v>
      </c>
      <c r="F513" s="57">
        <v>264830</v>
      </c>
      <c r="G513" s="57">
        <v>459362</v>
      </c>
      <c r="H513" s="57">
        <v>-24070</v>
      </c>
      <c r="I513" s="57">
        <v>552</v>
      </c>
      <c r="J513" s="57">
        <v>218215</v>
      </c>
      <c r="K513" s="57">
        <v>380818</v>
      </c>
      <c r="L513" s="56">
        <v>-42.7</v>
      </c>
      <c r="M513" s="20">
        <v>940893</v>
      </c>
      <c r="N513" s="56">
        <v>2.46</v>
      </c>
      <c r="O513" s="56">
        <v>4.54</v>
      </c>
      <c r="P513" s="58">
        <v>25.94</v>
      </c>
      <c r="Q513" s="59">
        <v>48.272205946642003</v>
      </c>
      <c r="R513" s="59">
        <v>2.6394094239542798</v>
      </c>
      <c r="S513" s="59">
        <v>1.6048669967273601</v>
      </c>
      <c r="X513" s="2">
        <f t="shared" si="21"/>
        <v>0.51727794053358001</v>
      </c>
      <c r="Y513" s="2">
        <f>SUMIF(收盤價!A:A,A513,收盤價!C:C)</f>
        <v>64.900000000000006</v>
      </c>
      <c r="Z513" s="2">
        <f t="shared" si="22"/>
        <v>2440676.4420000003</v>
      </c>
      <c r="AA513" s="2">
        <f t="shared" si="23"/>
        <v>6106395.5700000003</v>
      </c>
    </row>
    <row r="514" spans="1:27" ht="14.5" customHeight="1">
      <c r="A514" s="19" t="s">
        <v>5200</v>
      </c>
      <c r="B514" s="3" t="s">
        <v>1460</v>
      </c>
      <c r="C514" s="20">
        <v>11107856</v>
      </c>
      <c r="D514" s="20">
        <v>12104775</v>
      </c>
      <c r="E514" s="56">
        <v>-8.24</v>
      </c>
      <c r="F514" s="57">
        <v>341553</v>
      </c>
      <c r="G514" s="57">
        <v>1168845</v>
      </c>
      <c r="H514" s="57">
        <v>816645</v>
      </c>
      <c r="I514" s="57">
        <v>691822</v>
      </c>
      <c r="J514" s="57">
        <v>495695</v>
      </c>
      <c r="K514" s="57">
        <v>871904</v>
      </c>
      <c r="L514" s="56">
        <v>-43.15</v>
      </c>
      <c r="M514" s="20">
        <v>3124567</v>
      </c>
      <c r="N514" s="56">
        <v>1.59</v>
      </c>
      <c r="O514" s="56">
        <v>2.8</v>
      </c>
      <c r="P514" s="58">
        <v>23.92</v>
      </c>
      <c r="Q514" s="59">
        <v>34.784682073256697</v>
      </c>
      <c r="R514" s="59">
        <v>1.4874015221969199</v>
      </c>
      <c r="S514" s="59">
        <v>0.91540796801676105</v>
      </c>
      <c r="X514" s="2">
        <f t="shared" si="21"/>
        <v>0.65215317926743299</v>
      </c>
      <c r="Y514" s="2">
        <f>SUMIF(收盤價!A:A,A514,收盤價!C:C)</f>
        <v>39.549999999999997</v>
      </c>
      <c r="Z514" s="2">
        <f t="shared" si="22"/>
        <v>7473964.2640000004</v>
      </c>
      <c r="AA514" s="2">
        <f t="shared" si="23"/>
        <v>12357662.484999999</v>
      </c>
    </row>
    <row r="515" spans="1:27" ht="14.5" customHeight="1">
      <c r="A515" s="19" t="s">
        <v>5201</v>
      </c>
      <c r="B515" s="3" t="s">
        <v>1468</v>
      </c>
      <c r="C515" s="20">
        <v>3234503</v>
      </c>
      <c r="D515" s="20">
        <v>3157555</v>
      </c>
      <c r="E515" s="56">
        <v>2.44</v>
      </c>
      <c r="F515" s="57">
        <v>362207</v>
      </c>
      <c r="G515" s="57">
        <v>282753</v>
      </c>
      <c r="H515" s="57">
        <v>33029</v>
      </c>
      <c r="I515" s="57">
        <v>119461</v>
      </c>
      <c r="J515" s="57">
        <v>341522</v>
      </c>
      <c r="K515" s="57">
        <v>338672</v>
      </c>
      <c r="L515" s="56">
        <v>0.84</v>
      </c>
      <c r="M515" s="20">
        <v>1678770</v>
      </c>
      <c r="N515" s="56">
        <v>2.0299999999999998</v>
      </c>
      <c r="O515" s="56">
        <v>2.02</v>
      </c>
      <c r="P515" s="58">
        <v>17.93</v>
      </c>
      <c r="Q515" s="59">
        <v>82.770085783592606</v>
      </c>
      <c r="R515" s="59">
        <v>4.3908794913710603</v>
      </c>
      <c r="S515" s="59">
        <v>2.4238337020585101</v>
      </c>
      <c r="X515" s="2">
        <f t="shared" si="21"/>
        <v>0.17229914216407394</v>
      </c>
      <c r="Y515" s="2">
        <f>SUMIF(收盤價!A:A,A515,收盤價!C:C)</f>
        <v>32.75</v>
      </c>
      <c r="Z515" s="2">
        <f t="shared" si="22"/>
        <v>3010034.61</v>
      </c>
      <c r="AA515" s="2">
        <f t="shared" si="23"/>
        <v>5497971.75</v>
      </c>
    </row>
    <row r="516" spans="1:27" ht="14.5" customHeight="1">
      <c r="A516" s="19" t="s">
        <v>5202</v>
      </c>
      <c r="B516" s="3" t="s">
        <v>1572</v>
      </c>
      <c r="C516" s="20">
        <v>4584105</v>
      </c>
      <c r="D516" s="20">
        <v>4862807</v>
      </c>
      <c r="E516" s="56">
        <v>-5.73</v>
      </c>
      <c r="F516" s="57">
        <v>986738</v>
      </c>
      <c r="G516" s="57">
        <v>1110730</v>
      </c>
      <c r="H516" s="57">
        <v>81078</v>
      </c>
      <c r="I516" s="57">
        <v>134859</v>
      </c>
      <c r="J516" s="57">
        <v>914902</v>
      </c>
      <c r="K516" s="57">
        <v>1063990</v>
      </c>
      <c r="L516" s="56">
        <v>-14.01</v>
      </c>
      <c r="M516" s="20">
        <v>2261682</v>
      </c>
      <c r="N516" s="56">
        <v>4.05</v>
      </c>
      <c r="O516" s="56">
        <v>4.7</v>
      </c>
      <c r="P516" s="58">
        <v>17.920000000000002</v>
      </c>
      <c r="Q516" s="59">
        <v>75.417108016349303</v>
      </c>
      <c r="R516" s="59">
        <v>4.2723854989663002</v>
      </c>
      <c r="S516" s="59">
        <v>2.4526468847311902</v>
      </c>
      <c r="X516" s="2">
        <f t="shared" si="21"/>
        <v>0.24582891983650698</v>
      </c>
      <c r="Y516" s="2">
        <f>SUMIF(收盤價!A:A,A516,收盤價!C:C)</f>
        <v>68.7</v>
      </c>
      <c r="Z516" s="2">
        <f t="shared" si="22"/>
        <v>4052934.1440000003</v>
      </c>
      <c r="AA516" s="2">
        <f t="shared" si="23"/>
        <v>15537755.34</v>
      </c>
    </row>
    <row r="517" spans="1:27" ht="14.5" customHeight="1">
      <c r="A517" s="19" t="s">
        <v>5203</v>
      </c>
      <c r="B517" s="3" t="s">
        <v>1598</v>
      </c>
      <c r="C517" s="20">
        <v>66525144</v>
      </c>
      <c r="D517" s="20">
        <v>68039379</v>
      </c>
      <c r="E517" s="56">
        <v>-2.23</v>
      </c>
      <c r="F517" s="57">
        <v>8712240</v>
      </c>
      <c r="G517" s="57">
        <v>9783654</v>
      </c>
      <c r="H517" s="57">
        <v>-204722</v>
      </c>
      <c r="I517" s="57">
        <v>-348317</v>
      </c>
      <c r="J517" s="57">
        <v>5838650</v>
      </c>
      <c r="K517" s="57">
        <v>6234276</v>
      </c>
      <c r="L517" s="56">
        <v>-6.35</v>
      </c>
      <c r="M517" s="20">
        <v>7791466</v>
      </c>
      <c r="N517" s="56">
        <v>7.52</v>
      </c>
      <c r="O517" s="56">
        <v>8.02</v>
      </c>
      <c r="P517" s="58">
        <v>55.41</v>
      </c>
      <c r="Q517" s="59">
        <v>40.158041952128798</v>
      </c>
      <c r="R517" s="59">
        <v>2.1241904136269398</v>
      </c>
      <c r="S517" s="59">
        <v>1.8688225152995199</v>
      </c>
      <c r="X517" s="2">
        <f t="shared" ref="X517:X580" si="24">IF(W517&lt;&gt;"",ROUND(W517/U517,2),(100-Q517)/100)</f>
        <v>0.59841958047871202</v>
      </c>
      <c r="Y517" s="2">
        <f>SUMIF(收盤價!A:A,A517,收盤價!C:C)</f>
        <v>99.8</v>
      </c>
      <c r="Z517" s="2">
        <f t="shared" ref="Z517:Z580" si="25">IF(W517&lt;&gt;"",U517-W517,M517*P517/10)</f>
        <v>43172513.105999999</v>
      </c>
      <c r="AA517" s="2">
        <f t="shared" ref="AA517:AA580" si="26">Y517*M517/10</f>
        <v>77758830.679999992</v>
      </c>
    </row>
    <row r="518" spans="1:27" ht="14.5" customHeight="1">
      <c r="A518" s="21" t="s">
        <v>5204</v>
      </c>
      <c r="B518" s="22" t="s">
        <v>1600</v>
      </c>
      <c r="C518" s="23">
        <v>559933</v>
      </c>
      <c r="D518" s="23">
        <v>516391</v>
      </c>
      <c r="E518" s="60">
        <v>8.43</v>
      </c>
      <c r="F518" s="61">
        <v>-61635</v>
      </c>
      <c r="G518" s="61">
        <v>-82666</v>
      </c>
      <c r="H518" s="61">
        <v>-3618</v>
      </c>
      <c r="I518" s="61">
        <v>22528</v>
      </c>
      <c r="J518" s="61">
        <v>-65253</v>
      </c>
      <c r="K518" s="61">
        <v>-60138</v>
      </c>
      <c r="L518" s="60"/>
      <c r="M518" s="23">
        <v>749767</v>
      </c>
      <c r="N518" s="60">
        <v>-0.87</v>
      </c>
      <c r="O518" s="60">
        <v>-0.8</v>
      </c>
      <c r="P518" s="62">
        <v>6.69</v>
      </c>
      <c r="Q518" s="63">
        <v>57.873009133410598</v>
      </c>
      <c r="R518" s="63">
        <v>2.3152849212518101</v>
      </c>
      <c r="S518" s="63">
        <v>0.76756743347611101</v>
      </c>
      <c r="X518" s="2">
        <f t="shared" si="24"/>
        <v>0.42126990866589403</v>
      </c>
      <c r="Y518" s="2">
        <f>SUMIF(收盤價!A:A,A518,收盤價!C:C)</f>
        <v>11</v>
      </c>
      <c r="Z518" s="2">
        <f t="shared" si="25"/>
        <v>501594.12300000002</v>
      </c>
      <c r="AA518" s="2">
        <f t="shared" si="26"/>
        <v>824743.7</v>
      </c>
    </row>
    <row r="519" spans="1:27" ht="14.5" customHeight="1">
      <c r="A519" s="24" t="s">
        <v>5205</v>
      </c>
      <c r="B519" s="25" t="s">
        <v>1604</v>
      </c>
      <c r="C519" s="26">
        <v>10046619</v>
      </c>
      <c r="D519" s="26">
        <v>9541489</v>
      </c>
      <c r="E519" s="64">
        <v>5.29</v>
      </c>
      <c r="F519" s="65">
        <v>2072004</v>
      </c>
      <c r="G519" s="65">
        <v>1725198</v>
      </c>
      <c r="H519" s="65">
        <v>-1000</v>
      </c>
      <c r="I519" s="65">
        <v>66537</v>
      </c>
      <c r="J519" s="65">
        <v>1294520</v>
      </c>
      <c r="K519" s="65">
        <v>1155307</v>
      </c>
      <c r="L519" s="64">
        <v>12.05</v>
      </c>
      <c r="M519" s="26">
        <v>4206834</v>
      </c>
      <c r="N519" s="64">
        <v>3.26</v>
      </c>
      <c r="O519" s="64">
        <v>3.01</v>
      </c>
      <c r="P519" s="66">
        <v>26.75</v>
      </c>
      <c r="Q519" s="67">
        <v>45.463682615763602</v>
      </c>
      <c r="R519" s="67">
        <v>1.9445849729154201</v>
      </c>
      <c r="S519" s="67">
        <v>1.22953489822002</v>
      </c>
      <c r="X519" s="2">
        <f t="shared" si="24"/>
        <v>0.54536317384236399</v>
      </c>
      <c r="Y519" s="2">
        <f>SUMIF(收盤價!A:A,A519,收盤價!C:C)</f>
        <v>37.1</v>
      </c>
      <c r="Z519" s="2">
        <f t="shared" si="25"/>
        <v>11253280.949999999</v>
      </c>
      <c r="AA519" s="2">
        <f t="shared" si="26"/>
        <v>15607354.140000001</v>
      </c>
    </row>
    <row r="520" spans="1:27" ht="14.5" customHeight="1">
      <c r="A520" s="19" t="s">
        <v>5206</v>
      </c>
      <c r="B520" s="3" t="s">
        <v>1608</v>
      </c>
      <c r="C520" s="20">
        <v>7430654</v>
      </c>
      <c r="D520" s="20">
        <v>7413512</v>
      </c>
      <c r="E520" s="56">
        <v>0.23</v>
      </c>
      <c r="F520" s="57">
        <v>911877</v>
      </c>
      <c r="G520" s="57">
        <v>1138561</v>
      </c>
      <c r="H520" s="57">
        <v>30369</v>
      </c>
      <c r="I520" s="57">
        <v>106722</v>
      </c>
      <c r="J520" s="57">
        <v>741956</v>
      </c>
      <c r="K520" s="57">
        <v>1013603</v>
      </c>
      <c r="L520" s="56">
        <v>-26.8</v>
      </c>
      <c r="M520" s="20">
        <v>1653575</v>
      </c>
      <c r="N520" s="56">
        <v>4.49</v>
      </c>
      <c r="O520" s="56">
        <v>6.13</v>
      </c>
      <c r="P520" s="58">
        <v>61.54</v>
      </c>
      <c r="Q520" s="59">
        <v>81.9198036898472</v>
      </c>
      <c r="R520" s="59">
        <v>3.6840409086988299</v>
      </c>
      <c r="S520" s="59">
        <v>2.9578121949780001</v>
      </c>
      <c r="X520" s="2">
        <f t="shared" si="24"/>
        <v>0.18080196310152799</v>
      </c>
      <c r="Y520" s="2">
        <f>SUMIF(收盤價!A:A,A520,收盤價!C:C)</f>
        <v>156.5</v>
      </c>
      <c r="Z520" s="2">
        <f t="shared" si="25"/>
        <v>10176100.550000001</v>
      </c>
      <c r="AA520" s="2">
        <f t="shared" si="26"/>
        <v>25878448.75</v>
      </c>
    </row>
    <row r="521" spans="1:27" ht="14.5" customHeight="1">
      <c r="A521" s="19" t="s">
        <v>5207</v>
      </c>
      <c r="B521" s="3" t="s">
        <v>1634</v>
      </c>
      <c r="C521" s="20">
        <v>10777781</v>
      </c>
      <c r="D521" s="20">
        <v>9414159</v>
      </c>
      <c r="E521" s="56">
        <v>14.48</v>
      </c>
      <c r="F521" s="57">
        <v>2333169</v>
      </c>
      <c r="G521" s="57">
        <v>1913422</v>
      </c>
      <c r="H521" s="57">
        <v>78448</v>
      </c>
      <c r="I521" s="57">
        <v>17176</v>
      </c>
      <c r="J521" s="57">
        <v>2325882</v>
      </c>
      <c r="K521" s="57">
        <v>1829851</v>
      </c>
      <c r="L521" s="56">
        <v>27.11</v>
      </c>
      <c r="M521" s="20">
        <v>914802</v>
      </c>
      <c r="N521" s="56">
        <v>25.83</v>
      </c>
      <c r="O521" s="56">
        <v>20.78</v>
      </c>
      <c r="P521" s="58">
        <v>162.31</v>
      </c>
      <c r="Q521" s="59">
        <v>89.236951112350994</v>
      </c>
      <c r="R521" s="59">
        <v>7.2027898258701804</v>
      </c>
      <c r="S521" s="59">
        <v>4.3036516653858401</v>
      </c>
      <c r="X521" s="2">
        <f t="shared" si="24"/>
        <v>0.10763048887649006</v>
      </c>
      <c r="Y521" s="2">
        <f>SUMIF(收盤價!A:A,A521,收盤價!C:C)</f>
        <v>950</v>
      </c>
      <c r="Z521" s="2">
        <f t="shared" si="25"/>
        <v>14848151.262</v>
      </c>
      <c r="AA521" s="2">
        <f t="shared" si="26"/>
        <v>86906190</v>
      </c>
    </row>
    <row r="522" spans="1:27" ht="14.5" customHeight="1">
      <c r="A522" s="19" t="s">
        <v>5208</v>
      </c>
      <c r="B522" s="3" t="s">
        <v>1646</v>
      </c>
      <c r="C522" s="20">
        <v>5744804</v>
      </c>
      <c r="D522" s="20">
        <v>4465710</v>
      </c>
      <c r="E522" s="56">
        <v>28.64</v>
      </c>
      <c r="F522" s="57">
        <v>623298</v>
      </c>
      <c r="G522" s="57">
        <v>136907</v>
      </c>
      <c r="H522" s="57">
        <v>165136</v>
      </c>
      <c r="I522" s="57">
        <v>201509</v>
      </c>
      <c r="J522" s="57">
        <v>638315</v>
      </c>
      <c r="K522" s="57">
        <v>298247</v>
      </c>
      <c r="L522" s="56">
        <v>114.02</v>
      </c>
      <c r="M522" s="20">
        <v>1065248</v>
      </c>
      <c r="N522" s="56">
        <v>6.16</v>
      </c>
      <c r="O522" s="56">
        <v>2.83</v>
      </c>
      <c r="P522" s="58">
        <v>53.91</v>
      </c>
      <c r="Q522" s="59">
        <v>49.333539234905601</v>
      </c>
      <c r="R522" s="59">
        <v>2.1794936518605801</v>
      </c>
      <c r="S522" s="59">
        <v>2.06341514634879</v>
      </c>
      <c r="X522" s="2">
        <f t="shared" si="24"/>
        <v>0.50666460765094401</v>
      </c>
      <c r="Y522" s="2">
        <f>SUMIF(收盤價!A:A,A522,收盤價!C:C)</f>
        <v>162</v>
      </c>
      <c r="Z522" s="2">
        <f t="shared" si="25"/>
        <v>5742751.9680000003</v>
      </c>
      <c r="AA522" s="2">
        <f t="shared" si="26"/>
        <v>17257017.600000001</v>
      </c>
    </row>
    <row r="523" spans="1:27" ht="14.5" customHeight="1">
      <c r="A523" s="19" t="s">
        <v>5209</v>
      </c>
      <c r="B523" s="3" t="s">
        <v>1662</v>
      </c>
      <c r="C523" s="20">
        <v>3463053</v>
      </c>
      <c r="D523" s="20">
        <v>3412024</v>
      </c>
      <c r="E523" s="56">
        <v>1.5</v>
      </c>
      <c r="F523" s="57">
        <v>794946</v>
      </c>
      <c r="G523" s="57">
        <v>756739</v>
      </c>
      <c r="H523" s="57">
        <v>44015</v>
      </c>
      <c r="I523" s="57">
        <v>200495</v>
      </c>
      <c r="J523" s="57">
        <v>664986</v>
      </c>
      <c r="K523" s="57">
        <v>774363</v>
      </c>
      <c r="L523" s="56">
        <v>-14.12</v>
      </c>
      <c r="M523" s="20">
        <v>1290474</v>
      </c>
      <c r="N523" s="56">
        <v>5.15</v>
      </c>
      <c r="O523" s="56">
        <v>6</v>
      </c>
      <c r="P523" s="58">
        <v>27.99</v>
      </c>
      <c r="Q523" s="59">
        <v>76.7013512971225</v>
      </c>
      <c r="R523" s="59">
        <v>2.8443761550978199</v>
      </c>
      <c r="S523" s="59">
        <v>2.6918158869687501</v>
      </c>
      <c r="X523" s="2">
        <f t="shared" si="24"/>
        <v>0.232986487028775</v>
      </c>
      <c r="Y523" s="2">
        <f>SUMIF(收盤價!A:A,A523,收盤價!C:C)</f>
        <v>67.5</v>
      </c>
      <c r="Z523" s="2">
        <f t="shared" si="25"/>
        <v>3612036.7259999998</v>
      </c>
      <c r="AA523" s="2">
        <f t="shared" si="26"/>
        <v>8710699.5</v>
      </c>
    </row>
    <row r="524" spans="1:27" ht="14.5" customHeight="1">
      <c r="A524" s="19" t="s">
        <v>5210</v>
      </c>
      <c r="B524" s="3" t="s">
        <v>1664</v>
      </c>
      <c r="C524" s="20">
        <v>3462645</v>
      </c>
      <c r="D524" s="20">
        <v>4723851</v>
      </c>
      <c r="E524" s="56">
        <v>-26.7</v>
      </c>
      <c r="F524" s="57">
        <v>-79373</v>
      </c>
      <c r="G524" s="57">
        <v>89876</v>
      </c>
      <c r="H524" s="57">
        <v>-346574</v>
      </c>
      <c r="I524" s="57">
        <v>54512</v>
      </c>
      <c r="J524" s="57">
        <v>-395065</v>
      </c>
      <c r="K524" s="57">
        <v>115471</v>
      </c>
      <c r="L524" s="56"/>
      <c r="M524" s="20">
        <v>738535</v>
      </c>
      <c r="N524" s="56">
        <v>-5.33</v>
      </c>
      <c r="O524" s="56">
        <v>1.55</v>
      </c>
      <c r="P524" s="58">
        <v>29.38</v>
      </c>
      <c r="Q524" s="59">
        <v>68.068617653307697</v>
      </c>
      <c r="R524" s="59">
        <v>3.0083394455402401</v>
      </c>
      <c r="S524" s="59">
        <v>1.5644941075021599</v>
      </c>
      <c r="X524" s="2">
        <f t="shared" si="24"/>
        <v>0.31931382346692305</v>
      </c>
      <c r="Y524" s="2">
        <f>SUMIF(收盤價!A:A,A524,收盤價!C:C)</f>
        <v>87.1</v>
      </c>
      <c r="Z524" s="2">
        <f t="shared" si="25"/>
        <v>2169815.83</v>
      </c>
      <c r="AA524" s="2">
        <f t="shared" si="26"/>
        <v>6432639.8499999996</v>
      </c>
    </row>
    <row r="525" spans="1:27" ht="14.5" customHeight="1">
      <c r="A525" s="19" t="s">
        <v>5211</v>
      </c>
      <c r="B525" s="3" t="s">
        <v>1666</v>
      </c>
      <c r="C525" s="20">
        <v>494851</v>
      </c>
      <c r="D525" s="20">
        <v>304756</v>
      </c>
      <c r="E525" s="56">
        <v>62.38</v>
      </c>
      <c r="F525" s="57">
        <v>18579</v>
      </c>
      <c r="G525" s="57">
        <v>35311</v>
      </c>
      <c r="H525" s="57">
        <v>-734</v>
      </c>
      <c r="I525" s="57">
        <v>7653</v>
      </c>
      <c r="J525" s="57">
        <v>16023</v>
      </c>
      <c r="K525" s="57">
        <v>41567</v>
      </c>
      <c r="L525" s="56">
        <v>-61.45</v>
      </c>
      <c r="M525" s="20">
        <v>426509</v>
      </c>
      <c r="N525" s="56">
        <v>0.38</v>
      </c>
      <c r="O525" s="56">
        <v>0.97</v>
      </c>
      <c r="P525" s="58">
        <v>27.53</v>
      </c>
      <c r="Q525" s="59">
        <v>84.485564553727102</v>
      </c>
      <c r="R525" s="59">
        <v>9.7038362060827996</v>
      </c>
      <c r="S525" s="59">
        <v>6.3675546074118801</v>
      </c>
      <c r="X525" s="2">
        <f t="shared" si="24"/>
        <v>0.15514435446272898</v>
      </c>
      <c r="Y525" s="2">
        <f>SUMIF(收盤價!A:A,A525,收盤價!C:C)</f>
        <v>132</v>
      </c>
      <c r="Z525" s="2">
        <f t="shared" si="25"/>
        <v>1174179.2770000002</v>
      </c>
      <c r="AA525" s="2">
        <f t="shared" si="26"/>
        <v>5629918.7999999998</v>
      </c>
    </row>
    <row r="526" spans="1:27" ht="14.5" customHeight="1">
      <c r="A526" s="19" t="s">
        <v>5212</v>
      </c>
      <c r="B526" s="3" t="s">
        <v>1670</v>
      </c>
      <c r="C526" s="20">
        <v>3017155</v>
      </c>
      <c r="D526" s="20">
        <v>1931008</v>
      </c>
      <c r="E526" s="56">
        <v>56.25</v>
      </c>
      <c r="F526" s="57">
        <v>644021</v>
      </c>
      <c r="G526" s="57">
        <v>237116</v>
      </c>
      <c r="H526" s="57">
        <v>7776</v>
      </c>
      <c r="I526" s="57">
        <v>9511</v>
      </c>
      <c r="J526" s="57">
        <v>524347</v>
      </c>
      <c r="K526" s="57">
        <v>219544</v>
      </c>
      <c r="L526" s="56">
        <v>138.83000000000001</v>
      </c>
      <c r="M526" s="20">
        <v>1000000</v>
      </c>
      <c r="N526" s="56">
        <v>5.24</v>
      </c>
      <c r="O526" s="56">
        <v>2.2000000000000002</v>
      </c>
      <c r="P526" s="58">
        <v>22.57</v>
      </c>
      <c r="Q526" s="59">
        <v>59.314506476248603</v>
      </c>
      <c r="R526" s="59">
        <v>1.51719238356016</v>
      </c>
      <c r="S526" s="59">
        <v>0.80899002909307105</v>
      </c>
      <c r="X526" s="2">
        <f t="shared" si="24"/>
        <v>0.40685493523751398</v>
      </c>
      <c r="Y526" s="2">
        <f>SUMIF(收盤價!A:A,A526,收盤價!C:C)</f>
        <v>80.7</v>
      </c>
      <c r="Z526" s="2">
        <f t="shared" si="25"/>
        <v>2257000</v>
      </c>
      <c r="AA526" s="2">
        <f t="shared" si="26"/>
        <v>8070000</v>
      </c>
    </row>
    <row r="527" spans="1:27" ht="14.5" customHeight="1">
      <c r="A527" s="19" t="s">
        <v>5213</v>
      </c>
      <c r="B527" s="3" t="s">
        <v>1674</v>
      </c>
      <c r="C527" s="20">
        <v>1757464</v>
      </c>
      <c r="D527" s="20">
        <v>2063177</v>
      </c>
      <c r="E527" s="56">
        <v>-14.82</v>
      </c>
      <c r="F527" s="57">
        <v>-158588</v>
      </c>
      <c r="G527" s="57">
        <v>-81671</v>
      </c>
      <c r="H527" s="57">
        <v>33790</v>
      </c>
      <c r="I527" s="57">
        <v>94659</v>
      </c>
      <c r="J527" s="57">
        <v>-106238</v>
      </c>
      <c r="K527" s="57">
        <v>35390</v>
      </c>
      <c r="L527" s="56"/>
      <c r="M527" s="20">
        <v>674993</v>
      </c>
      <c r="N527" s="56">
        <v>-1.57</v>
      </c>
      <c r="O527" s="56">
        <v>0.54</v>
      </c>
      <c r="P527" s="58">
        <v>18.52</v>
      </c>
      <c r="Q527" s="59">
        <v>38.915660700288299</v>
      </c>
      <c r="R527" s="59">
        <v>1.38059763084849</v>
      </c>
      <c r="S527" s="59">
        <v>0.94427237857772695</v>
      </c>
      <c r="X527" s="2">
        <f t="shared" si="24"/>
        <v>0.61084339299711699</v>
      </c>
      <c r="Y527" s="2">
        <f>SUMIF(收盤價!A:A,A527,收盤價!C:C)</f>
        <v>24.5</v>
      </c>
      <c r="Z527" s="2">
        <f t="shared" si="25"/>
        <v>1250087.0359999998</v>
      </c>
      <c r="AA527" s="2">
        <f t="shared" si="26"/>
        <v>1653732.85</v>
      </c>
    </row>
    <row r="528" spans="1:27" ht="14.5" customHeight="1">
      <c r="A528" s="19" t="s">
        <v>5214</v>
      </c>
      <c r="B528" s="3" t="s">
        <v>1714</v>
      </c>
      <c r="C528" s="20">
        <v>13802738</v>
      </c>
      <c r="D528" s="20">
        <v>10330505</v>
      </c>
      <c r="E528" s="56">
        <v>33.61</v>
      </c>
      <c r="F528" s="57">
        <v>2086426</v>
      </c>
      <c r="G528" s="57">
        <v>1042514</v>
      </c>
      <c r="H528" s="57">
        <v>116996</v>
      </c>
      <c r="I528" s="57">
        <v>79416</v>
      </c>
      <c r="J528" s="57">
        <v>1230588</v>
      </c>
      <c r="K528" s="57">
        <v>840363</v>
      </c>
      <c r="L528" s="56">
        <v>46.44</v>
      </c>
      <c r="M528" s="20">
        <v>1201369</v>
      </c>
      <c r="N528" s="56">
        <v>10.27</v>
      </c>
      <c r="O528" s="56">
        <v>7.03</v>
      </c>
      <c r="P528" s="58">
        <v>45.5</v>
      </c>
      <c r="Q528" s="59">
        <v>50.794059681231197</v>
      </c>
      <c r="R528" s="59">
        <v>2.24298904061432</v>
      </c>
      <c r="S528" s="59">
        <v>1.17714769948589</v>
      </c>
      <c r="X528" s="2">
        <f t="shared" si="24"/>
        <v>0.49205940318768804</v>
      </c>
      <c r="Y528" s="2">
        <f>SUMIF(收盤價!A:A,A528,收盤價!C:C)</f>
        <v>167.5</v>
      </c>
      <c r="Z528" s="2">
        <f t="shared" si="25"/>
        <v>5466228.9500000002</v>
      </c>
      <c r="AA528" s="2">
        <f t="shared" si="26"/>
        <v>20122930.75</v>
      </c>
    </row>
    <row r="529" spans="1:27" ht="14.5" customHeight="1">
      <c r="A529" s="19" t="s">
        <v>5215</v>
      </c>
      <c r="B529" s="3" t="s">
        <v>1718</v>
      </c>
      <c r="C529" s="20">
        <v>2649059</v>
      </c>
      <c r="D529" s="20">
        <v>2121873</v>
      </c>
      <c r="E529" s="56">
        <v>24.85</v>
      </c>
      <c r="F529" s="57">
        <v>430868</v>
      </c>
      <c r="G529" s="57">
        <v>299549</v>
      </c>
      <c r="H529" s="57">
        <v>-14608</v>
      </c>
      <c r="I529" s="57">
        <v>-23424</v>
      </c>
      <c r="J529" s="57">
        <v>332095</v>
      </c>
      <c r="K529" s="57">
        <v>232634</v>
      </c>
      <c r="L529" s="56">
        <v>42.75</v>
      </c>
      <c r="M529" s="20">
        <v>1324080</v>
      </c>
      <c r="N529" s="56">
        <v>2.5099999999999998</v>
      </c>
      <c r="O529" s="56">
        <v>1.87</v>
      </c>
      <c r="P529" s="58">
        <v>18.41</v>
      </c>
      <c r="Q529" s="59">
        <v>45.074755329633398</v>
      </c>
      <c r="R529" s="59">
        <v>2.49421487760269</v>
      </c>
      <c r="S529" s="59">
        <v>2.24414508008197</v>
      </c>
      <c r="X529" s="2">
        <f t="shared" si="24"/>
        <v>0.54925244670366602</v>
      </c>
      <c r="Y529" s="2">
        <f>SUMIF(收盤價!A:A,A529,收盤價!C:C)</f>
        <v>74</v>
      </c>
      <c r="Z529" s="2">
        <f t="shared" si="25"/>
        <v>2437631.2800000003</v>
      </c>
      <c r="AA529" s="2">
        <f t="shared" si="26"/>
        <v>9798192</v>
      </c>
    </row>
    <row r="530" spans="1:27" ht="14.5" customHeight="1">
      <c r="A530" s="19" t="s">
        <v>5216</v>
      </c>
      <c r="B530" s="3" t="s">
        <v>1730</v>
      </c>
      <c r="C530" s="20">
        <v>5672678</v>
      </c>
      <c r="D530" s="20">
        <v>4465551</v>
      </c>
      <c r="E530" s="56">
        <v>27.03</v>
      </c>
      <c r="F530" s="57">
        <v>849759</v>
      </c>
      <c r="G530" s="57">
        <v>505582</v>
      </c>
      <c r="H530" s="57">
        <v>56348</v>
      </c>
      <c r="I530" s="57">
        <v>43807</v>
      </c>
      <c r="J530" s="57">
        <v>749645</v>
      </c>
      <c r="K530" s="57">
        <v>473864</v>
      </c>
      <c r="L530" s="56">
        <v>58.2</v>
      </c>
      <c r="M530" s="20">
        <v>861721</v>
      </c>
      <c r="N530" s="56">
        <v>8.74</v>
      </c>
      <c r="O530" s="56">
        <v>5.53</v>
      </c>
      <c r="P530" s="58">
        <v>48.94</v>
      </c>
      <c r="Q530" s="59">
        <v>58.866549816903699</v>
      </c>
      <c r="R530" s="59">
        <v>2.5507993326255098</v>
      </c>
      <c r="S530" s="59">
        <v>2.0839809899388202</v>
      </c>
      <c r="X530" s="2">
        <f t="shared" si="24"/>
        <v>0.41133450183096298</v>
      </c>
      <c r="Y530" s="2">
        <f>SUMIF(收盤價!A:A,A530,收盤價!C:C)</f>
        <v>126.5</v>
      </c>
      <c r="Z530" s="2">
        <f t="shared" si="25"/>
        <v>4217262.5739999991</v>
      </c>
      <c r="AA530" s="2">
        <f t="shared" si="26"/>
        <v>10900770.65</v>
      </c>
    </row>
    <row r="531" spans="1:27" ht="14.5" customHeight="1">
      <c r="A531" s="19" t="s">
        <v>5217</v>
      </c>
      <c r="B531" s="3" t="s">
        <v>1740</v>
      </c>
      <c r="C531" s="20">
        <v>6727363</v>
      </c>
      <c r="D531" s="20">
        <v>8552749</v>
      </c>
      <c r="E531" s="56">
        <v>-21.34</v>
      </c>
      <c r="F531" s="57">
        <v>-372532</v>
      </c>
      <c r="G531" s="57">
        <v>458859</v>
      </c>
      <c r="H531" s="57">
        <v>508214</v>
      </c>
      <c r="I531" s="57">
        <v>69716</v>
      </c>
      <c r="J531" s="57">
        <v>165049</v>
      </c>
      <c r="K531" s="57">
        <v>405269</v>
      </c>
      <c r="L531" s="56">
        <v>-59.27</v>
      </c>
      <c r="M531" s="20">
        <v>5063811</v>
      </c>
      <c r="N531" s="56">
        <v>0.33</v>
      </c>
      <c r="O531" s="56">
        <v>0.78</v>
      </c>
      <c r="P531" s="58">
        <v>23.55</v>
      </c>
      <c r="Q531" s="59">
        <v>67.973908000242801</v>
      </c>
      <c r="R531" s="59">
        <v>1.98705237817036</v>
      </c>
      <c r="S531" s="59">
        <v>1.7238797805464401</v>
      </c>
      <c r="X531" s="2">
        <f t="shared" si="24"/>
        <v>0.320260919997572</v>
      </c>
      <c r="Y531" s="2">
        <f>SUMIF(收盤價!A:A,A531,收盤價!C:C)</f>
        <v>11.65</v>
      </c>
      <c r="Z531" s="2">
        <f t="shared" si="25"/>
        <v>11925274.904999999</v>
      </c>
      <c r="AA531" s="2">
        <f t="shared" si="26"/>
        <v>5899339.8149999995</v>
      </c>
    </row>
    <row r="532" spans="1:27" ht="14.5" customHeight="1">
      <c r="A532" s="19" t="s">
        <v>5218</v>
      </c>
      <c r="B532" s="3" t="s">
        <v>1746</v>
      </c>
      <c r="C532" s="20">
        <v>9457849</v>
      </c>
      <c r="D532" s="20">
        <v>8785525</v>
      </c>
      <c r="E532" s="56">
        <v>7.65</v>
      </c>
      <c r="F532" s="57">
        <v>1478501</v>
      </c>
      <c r="G532" s="57">
        <v>1512935</v>
      </c>
      <c r="H532" s="57">
        <v>123723</v>
      </c>
      <c r="I532" s="57">
        <v>238018</v>
      </c>
      <c r="J532" s="57">
        <v>1262496</v>
      </c>
      <c r="K532" s="57">
        <v>1420293</v>
      </c>
      <c r="L532" s="56">
        <v>-11.11</v>
      </c>
      <c r="M532" s="20">
        <v>4422222</v>
      </c>
      <c r="N532" s="56">
        <v>2.85</v>
      </c>
      <c r="O532" s="56">
        <v>3.21</v>
      </c>
      <c r="P532" s="58">
        <v>25.85</v>
      </c>
      <c r="Q532" s="59">
        <v>86.102744249439297</v>
      </c>
      <c r="R532" s="59">
        <v>5.3038878527395399</v>
      </c>
      <c r="S532" s="59">
        <v>3.3271476283554402</v>
      </c>
      <c r="X532" s="2">
        <f t="shared" si="24"/>
        <v>0.13897255750560703</v>
      </c>
      <c r="Y532" s="2">
        <f>SUMIF(收盤價!A:A,A532,收盤價!C:C)</f>
        <v>37.299999999999997</v>
      </c>
      <c r="Z532" s="2">
        <f t="shared" si="25"/>
        <v>11431443.870000001</v>
      </c>
      <c r="AA532" s="2">
        <f t="shared" si="26"/>
        <v>16494888.059999999</v>
      </c>
    </row>
    <row r="533" spans="1:27" ht="14.5" customHeight="1">
      <c r="A533" s="19" t="s">
        <v>5219</v>
      </c>
      <c r="B533" s="3" t="s">
        <v>1748</v>
      </c>
      <c r="C533" s="20">
        <v>20337881</v>
      </c>
      <c r="D533" s="20">
        <v>18480027</v>
      </c>
      <c r="E533" s="56">
        <v>10.050000000000001</v>
      </c>
      <c r="F533" s="57">
        <v>2457119</v>
      </c>
      <c r="G533" s="57">
        <v>2099721</v>
      </c>
      <c r="H533" s="57">
        <v>573200</v>
      </c>
      <c r="I533" s="57">
        <v>-317279</v>
      </c>
      <c r="J533" s="57">
        <v>2584161</v>
      </c>
      <c r="K533" s="57">
        <v>1103075</v>
      </c>
      <c r="L533" s="56">
        <v>134.27000000000001</v>
      </c>
      <c r="M533" s="20">
        <v>7272401</v>
      </c>
      <c r="N533" s="56">
        <v>3.55</v>
      </c>
      <c r="O533" s="56">
        <v>1.37</v>
      </c>
      <c r="P533" s="58">
        <v>27.02</v>
      </c>
      <c r="Q533" s="59">
        <v>57.282410450427903</v>
      </c>
      <c r="R533" s="59">
        <v>2.3996457556264699</v>
      </c>
      <c r="S533" s="59">
        <v>1.96447947355418</v>
      </c>
      <c r="X533" s="2">
        <f t="shared" si="24"/>
        <v>0.42717589549572099</v>
      </c>
      <c r="Y533" s="2">
        <f>SUMIF(收盤價!A:A,A533,收盤價!C:C)</f>
        <v>34.25</v>
      </c>
      <c r="Z533" s="2">
        <f t="shared" si="25"/>
        <v>19650027.502</v>
      </c>
      <c r="AA533" s="2">
        <f t="shared" si="26"/>
        <v>24907973.425000001</v>
      </c>
    </row>
    <row r="534" spans="1:27" ht="14.5" customHeight="1">
      <c r="A534" s="19" t="s">
        <v>5220</v>
      </c>
      <c r="B534" s="3" t="s">
        <v>1764</v>
      </c>
      <c r="C534" s="20">
        <v>2217249</v>
      </c>
      <c r="D534" s="20">
        <v>2709090</v>
      </c>
      <c r="E534" s="56">
        <v>-18.16</v>
      </c>
      <c r="F534" s="57">
        <v>68999</v>
      </c>
      <c r="G534" s="57">
        <v>173236</v>
      </c>
      <c r="H534" s="57">
        <v>-10010</v>
      </c>
      <c r="I534" s="57">
        <v>14001</v>
      </c>
      <c r="J534" s="57">
        <v>55129</v>
      </c>
      <c r="K534" s="57">
        <v>166169</v>
      </c>
      <c r="L534" s="56">
        <v>-66.819999999999993</v>
      </c>
      <c r="M534" s="20">
        <v>813405</v>
      </c>
      <c r="N534" s="56">
        <v>0.68</v>
      </c>
      <c r="O534" s="56">
        <v>2.04</v>
      </c>
      <c r="P534" s="58">
        <v>17.3</v>
      </c>
      <c r="Q534" s="59">
        <v>62.543290206877202</v>
      </c>
      <c r="R534" s="59">
        <v>2.1045263357650899</v>
      </c>
      <c r="S534" s="59">
        <v>1.03666252699395</v>
      </c>
      <c r="X534" s="2">
        <f t="shared" si="24"/>
        <v>0.374567097931228</v>
      </c>
      <c r="Y534" s="2">
        <f>SUMIF(收盤價!A:A,A534,收盤價!C:C)</f>
        <v>30.1</v>
      </c>
      <c r="Z534" s="2">
        <f t="shared" si="25"/>
        <v>1407190.65</v>
      </c>
      <c r="AA534" s="2">
        <f t="shared" si="26"/>
        <v>2448349.0499999998</v>
      </c>
    </row>
    <row r="535" spans="1:27" ht="14.5" customHeight="1">
      <c r="A535" s="19" t="s">
        <v>5221</v>
      </c>
      <c r="B535" s="3" t="s">
        <v>1766</v>
      </c>
      <c r="C535" s="20">
        <v>7485821</v>
      </c>
      <c r="D535" s="20">
        <v>9441618</v>
      </c>
      <c r="E535" s="56">
        <v>-20.71</v>
      </c>
      <c r="F535" s="57">
        <v>483595</v>
      </c>
      <c r="G535" s="57">
        <v>437883</v>
      </c>
      <c r="H535" s="57">
        <v>-4695</v>
      </c>
      <c r="I535" s="57">
        <v>623</v>
      </c>
      <c r="J535" s="57">
        <v>376642</v>
      </c>
      <c r="K535" s="57">
        <v>358839</v>
      </c>
      <c r="L535" s="56">
        <v>4.96</v>
      </c>
      <c r="M535" s="20">
        <v>1008978</v>
      </c>
      <c r="N535" s="56">
        <v>3.73</v>
      </c>
      <c r="O535" s="56">
        <v>3.56</v>
      </c>
      <c r="P535" s="58">
        <v>27.81</v>
      </c>
      <c r="Q535" s="59">
        <v>65.609509412011704</v>
      </c>
      <c r="R535" s="59">
        <v>2.22136375975616</v>
      </c>
      <c r="S535" s="59">
        <v>1.2593749868136199</v>
      </c>
      <c r="X535" s="2">
        <f t="shared" si="24"/>
        <v>0.34390490587988298</v>
      </c>
      <c r="Y535" s="2">
        <f>SUMIF(收盤價!A:A,A535,收盤價!C:C)</f>
        <v>41.85</v>
      </c>
      <c r="Z535" s="2">
        <f t="shared" si="25"/>
        <v>2805967.818</v>
      </c>
      <c r="AA535" s="2">
        <f t="shared" si="26"/>
        <v>4222572.9300000006</v>
      </c>
    </row>
    <row r="536" spans="1:27" ht="14.5" customHeight="1">
      <c r="A536" s="19" t="s">
        <v>5222</v>
      </c>
      <c r="B536" s="3" t="s">
        <v>538</v>
      </c>
      <c r="C536" s="20">
        <v>177954166</v>
      </c>
      <c r="D536" s="20">
        <v>207109088</v>
      </c>
      <c r="E536" s="56">
        <v>-14.08</v>
      </c>
      <c r="F536" s="57">
        <v>9345222</v>
      </c>
      <c r="G536" s="57">
        <v>7485813</v>
      </c>
      <c r="H536" s="57">
        <v>3018616</v>
      </c>
      <c r="I536" s="57">
        <v>3298308</v>
      </c>
      <c r="J536" s="57">
        <v>9374899</v>
      </c>
      <c r="K536" s="57">
        <v>7956838</v>
      </c>
      <c r="L536" s="56">
        <v>17.82</v>
      </c>
      <c r="M536" s="20">
        <v>23508670</v>
      </c>
      <c r="N536" s="56">
        <v>4.03</v>
      </c>
      <c r="O536" s="56">
        <v>3.42</v>
      </c>
      <c r="P536" s="58">
        <v>31.18</v>
      </c>
      <c r="Q536" s="59">
        <v>38.8248423159175</v>
      </c>
      <c r="R536" s="59">
        <v>1.3423727193597399</v>
      </c>
      <c r="S536" s="59">
        <v>1.0419657451564199</v>
      </c>
      <c r="X536" s="2">
        <f t="shared" si="24"/>
        <v>0.61175157684082504</v>
      </c>
      <c r="Y536" s="2">
        <f>SUMIF(收盤價!A:A,A536,收盤價!C:C)</f>
        <v>49.35</v>
      </c>
      <c r="Z536" s="2">
        <f t="shared" si="25"/>
        <v>73300033.060000002</v>
      </c>
      <c r="AA536" s="2">
        <f t="shared" si="26"/>
        <v>116015286.45</v>
      </c>
    </row>
    <row r="537" spans="1:27" ht="14.5" customHeight="1">
      <c r="A537" s="19" t="s">
        <v>5223</v>
      </c>
      <c r="B537" s="3" t="s">
        <v>544</v>
      </c>
      <c r="C537" s="20">
        <v>508075</v>
      </c>
      <c r="D537" s="20">
        <v>584893</v>
      </c>
      <c r="E537" s="56">
        <v>-13.13</v>
      </c>
      <c r="F537" s="57">
        <v>-138018</v>
      </c>
      <c r="G537" s="57">
        <v>-128609</v>
      </c>
      <c r="H537" s="57">
        <v>163741</v>
      </c>
      <c r="I537" s="57">
        <v>146026</v>
      </c>
      <c r="J537" s="57">
        <v>2834</v>
      </c>
      <c r="K537" s="57">
        <v>-19413</v>
      </c>
      <c r="L537" s="56"/>
      <c r="M537" s="20">
        <v>2056608</v>
      </c>
      <c r="N537" s="56">
        <v>0.01</v>
      </c>
      <c r="O537" s="56">
        <v>-0.1</v>
      </c>
      <c r="P537" s="58">
        <v>10.62</v>
      </c>
      <c r="Q537" s="59">
        <v>74.7828969151645</v>
      </c>
      <c r="R537" s="59">
        <v>4.4411693259903799</v>
      </c>
      <c r="S537" s="59">
        <v>2.85705206062925</v>
      </c>
      <c r="X537" s="2">
        <f t="shared" si="24"/>
        <v>0.25217103084835502</v>
      </c>
      <c r="Y537" s="2">
        <f>SUMIF(收盤價!A:A,A537,收盤價!C:C)</f>
        <v>6.94</v>
      </c>
      <c r="Z537" s="2">
        <f t="shared" si="25"/>
        <v>2184117.6959999995</v>
      </c>
      <c r="AA537" s="2">
        <f t="shared" si="26"/>
        <v>1427285.952</v>
      </c>
    </row>
    <row r="538" spans="1:27" ht="14.5" customHeight="1">
      <c r="A538" s="19" t="s">
        <v>5224</v>
      </c>
      <c r="B538" s="3" t="s">
        <v>4</v>
      </c>
      <c r="C538" s="20">
        <v>980442346</v>
      </c>
      <c r="D538" s="20">
        <v>967706411</v>
      </c>
      <c r="E538" s="56">
        <v>1.32</v>
      </c>
      <c r="F538" s="57">
        <v>10586368</v>
      </c>
      <c r="G538" s="57">
        <v>9261746</v>
      </c>
      <c r="H538" s="57">
        <v>-578492</v>
      </c>
      <c r="I538" s="57">
        <v>2527839</v>
      </c>
      <c r="J538" s="57">
        <v>6955899</v>
      </c>
      <c r="K538" s="57">
        <v>8913365</v>
      </c>
      <c r="L538" s="56">
        <v>-21.96</v>
      </c>
      <c r="M538" s="20">
        <v>44071466</v>
      </c>
      <c r="N538" s="56">
        <v>1.6</v>
      </c>
      <c r="O538" s="56">
        <v>2.0499999999999998</v>
      </c>
      <c r="P538" s="58">
        <v>24.32</v>
      </c>
      <c r="Q538" s="59">
        <v>27.6945174050229</v>
      </c>
      <c r="R538" s="59">
        <v>1.3413914812527601</v>
      </c>
      <c r="S538" s="59">
        <v>1.0227836730831801</v>
      </c>
      <c r="X538" s="2">
        <f t="shared" si="24"/>
        <v>0.72305482594977089</v>
      </c>
      <c r="Y538" s="2">
        <f>SUMIF(收盤價!A:A,A538,收盤價!C:C)</f>
        <v>18.850000000000001</v>
      </c>
      <c r="Z538" s="2">
        <f t="shared" si="25"/>
        <v>107181805.31200001</v>
      </c>
      <c r="AA538" s="2">
        <f t="shared" si="26"/>
        <v>83074713.409999996</v>
      </c>
    </row>
    <row r="539" spans="1:27" ht="14.5" customHeight="1">
      <c r="A539" s="19" t="s">
        <v>5225</v>
      </c>
      <c r="B539" s="3" t="s">
        <v>570</v>
      </c>
      <c r="C539" s="20">
        <v>28291303</v>
      </c>
      <c r="D539" s="20">
        <v>31796016</v>
      </c>
      <c r="E539" s="56">
        <v>-11.02</v>
      </c>
      <c r="F539" s="57">
        <v>14191</v>
      </c>
      <c r="G539" s="57">
        <v>-323584</v>
      </c>
      <c r="H539" s="57">
        <v>74015</v>
      </c>
      <c r="I539" s="57">
        <v>352884</v>
      </c>
      <c r="J539" s="57">
        <v>45779</v>
      </c>
      <c r="K539" s="57">
        <v>20412</v>
      </c>
      <c r="L539" s="56">
        <v>124.27</v>
      </c>
      <c r="M539" s="20">
        <v>5574030</v>
      </c>
      <c r="N539" s="56">
        <v>0.08</v>
      </c>
      <c r="O539" s="56">
        <v>0.04</v>
      </c>
      <c r="P539" s="58">
        <v>19.64</v>
      </c>
      <c r="Q539" s="59">
        <v>46.888610002865597</v>
      </c>
      <c r="R539" s="59">
        <v>1.4029773700589101</v>
      </c>
      <c r="S539" s="59">
        <v>0.80585873996297197</v>
      </c>
      <c r="X539" s="2">
        <f t="shared" si="24"/>
        <v>0.53111389997134406</v>
      </c>
      <c r="Y539" s="2">
        <f>SUMIF(收盤價!A:A,A539,收盤價!C:C)</f>
        <v>13.7</v>
      </c>
      <c r="Z539" s="2">
        <f t="shared" si="25"/>
        <v>10947394.92</v>
      </c>
      <c r="AA539" s="2">
        <f t="shared" si="26"/>
        <v>7636421.0999999996</v>
      </c>
    </row>
    <row r="540" spans="1:27" ht="14.5" customHeight="1">
      <c r="A540" s="19" t="s">
        <v>5226</v>
      </c>
      <c r="B540" s="3" t="s">
        <v>594</v>
      </c>
      <c r="C540" s="20">
        <v>169754115</v>
      </c>
      <c r="D540" s="20">
        <v>155783161</v>
      </c>
      <c r="E540" s="56">
        <v>8.9700000000000006</v>
      </c>
      <c r="F540" s="57">
        <v>6228087</v>
      </c>
      <c r="G540" s="57">
        <v>4576159</v>
      </c>
      <c r="H540" s="57">
        <v>-283096</v>
      </c>
      <c r="I540" s="57">
        <v>1036952</v>
      </c>
      <c r="J540" s="57">
        <v>3575055</v>
      </c>
      <c r="K540" s="57">
        <v>4035064</v>
      </c>
      <c r="L540" s="56">
        <v>-11.4</v>
      </c>
      <c r="M540" s="20">
        <v>19667820</v>
      </c>
      <c r="N540" s="56">
        <v>1.82</v>
      </c>
      <c r="O540" s="56">
        <v>2.0499999999999998</v>
      </c>
      <c r="P540" s="58">
        <v>17.260000000000002</v>
      </c>
      <c r="Q540" s="59">
        <v>24.953932319640099</v>
      </c>
      <c r="R540" s="59">
        <v>1.19214793938372</v>
      </c>
      <c r="S540" s="59">
        <v>0.66377794372601495</v>
      </c>
      <c r="X540" s="2">
        <f t="shared" si="24"/>
        <v>0.75046067680359896</v>
      </c>
      <c r="Y540" s="2">
        <f>SUMIF(收盤價!A:A,A540,收盤價!C:C)</f>
        <v>21.3</v>
      </c>
      <c r="Z540" s="2">
        <f t="shared" si="25"/>
        <v>33946657.320000008</v>
      </c>
      <c r="AA540" s="2">
        <f t="shared" si="26"/>
        <v>41892456.600000001</v>
      </c>
    </row>
    <row r="541" spans="1:27" ht="14.5" customHeight="1">
      <c r="A541" s="19" t="s">
        <v>5227</v>
      </c>
      <c r="B541" s="3" t="s">
        <v>596</v>
      </c>
      <c r="C541" s="20">
        <v>234285354</v>
      </c>
      <c r="D541" s="20">
        <v>242270406</v>
      </c>
      <c r="E541" s="56">
        <v>-3.3</v>
      </c>
      <c r="F541" s="57">
        <v>3077814</v>
      </c>
      <c r="G541" s="57">
        <v>3738489</v>
      </c>
      <c r="H541" s="57">
        <v>634206</v>
      </c>
      <c r="I541" s="57">
        <v>513891</v>
      </c>
      <c r="J541" s="57">
        <v>2632565</v>
      </c>
      <c r="K541" s="57">
        <v>3060429</v>
      </c>
      <c r="L541" s="56">
        <v>-13.98</v>
      </c>
      <c r="M541" s="20">
        <v>30749338</v>
      </c>
      <c r="N541" s="56">
        <v>0.87</v>
      </c>
      <c r="O541" s="56">
        <v>1.01</v>
      </c>
      <c r="P541" s="58">
        <v>19.100000000000001</v>
      </c>
      <c r="Q541" s="59">
        <v>37.054930305832997</v>
      </c>
      <c r="R541" s="59">
        <v>1.44103682423421</v>
      </c>
      <c r="S541" s="59">
        <v>0.89811820562334899</v>
      </c>
      <c r="X541" s="2">
        <f t="shared" si="24"/>
        <v>0.62945069694167</v>
      </c>
      <c r="Y541" s="2">
        <f>SUMIF(收盤價!A:A,A541,收盤價!C:C)</f>
        <v>17.850000000000001</v>
      </c>
      <c r="Z541" s="2">
        <f t="shared" si="25"/>
        <v>58731235.580000006</v>
      </c>
      <c r="AA541" s="2">
        <f t="shared" si="26"/>
        <v>54887568.330000006</v>
      </c>
    </row>
    <row r="542" spans="1:27" ht="14.5" customHeight="1">
      <c r="A542" s="19" t="s">
        <v>5228</v>
      </c>
      <c r="B542" s="3" t="s">
        <v>5</v>
      </c>
      <c r="C542" s="20">
        <v>500952813</v>
      </c>
      <c r="D542" s="20">
        <v>506884018</v>
      </c>
      <c r="E542" s="56">
        <v>-1.17</v>
      </c>
      <c r="F542" s="57">
        <v>6403495</v>
      </c>
      <c r="G542" s="57">
        <v>7490715</v>
      </c>
      <c r="H542" s="57">
        <v>105566</v>
      </c>
      <c r="I542" s="57">
        <v>642547</v>
      </c>
      <c r="J542" s="57">
        <v>5507960</v>
      </c>
      <c r="K542" s="57">
        <v>6499856</v>
      </c>
      <c r="L542" s="56">
        <v>-15.26</v>
      </c>
      <c r="M542" s="20">
        <v>35874751</v>
      </c>
      <c r="N542" s="56">
        <v>1.54</v>
      </c>
      <c r="O542" s="56">
        <v>1.81</v>
      </c>
      <c r="P542" s="58">
        <v>15.41</v>
      </c>
      <c r="Q542" s="59">
        <v>28.624129345688399</v>
      </c>
      <c r="R542" s="59">
        <v>1.1977345089595499</v>
      </c>
      <c r="S542" s="59">
        <v>0.88281023679907</v>
      </c>
      <c r="X542" s="2">
        <f t="shared" si="24"/>
        <v>0.71375870654311602</v>
      </c>
      <c r="Y542" s="2">
        <f>SUMIF(收盤價!A:A,A542,收盤價!C:C)</f>
        <v>22.85</v>
      </c>
      <c r="Z542" s="2">
        <f t="shared" si="25"/>
        <v>55282991.290999994</v>
      </c>
      <c r="AA542" s="2">
        <f t="shared" si="26"/>
        <v>81973806.034999996</v>
      </c>
    </row>
    <row r="543" spans="1:27" ht="14.5" customHeight="1">
      <c r="A543" s="19" t="s">
        <v>5229</v>
      </c>
      <c r="B543" s="3" t="s">
        <v>603</v>
      </c>
      <c r="C543" s="20">
        <v>351330493</v>
      </c>
      <c r="D543" s="20">
        <v>354187665</v>
      </c>
      <c r="E543" s="56">
        <v>-0.81</v>
      </c>
      <c r="F543" s="57">
        <v>11616692</v>
      </c>
      <c r="G543" s="57">
        <v>16975634</v>
      </c>
      <c r="H543" s="57">
        <v>7687459</v>
      </c>
      <c r="I543" s="57">
        <v>4010083</v>
      </c>
      <c r="J543" s="57">
        <v>12138555</v>
      </c>
      <c r="K543" s="57">
        <v>4235036</v>
      </c>
      <c r="L543" s="56">
        <v>186.62</v>
      </c>
      <c r="M543" s="20">
        <v>7427603</v>
      </c>
      <c r="N543" s="56">
        <v>16.34</v>
      </c>
      <c r="O543" s="56">
        <v>5.7</v>
      </c>
      <c r="P543" s="58">
        <v>238.11</v>
      </c>
      <c r="Q543" s="59">
        <v>50.243742749924898</v>
      </c>
      <c r="R543" s="59">
        <v>1.55440040965935</v>
      </c>
      <c r="S543" s="59">
        <v>1.01106821912245</v>
      </c>
      <c r="X543" s="2">
        <f t="shared" si="24"/>
        <v>0.49756257250075103</v>
      </c>
      <c r="Y543" s="2">
        <f>SUMIF(收盤價!A:A,A543,收盤價!C:C)</f>
        <v>231.5</v>
      </c>
      <c r="Z543" s="2">
        <f t="shared" si="25"/>
        <v>176858655.03300002</v>
      </c>
      <c r="AA543" s="2">
        <f t="shared" si="26"/>
        <v>171949009.44999999</v>
      </c>
    </row>
    <row r="544" spans="1:27" ht="14.5" customHeight="1">
      <c r="A544" s="19" t="s">
        <v>5230</v>
      </c>
      <c r="B544" s="3" t="s">
        <v>611</v>
      </c>
      <c r="C544" s="20">
        <v>21900662</v>
      </c>
      <c r="D544" s="20">
        <v>19796072</v>
      </c>
      <c r="E544" s="56">
        <v>10.63</v>
      </c>
      <c r="F544" s="57">
        <v>884163</v>
      </c>
      <c r="G544" s="57">
        <v>1466849</v>
      </c>
      <c r="H544" s="57">
        <v>875469</v>
      </c>
      <c r="I544" s="57">
        <v>888826</v>
      </c>
      <c r="J544" s="57">
        <v>1068639</v>
      </c>
      <c r="K544" s="57">
        <v>1454904</v>
      </c>
      <c r="L544" s="56">
        <v>-26.55</v>
      </c>
      <c r="M544" s="20">
        <v>6697630</v>
      </c>
      <c r="N544" s="56">
        <v>1.75</v>
      </c>
      <c r="O544" s="56">
        <v>2.3199999999999998</v>
      </c>
      <c r="P544" s="58">
        <v>65.75</v>
      </c>
      <c r="Q544" s="59">
        <v>39.641951698100399</v>
      </c>
      <c r="R544" s="59">
        <v>1.02896497985031</v>
      </c>
      <c r="S544" s="59">
        <v>0.52703200823101604</v>
      </c>
      <c r="X544" s="2">
        <f t="shared" si="24"/>
        <v>0.60358048301899603</v>
      </c>
      <c r="Y544" s="2">
        <f>SUMIF(收盤價!A:A,A544,收盤價!C:C)</f>
        <v>36.799999999999997</v>
      </c>
      <c r="Z544" s="2">
        <f t="shared" si="25"/>
        <v>44036917.25</v>
      </c>
      <c r="AA544" s="2">
        <f t="shared" si="26"/>
        <v>24647278.399999999</v>
      </c>
    </row>
    <row r="545" spans="1:27" ht="14.5" customHeight="1">
      <c r="A545" s="19" t="s">
        <v>5632</v>
      </c>
      <c r="B545" s="3" t="s">
        <v>615</v>
      </c>
      <c r="C545" s="20">
        <v>829029</v>
      </c>
      <c r="D545" s="20">
        <v>919537</v>
      </c>
      <c r="E545" s="56">
        <v>-9.84</v>
      </c>
      <c r="F545" s="57">
        <v>-80877</v>
      </c>
      <c r="G545" s="57">
        <v>-45413</v>
      </c>
      <c r="H545" s="57">
        <v>-1307</v>
      </c>
      <c r="I545" s="57">
        <v>-39550</v>
      </c>
      <c r="J545" s="57">
        <v>-58076</v>
      </c>
      <c r="K545" s="57">
        <v>-69344</v>
      </c>
      <c r="L545" s="56"/>
      <c r="M545" s="20">
        <v>1989398</v>
      </c>
      <c r="N545" s="56">
        <v>-0.3</v>
      </c>
      <c r="O545" s="56">
        <v>-0.35</v>
      </c>
      <c r="P545" s="58">
        <v>1.4</v>
      </c>
      <c r="Q545" s="59">
        <v>24.0246261139635</v>
      </c>
      <c r="R545" s="59">
        <v>0.56004890811896602</v>
      </c>
      <c r="S545" s="59">
        <v>0.28925052431880999</v>
      </c>
      <c r="X545" s="2">
        <f t="shared" si="24"/>
        <v>0.7597537388603649</v>
      </c>
      <c r="Y545" s="2">
        <f>SUMIF(收盤價!A:A,A545,收盤價!C:C)</f>
        <v>2.15</v>
      </c>
      <c r="Z545" s="2">
        <f t="shared" si="25"/>
        <v>278515.71999999997</v>
      </c>
      <c r="AA545" s="2">
        <f t="shared" si="26"/>
        <v>427720.57</v>
      </c>
    </row>
    <row r="546" spans="1:27" ht="14.5" customHeight="1">
      <c r="A546" s="19" t="s">
        <v>5231</v>
      </c>
      <c r="B546" s="3" t="s">
        <v>617</v>
      </c>
      <c r="C546" s="20">
        <v>1605479</v>
      </c>
      <c r="D546" s="20">
        <v>2019780</v>
      </c>
      <c r="E546" s="56">
        <v>-20.51</v>
      </c>
      <c r="F546" s="57">
        <v>53281</v>
      </c>
      <c r="G546" s="57">
        <v>-41320</v>
      </c>
      <c r="H546" s="57">
        <v>121911</v>
      </c>
      <c r="I546" s="57">
        <v>161578</v>
      </c>
      <c r="J546" s="57">
        <v>151480</v>
      </c>
      <c r="K546" s="57">
        <v>95159</v>
      </c>
      <c r="L546" s="56">
        <v>59.19</v>
      </c>
      <c r="M546" s="20">
        <v>2345385</v>
      </c>
      <c r="N546" s="68">
        <v>0.65</v>
      </c>
      <c r="O546" s="56">
        <v>0.4</v>
      </c>
      <c r="P546" s="58">
        <v>13.77</v>
      </c>
      <c r="Q546" s="59">
        <v>84.376174012183895</v>
      </c>
      <c r="R546" s="59">
        <v>5.7706064703070297</v>
      </c>
      <c r="S546" s="59">
        <v>4.6667390086605103</v>
      </c>
      <c r="X546" s="2">
        <f t="shared" si="24"/>
        <v>0.15623825987816103</v>
      </c>
      <c r="Y546" s="2">
        <f>SUMIF(收盤價!A:A,A546,收盤價!C:C)</f>
        <v>8.56</v>
      </c>
      <c r="Z546" s="2">
        <f t="shared" si="25"/>
        <v>3229595.145</v>
      </c>
      <c r="AA546" s="2">
        <f t="shared" si="26"/>
        <v>2007649.56</v>
      </c>
    </row>
    <row r="547" spans="1:27" ht="14.5" customHeight="1">
      <c r="A547" s="19" t="s">
        <v>5232</v>
      </c>
      <c r="B547" s="3" t="s">
        <v>633</v>
      </c>
      <c r="C547" s="20">
        <v>61781254</v>
      </c>
      <c r="D547" s="20">
        <v>60923590</v>
      </c>
      <c r="E547" s="56">
        <v>1.41</v>
      </c>
      <c r="F547" s="57">
        <v>1447233</v>
      </c>
      <c r="G547" s="57">
        <v>2275588</v>
      </c>
      <c r="H547" s="57">
        <v>816015</v>
      </c>
      <c r="I547" s="57">
        <v>677183</v>
      </c>
      <c r="J547" s="57">
        <v>1939241</v>
      </c>
      <c r="K547" s="57">
        <v>2566512</v>
      </c>
      <c r="L547" s="56">
        <v>-24.44</v>
      </c>
      <c r="M547" s="20">
        <v>6356889</v>
      </c>
      <c r="N547" s="56">
        <v>3.05</v>
      </c>
      <c r="O547" s="56">
        <v>4.04</v>
      </c>
      <c r="P547" s="58">
        <v>38.22</v>
      </c>
      <c r="Q547" s="59">
        <v>64.430703057188794</v>
      </c>
      <c r="R547" s="59">
        <v>2.3772982605602602</v>
      </c>
      <c r="S547" s="59">
        <v>1.3729676829222599</v>
      </c>
      <c r="X547" s="2">
        <f t="shared" si="24"/>
        <v>0.35569296942811207</v>
      </c>
      <c r="Y547" s="2">
        <f>SUMIF(收盤價!A:A,A547,收盤價!C:C)</f>
        <v>49.7</v>
      </c>
      <c r="Z547" s="2">
        <f t="shared" si="25"/>
        <v>24296029.757999998</v>
      </c>
      <c r="AA547" s="2">
        <f t="shared" si="26"/>
        <v>31593738.330000002</v>
      </c>
    </row>
    <row r="548" spans="1:27" ht="14.5" customHeight="1">
      <c r="A548" s="19" t="s">
        <v>5233</v>
      </c>
      <c r="B548" s="3" t="s">
        <v>7</v>
      </c>
      <c r="C548" s="20">
        <v>120491417</v>
      </c>
      <c r="D548" s="20">
        <v>118527273</v>
      </c>
      <c r="E548" s="56">
        <v>1.66</v>
      </c>
      <c r="F548" s="57">
        <v>5952406</v>
      </c>
      <c r="G548" s="57">
        <v>6691950</v>
      </c>
      <c r="H548" s="57">
        <v>566027</v>
      </c>
      <c r="I548" s="57">
        <v>459184</v>
      </c>
      <c r="J548" s="57">
        <v>5587210</v>
      </c>
      <c r="K548" s="57">
        <v>6041129</v>
      </c>
      <c r="L548" s="56">
        <v>-7.51</v>
      </c>
      <c r="M548" s="20">
        <v>8448562</v>
      </c>
      <c r="N548" s="56">
        <v>6.61</v>
      </c>
      <c r="O548" s="56">
        <v>7.15</v>
      </c>
      <c r="P548" s="58">
        <v>36.71</v>
      </c>
      <c r="Q548" s="59">
        <v>51.388780353011001</v>
      </c>
      <c r="R548" s="59">
        <v>1.88252038679247</v>
      </c>
      <c r="S548" s="59">
        <v>0.99449538874266796</v>
      </c>
      <c r="X548" s="2">
        <f t="shared" si="24"/>
        <v>0.48611219646989001</v>
      </c>
      <c r="Y548" s="2">
        <f>SUMIF(收盤價!A:A,A548,收盤價!C:C)</f>
        <v>86.7</v>
      </c>
      <c r="Z548" s="2">
        <f t="shared" si="25"/>
        <v>31014671.101999998</v>
      </c>
      <c r="AA548" s="2">
        <f t="shared" si="26"/>
        <v>73249032.539999992</v>
      </c>
    </row>
    <row r="549" spans="1:27" ht="14.5" customHeight="1">
      <c r="A549" s="19" t="s">
        <v>5234</v>
      </c>
      <c r="B549" s="3" t="s">
        <v>638</v>
      </c>
      <c r="C549" s="20">
        <v>1633335</v>
      </c>
      <c r="D549" s="20">
        <v>2126778</v>
      </c>
      <c r="E549" s="56">
        <v>-23.2</v>
      </c>
      <c r="F549" s="57">
        <v>-441359</v>
      </c>
      <c r="G549" s="57">
        <v>-436504</v>
      </c>
      <c r="H549" s="57">
        <v>313612</v>
      </c>
      <c r="I549" s="57">
        <v>16455</v>
      </c>
      <c r="J549" s="57">
        <v>-198146</v>
      </c>
      <c r="K549" s="57">
        <v>-426184</v>
      </c>
      <c r="L549" s="56"/>
      <c r="M549" s="20">
        <v>1624441</v>
      </c>
      <c r="N549" s="56">
        <v>-1.22</v>
      </c>
      <c r="O549" s="56">
        <v>-2.63</v>
      </c>
      <c r="P549" s="58">
        <v>8.99</v>
      </c>
      <c r="Q549" s="59">
        <v>54.821610953830699</v>
      </c>
      <c r="R549" s="59">
        <v>1.7303087482708599</v>
      </c>
      <c r="S549" s="59">
        <v>0.89959798287688597</v>
      </c>
      <c r="X549" s="2">
        <f t="shared" si="24"/>
        <v>0.45178389046169298</v>
      </c>
      <c r="Y549" s="2">
        <f>SUMIF(收盤價!A:A,A549,收盤價!C:C)</f>
        <v>4.1399999999999997</v>
      </c>
      <c r="Z549" s="2">
        <f t="shared" si="25"/>
        <v>1460372.459</v>
      </c>
      <c r="AA549" s="2">
        <f t="shared" si="26"/>
        <v>672518.57399999991</v>
      </c>
    </row>
    <row r="550" spans="1:27" ht="14.5" customHeight="1">
      <c r="A550" s="19" t="s">
        <v>5235</v>
      </c>
      <c r="B550" s="3" t="s">
        <v>3</v>
      </c>
      <c r="C550" s="20">
        <v>1029611414</v>
      </c>
      <c r="D550" s="20">
        <v>1027991038</v>
      </c>
      <c r="E550" s="56">
        <v>0.16</v>
      </c>
      <c r="F550" s="57">
        <v>18990906</v>
      </c>
      <c r="G550" s="57">
        <v>14295496</v>
      </c>
      <c r="H550" s="57">
        <v>1560715</v>
      </c>
      <c r="I550" s="57">
        <v>4880913</v>
      </c>
      <c r="J550" s="57">
        <v>15942712</v>
      </c>
      <c r="K550" s="57">
        <v>15118553</v>
      </c>
      <c r="L550" s="56">
        <v>5.45</v>
      </c>
      <c r="M550" s="20">
        <v>38626274</v>
      </c>
      <c r="N550" s="56">
        <v>4.1399999999999997</v>
      </c>
      <c r="O550" s="56">
        <v>3.92</v>
      </c>
      <c r="P550" s="58">
        <v>35.19</v>
      </c>
      <c r="Q550" s="59">
        <v>22.068966346452001</v>
      </c>
      <c r="R550" s="59">
        <v>1.24718036897291</v>
      </c>
      <c r="S550" s="59">
        <v>0.91079678064579705</v>
      </c>
      <c r="X550" s="2">
        <f t="shared" si="24"/>
        <v>0.77931033653547999</v>
      </c>
      <c r="Y550" s="2">
        <f>SUMIF(收盤價!A:A,A550,收盤價!C:C)</f>
        <v>64.3</v>
      </c>
      <c r="Z550" s="2">
        <f t="shared" si="25"/>
        <v>135925858.206</v>
      </c>
      <c r="AA550" s="2">
        <f t="shared" si="26"/>
        <v>248366941.81999999</v>
      </c>
    </row>
    <row r="551" spans="1:27" ht="14.5" customHeight="1">
      <c r="A551" s="19" t="s">
        <v>5236</v>
      </c>
      <c r="B551" s="3" t="s">
        <v>645</v>
      </c>
      <c r="C551" s="20">
        <v>12866741</v>
      </c>
      <c r="D551" s="20">
        <v>10437089</v>
      </c>
      <c r="E551" s="56">
        <v>23.28</v>
      </c>
      <c r="F551" s="57">
        <v>216884</v>
      </c>
      <c r="G551" s="57">
        <v>141662</v>
      </c>
      <c r="H551" s="57">
        <v>303519</v>
      </c>
      <c r="I551" s="57">
        <v>196525</v>
      </c>
      <c r="J551" s="57">
        <v>7744</v>
      </c>
      <c r="K551" s="57">
        <v>130354</v>
      </c>
      <c r="L551" s="56">
        <v>-94.06</v>
      </c>
      <c r="M551" s="20">
        <v>1962980</v>
      </c>
      <c r="N551" s="56">
        <v>0.04</v>
      </c>
      <c r="O551" s="56">
        <v>0.62</v>
      </c>
      <c r="P551" s="58">
        <v>32.57</v>
      </c>
      <c r="Q551" s="59">
        <v>40.3223790286876</v>
      </c>
      <c r="R551" s="59">
        <v>1.38222399658143</v>
      </c>
      <c r="S551" s="59">
        <v>0.97044265572476296</v>
      </c>
      <c r="X551" s="2">
        <f t="shared" si="24"/>
        <v>0.59677620971312395</v>
      </c>
      <c r="Y551" s="2">
        <f>SUMIF(收盤價!A:A,A551,收盤價!C:C)</f>
        <v>39</v>
      </c>
      <c r="Z551" s="2">
        <f t="shared" si="25"/>
        <v>6393425.8600000003</v>
      </c>
      <c r="AA551" s="2">
        <f t="shared" si="26"/>
        <v>7655622</v>
      </c>
    </row>
    <row r="552" spans="1:27" ht="14.5" customHeight="1">
      <c r="A552" s="19" t="s">
        <v>5237</v>
      </c>
      <c r="B552" s="3" t="s">
        <v>655</v>
      </c>
      <c r="C552" s="20">
        <v>54144662</v>
      </c>
      <c r="D552" s="20">
        <v>48726518</v>
      </c>
      <c r="E552" s="56">
        <v>11.12</v>
      </c>
      <c r="F552" s="57">
        <v>9233502</v>
      </c>
      <c r="G552" s="57">
        <v>7459625</v>
      </c>
      <c r="H552" s="57">
        <v>74378</v>
      </c>
      <c r="I552" s="57">
        <v>527090</v>
      </c>
      <c r="J552" s="57">
        <v>7351220</v>
      </c>
      <c r="K552" s="57">
        <v>6289993</v>
      </c>
      <c r="L552" s="56">
        <v>16.87</v>
      </c>
      <c r="M552" s="20">
        <v>7004100</v>
      </c>
      <c r="N552" s="56">
        <v>10.51</v>
      </c>
      <c r="O552" s="56">
        <v>9.01</v>
      </c>
      <c r="P552" s="58">
        <v>46.02</v>
      </c>
      <c r="Q552" s="59">
        <v>68.272585701154895</v>
      </c>
      <c r="R552" s="59">
        <v>2.3393218316247499</v>
      </c>
      <c r="S552" s="59">
        <v>1.5910552875237001</v>
      </c>
      <c r="X552" s="2">
        <f t="shared" si="24"/>
        <v>0.31727414298845102</v>
      </c>
      <c r="Y552" s="2">
        <f>SUMIF(收盤價!A:A,A552,收盤價!C:C)</f>
        <v>302</v>
      </c>
      <c r="Z552" s="2">
        <f t="shared" si="25"/>
        <v>32232868.199999999</v>
      </c>
      <c r="AA552" s="2">
        <f t="shared" si="26"/>
        <v>211523820</v>
      </c>
    </row>
    <row r="553" spans="1:27" ht="14.5" customHeight="1">
      <c r="A553" s="19" t="s">
        <v>5238</v>
      </c>
      <c r="B553" s="3" t="s">
        <v>657</v>
      </c>
      <c r="C553" s="20">
        <v>7031784</v>
      </c>
      <c r="D553" s="20">
        <v>5211122</v>
      </c>
      <c r="E553" s="56">
        <v>34.94</v>
      </c>
      <c r="F553" s="57">
        <v>786751</v>
      </c>
      <c r="G553" s="57">
        <v>781647</v>
      </c>
      <c r="H553" s="57">
        <v>4486</v>
      </c>
      <c r="I553" s="57">
        <v>8523</v>
      </c>
      <c r="J553" s="57">
        <v>630936</v>
      </c>
      <c r="K553" s="57">
        <v>605337</v>
      </c>
      <c r="L553" s="56">
        <v>4.2300000000000004</v>
      </c>
      <c r="M553" s="20">
        <v>1146889</v>
      </c>
      <c r="N553" s="56">
        <v>5.51</v>
      </c>
      <c r="O553" s="56">
        <v>5.28</v>
      </c>
      <c r="P553" s="58">
        <v>27.91</v>
      </c>
      <c r="Q553" s="59">
        <v>37.904445821279602</v>
      </c>
      <c r="R553" s="59">
        <v>1.98671565007281</v>
      </c>
      <c r="S553" s="59">
        <v>1.36388006416527</v>
      </c>
      <c r="X553" s="2">
        <f t="shared" si="24"/>
        <v>0.62095554178720402</v>
      </c>
      <c r="Y553" s="2">
        <f>SUMIF(收盤價!A:A,A553,收盤價!C:C)</f>
        <v>83.9</v>
      </c>
      <c r="Z553" s="2">
        <f t="shared" si="25"/>
        <v>3200967.199</v>
      </c>
      <c r="AA553" s="2">
        <f t="shared" si="26"/>
        <v>9622398.7100000009</v>
      </c>
    </row>
    <row r="554" spans="1:27" ht="14.5" customHeight="1">
      <c r="A554" s="19" t="s">
        <v>5239</v>
      </c>
      <c r="B554" s="3" t="s">
        <v>659</v>
      </c>
      <c r="C554" s="20">
        <v>2279734</v>
      </c>
      <c r="D554" s="20">
        <v>3040055</v>
      </c>
      <c r="E554" s="56">
        <v>-25.01</v>
      </c>
      <c r="F554" s="57">
        <v>-78592</v>
      </c>
      <c r="G554" s="57">
        <v>-64376</v>
      </c>
      <c r="H554" s="57">
        <v>144856</v>
      </c>
      <c r="I554" s="57">
        <v>-134802</v>
      </c>
      <c r="J554" s="57">
        <v>7420</v>
      </c>
      <c r="K554" s="57">
        <v>-243252</v>
      </c>
      <c r="L554" s="56"/>
      <c r="M554" s="20">
        <v>1781000</v>
      </c>
      <c r="N554" s="56">
        <v>0.04</v>
      </c>
      <c r="O554" s="56">
        <v>-1.37</v>
      </c>
      <c r="P554" s="58">
        <v>11.23</v>
      </c>
      <c r="Q554" s="59">
        <v>64.206621810757696</v>
      </c>
      <c r="R554" s="59">
        <v>2.6968096121910698</v>
      </c>
      <c r="S554" s="59">
        <v>1.76521246458924</v>
      </c>
      <c r="X554" s="2">
        <f t="shared" si="24"/>
        <v>0.35793378189242303</v>
      </c>
      <c r="Y554" s="2">
        <f>SUMIF(收盤價!A:A,A554,收盤價!C:C)</f>
        <v>12.1</v>
      </c>
      <c r="Z554" s="2">
        <f t="shared" si="25"/>
        <v>2000063</v>
      </c>
      <c r="AA554" s="2">
        <f t="shared" si="26"/>
        <v>2155010</v>
      </c>
    </row>
    <row r="555" spans="1:27" ht="14.5" customHeight="1">
      <c r="A555" s="19" t="s">
        <v>5240</v>
      </c>
      <c r="B555" s="3" t="s">
        <v>667</v>
      </c>
      <c r="C555" s="20">
        <v>3175090</v>
      </c>
      <c r="D555" s="20">
        <v>4204530</v>
      </c>
      <c r="E555" s="56">
        <v>-24.48</v>
      </c>
      <c r="F555" s="57">
        <v>9792</v>
      </c>
      <c r="G555" s="57">
        <v>-172672</v>
      </c>
      <c r="H555" s="57">
        <v>24785</v>
      </c>
      <c r="I555" s="57">
        <v>-2089</v>
      </c>
      <c r="J555" s="57">
        <v>4009</v>
      </c>
      <c r="K555" s="57">
        <v>-135832</v>
      </c>
      <c r="L555" s="56"/>
      <c r="M555" s="20">
        <v>3434273</v>
      </c>
      <c r="N555" s="56">
        <v>0.01</v>
      </c>
      <c r="O555" s="56">
        <v>-0.4</v>
      </c>
      <c r="P555" s="58">
        <v>9.74</v>
      </c>
      <c r="Q555" s="59">
        <v>75.056079071093393</v>
      </c>
      <c r="R555" s="59">
        <v>3.5628274493965901</v>
      </c>
      <c r="S555" s="59">
        <v>2.5883135681567602</v>
      </c>
      <c r="X555" s="2">
        <f t="shared" si="24"/>
        <v>0.24943920928906607</v>
      </c>
      <c r="Y555" s="2">
        <f>SUMIF(收盤價!A:A,A555,收盤價!C:C)</f>
        <v>12.2</v>
      </c>
      <c r="Z555" s="2">
        <f t="shared" si="25"/>
        <v>3344981.9019999998</v>
      </c>
      <c r="AA555" s="2">
        <f t="shared" si="26"/>
        <v>4189813.0599999996</v>
      </c>
    </row>
    <row r="556" spans="1:27" ht="14.5" customHeight="1">
      <c r="A556" s="21" t="s">
        <v>5241</v>
      </c>
      <c r="B556" s="22" t="s">
        <v>683</v>
      </c>
      <c r="C556" s="23">
        <v>2947147</v>
      </c>
      <c r="D556" s="23">
        <v>2801134</v>
      </c>
      <c r="E556" s="60">
        <v>5.21</v>
      </c>
      <c r="F556" s="61">
        <v>13025</v>
      </c>
      <c r="G556" s="61">
        <v>-303</v>
      </c>
      <c r="H556" s="61">
        <v>34386</v>
      </c>
      <c r="I556" s="61">
        <v>43655</v>
      </c>
      <c r="J556" s="61">
        <v>3578</v>
      </c>
      <c r="K556" s="61">
        <v>5119</v>
      </c>
      <c r="L556" s="60">
        <v>-30.1</v>
      </c>
      <c r="M556" s="23">
        <v>1928923</v>
      </c>
      <c r="N556" s="60">
        <v>0.02</v>
      </c>
      <c r="O556" s="60">
        <v>0.03</v>
      </c>
      <c r="P556" s="62">
        <v>14.65</v>
      </c>
      <c r="Q556" s="63">
        <v>58.234118706492197</v>
      </c>
      <c r="R556" s="63">
        <v>3.8653845337108499</v>
      </c>
      <c r="S556" s="63">
        <v>3.0243355158379099</v>
      </c>
      <c r="X556" s="2">
        <f t="shared" si="24"/>
        <v>0.41765881293507801</v>
      </c>
      <c r="Y556" s="2">
        <f>SUMIF(收盤價!A:A,A556,收盤價!C:C)</f>
        <v>10.35</v>
      </c>
      <c r="Z556" s="2">
        <f t="shared" si="25"/>
        <v>2825872.1949999998</v>
      </c>
      <c r="AA556" s="2">
        <f t="shared" si="26"/>
        <v>1996435.3050000002</v>
      </c>
    </row>
    <row r="557" spans="1:27" ht="14.5" customHeight="1">
      <c r="A557" s="24" t="s">
        <v>5242</v>
      </c>
      <c r="B557" s="25" t="s">
        <v>693</v>
      </c>
      <c r="C557" s="26">
        <v>22860</v>
      </c>
      <c r="D557" s="26">
        <v>2682</v>
      </c>
      <c r="E557" s="64">
        <v>752.35</v>
      </c>
      <c r="F557" s="65">
        <v>-109717</v>
      </c>
      <c r="G557" s="65">
        <v>-48763</v>
      </c>
      <c r="H557" s="65">
        <v>698</v>
      </c>
      <c r="I557" s="65">
        <v>7466</v>
      </c>
      <c r="J557" s="65">
        <v>-109019</v>
      </c>
      <c r="K557" s="65">
        <v>-41310</v>
      </c>
      <c r="L557" s="64"/>
      <c r="M557" s="26">
        <v>300000</v>
      </c>
      <c r="N557" s="64">
        <v>-3.63</v>
      </c>
      <c r="O557" s="64">
        <v>-1.38</v>
      </c>
      <c r="P557" s="66">
        <v>8.26</v>
      </c>
      <c r="Q557" s="67">
        <v>40.744505187261097</v>
      </c>
      <c r="R557" s="67">
        <v>0.419567050885578</v>
      </c>
      <c r="S557" s="67">
        <v>0.22528972604879299</v>
      </c>
      <c r="X557" s="2">
        <f t="shared" si="24"/>
        <v>0.59255494812738907</v>
      </c>
      <c r="Y557" s="2">
        <f>SUMIF(收盤價!A:A,A557,收盤價!C:C)</f>
        <v>28.9</v>
      </c>
      <c r="Z557" s="2">
        <f t="shared" si="25"/>
        <v>247800</v>
      </c>
      <c r="AA557" s="2">
        <f t="shared" si="26"/>
        <v>867000</v>
      </c>
    </row>
    <row r="558" spans="1:27" ht="14.5" customHeight="1">
      <c r="A558" s="19" t="s">
        <v>5243</v>
      </c>
      <c r="B558" s="3" t="s">
        <v>695</v>
      </c>
      <c r="C558" s="20">
        <v>4738182</v>
      </c>
      <c r="D558" s="20">
        <v>4050310</v>
      </c>
      <c r="E558" s="56">
        <v>16.98</v>
      </c>
      <c r="F558" s="57">
        <v>132133</v>
      </c>
      <c r="G558" s="57">
        <v>267295</v>
      </c>
      <c r="H558" s="57">
        <v>19772</v>
      </c>
      <c r="I558" s="57">
        <v>39808</v>
      </c>
      <c r="J558" s="57">
        <v>106942</v>
      </c>
      <c r="K558" s="57">
        <v>244304</v>
      </c>
      <c r="L558" s="56">
        <v>-56.23</v>
      </c>
      <c r="M558" s="20">
        <v>1014988</v>
      </c>
      <c r="N558" s="56">
        <v>1.06</v>
      </c>
      <c r="O558" s="56">
        <v>2.39</v>
      </c>
      <c r="P558" s="58">
        <v>16.079999999999998</v>
      </c>
      <c r="Q558" s="59">
        <v>65.167837790742794</v>
      </c>
      <c r="R558" s="59">
        <v>3.0272893789780002</v>
      </c>
      <c r="S558" s="59">
        <v>2.30382503080985</v>
      </c>
      <c r="X558" s="2">
        <f t="shared" si="24"/>
        <v>0.34832162209257206</v>
      </c>
      <c r="Y558" s="2">
        <f>SUMIF(收盤價!A:A,A558,收盤價!C:C)</f>
        <v>30.55</v>
      </c>
      <c r="Z558" s="2">
        <f t="shared" si="25"/>
        <v>1632100.7039999999</v>
      </c>
      <c r="AA558" s="2">
        <f t="shared" si="26"/>
        <v>3100788.3400000003</v>
      </c>
    </row>
    <row r="559" spans="1:27" ht="14.5" customHeight="1">
      <c r="A559" s="19" t="s">
        <v>5244</v>
      </c>
      <c r="B559" s="3" t="s">
        <v>723</v>
      </c>
      <c r="C559" s="20">
        <v>4936941</v>
      </c>
      <c r="D559" s="20">
        <v>6127933</v>
      </c>
      <c r="E559" s="56">
        <v>-19.440000000000001</v>
      </c>
      <c r="F559" s="57">
        <v>7225</v>
      </c>
      <c r="G559" s="57">
        <v>850975</v>
      </c>
      <c r="H559" s="57">
        <v>397559</v>
      </c>
      <c r="I559" s="57">
        <v>-6465</v>
      </c>
      <c r="J559" s="57">
        <v>186012</v>
      </c>
      <c r="K559" s="57">
        <v>823834</v>
      </c>
      <c r="L559" s="56">
        <v>-77.42</v>
      </c>
      <c r="M559" s="20">
        <v>2636343</v>
      </c>
      <c r="N559" s="56">
        <v>0.71</v>
      </c>
      <c r="O559" s="56">
        <v>3.14</v>
      </c>
      <c r="P559" s="58">
        <v>12.97</v>
      </c>
      <c r="Q559" s="59">
        <v>24.825954810623699</v>
      </c>
      <c r="R559" s="59">
        <v>1.5365909969281799</v>
      </c>
      <c r="S559" s="59">
        <v>0.47609801146157099</v>
      </c>
      <c r="X559" s="2">
        <f t="shared" si="24"/>
        <v>0.75174045189376304</v>
      </c>
      <c r="Y559" s="2">
        <f>SUMIF(收盤價!A:A,A559,收盤價!C:C)</f>
        <v>11.15</v>
      </c>
      <c r="Z559" s="2">
        <f t="shared" si="25"/>
        <v>3419336.8710000003</v>
      </c>
      <c r="AA559" s="2">
        <f t="shared" si="26"/>
        <v>2939522.4449999998</v>
      </c>
    </row>
    <row r="560" spans="1:27" ht="14.5" customHeight="1">
      <c r="A560" s="19" t="s">
        <v>5245</v>
      </c>
      <c r="B560" s="3" t="s">
        <v>759</v>
      </c>
      <c r="C560" s="20">
        <v>3639860</v>
      </c>
      <c r="D560" s="20">
        <v>3329161</v>
      </c>
      <c r="E560" s="56">
        <v>9.33</v>
      </c>
      <c r="F560" s="57">
        <v>13550</v>
      </c>
      <c r="G560" s="57">
        <v>-13565</v>
      </c>
      <c r="H560" s="57">
        <v>-17942</v>
      </c>
      <c r="I560" s="57">
        <v>-52971</v>
      </c>
      <c r="J560" s="57">
        <v>-19311</v>
      </c>
      <c r="K560" s="57">
        <v>-60175</v>
      </c>
      <c r="L560" s="56"/>
      <c r="M560" s="20">
        <v>535873</v>
      </c>
      <c r="N560" s="56">
        <v>-0.36</v>
      </c>
      <c r="O560" s="56">
        <v>-1.1200000000000001</v>
      </c>
      <c r="P560" s="58">
        <v>5.83</v>
      </c>
      <c r="Q560" s="59">
        <v>22.9063146618141</v>
      </c>
      <c r="R560" s="59">
        <v>1.0752906453440301</v>
      </c>
      <c r="S560" s="59">
        <v>0.463689037196298</v>
      </c>
      <c r="X560" s="2">
        <f t="shared" si="24"/>
        <v>0.77093685338185902</v>
      </c>
      <c r="Y560" s="2">
        <f>SUMIF(收盤價!A:A,A560,收盤價!C:C)</f>
        <v>11.1</v>
      </c>
      <c r="Z560" s="2">
        <f t="shared" si="25"/>
        <v>312413.95899999997</v>
      </c>
      <c r="AA560" s="2">
        <f t="shared" si="26"/>
        <v>594819.03</v>
      </c>
    </row>
    <row r="561" spans="1:27" ht="14.5" customHeight="1">
      <c r="A561" s="19" t="s">
        <v>5246</v>
      </c>
      <c r="B561" s="3" t="s">
        <v>1033</v>
      </c>
      <c r="C561" s="20">
        <v>684216</v>
      </c>
      <c r="D561" s="20">
        <v>612158</v>
      </c>
      <c r="E561" s="56">
        <v>11.77</v>
      </c>
      <c r="F561" s="57">
        <v>18694</v>
      </c>
      <c r="G561" s="57">
        <v>-3088</v>
      </c>
      <c r="H561" s="57">
        <v>57197</v>
      </c>
      <c r="I561" s="57">
        <v>18173</v>
      </c>
      <c r="J561" s="57">
        <v>65440</v>
      </c>
      <c r="K561" s="57">
        <v>-28293</v>
      </c>
      <c r="L561" s="56"/>
      <c r="M561" s="20">
        <v>1020000</v>
      </c>
      <c r="N561" s="56">
        <v>0.64</v>
      </c>
      <c r="O561" s="56">
        <v>-0.28000000000000003</v>
      </c>
      <c r="P561" s="58">
        <v>12.51</v>
      </c>
      <c r="Q561" s="59">
        <v>66.204392777861102</v>
      </c>
      <c r="R561" s="59">
        <v>8.4409022270562506</v>
      </c>
      <c r="S561" s="59">
        <v>2.97907580861466</v>
      </c>
      <c r="X561" s="2">
        <f t="shared" si="24"/>
        <v>0.33795607222138896</v>
      </c>
      <c r="Y561" s="2">
        <f>SUMIF(收盤價!A:A,A561,收盤價!C:C)</f>
        <v>11.7</v>
      </c>
      <c r="Z561" s="2">
        <f t="shared" si="25"/>
        <v>1276020</v>
      </c>
      <c r="AA561" s="2">
        <f t="shared" si="26"/>
        <v>1193400</v>
      </c>
    </row>
    <row r="562" spans="1:27" ht="14.5" customHeight="1">
      <c r="A562" s="19" t="s">
        <v>5247</v>
      </c>
      <c r="B562" s="3" t="s">
        <v>1039</v>
      </c>
      <c r="C562" s="20">
        <v>26952910</v>
      </c>
      <c r="D562" s="20">
        <v>24693836</v>
      </c>
      <c r="E562" s="56">
        <v>9.15</v>
      </c>
      <c r="F562" s="57">
        <v>2975816</v>
      </c>
      <c r="G562" s="57">
        <v>2652222</v>
      </c>
      <c r="H562" s="57">
        <v>-28441</v>
      </c>
      <c r="I562" s="57">
        <v>374650</v>
      </c>
      <c r="J562" s="57">
        <v>2129188</v>
      </c>
      <c r="K562" s="57">
        <v>2212459</v>
      </c>
      <c r="L562" s="56">
        <v>-3.76</v>
      </c>
      <c r="M562" s="20">
        <v>5830022</v>
      </c>
      <c r="N562" s="56">
        <v>3.67</v>
      </c>
      <c r="O562" s="56">
        <v>3.83</v>
      </c>
      <c r="P562" s="58">
        <v>25.69</v>
      </c>
      <c r="Q562" s="59">
        <v>48.931417185832501</v>
      </c>
      <c r="R562" s="59">
        <v>1.7948821837027</v>
      </c>
      <c r="S562" s="59">
        <v>1.15214929080274</v>
      </c>
      <c r="X562" s="2">
        <f t="shared" si="24"/>
        <v>0.51068582814167496</v>
      </c>
      <c r="Y562" s="2">
        <f>SUMIF(收盤價!A:A,A562,收盤價!C:C)</f>
        <v>46.7</v>
      </c>
      <c r="Z562" s="2">
        <f t="shared" si="25"/>
        <v>14977326.518000001</v>
      </c>
      <c r="AA562" s="2">
        <f t="shared" si="26"/>
        <v>27226202.740000002</v>
      </c>
    </row>
    <row r="563" spans="1:27" ht="14.5" customHeight="1">
      <c r="A563" s="19" t="s">
        <v>5248</v>
      </c>
      <c r="B563" s="3" t="s">
        <v>1049</v>
      </c>
      <c r="C563" s="20">
        <v>6028702</v>
      </c>
      <c r="D563" s="20">
        <v>6186402</v>
      </c>
      <c r="E563" s="56">
        <v>-2.5499999999999998</v>
      </c>
      <c r="F563" s="57">
        <v>185813</v>
      </c>
      <c r="G563" s="57">
        <v>98852</v>
      </c>
      <c r="H563" s="57">
        <v>26626</v>
      </c>
      <c r="I563" s="57">
        <v>86415</v>
      </c>
      <c r="J563" s="57">
        <v>132900</v>
      </c>
      <c r="K563" s="57">
        <v>110051</v>
      </c>
      <c r="L563" s="56">
        <v>20.76</v>
      </c>
      <c r="M563" s="20">
        <v>1629350</v>
      </c>
      <c r="N563" s="56">
        <v>0.82</v>
      </c>
      <c r="O563" s="56">
        <v>0.65</v>
      </c>
      <c r="P563" s="58">
        <v>14.54</v>
      </c>
      <c r="Q563" s="59">
        <v>46.952907998111399</v>
      </c>
      <c r="R563" s="59">
        <v>1.6396208730731401</v>
      </c>
      <c r="S563" s="59">
        <v>1.14092701968175</v>
      </c>
      <c r="X563" s="2">
        <f t="shared" si="24"/>
        <v>0.53047092001888596</v>
      </c>
      <c r="Y563" s="2">
        <f>SUMIF(收盤價!A:A,A563,收盤價!C:C)</f>
        <v>14.45</v>
      </c>
      <c r="Z563" s="2">
        <f t="shared" si="25"/>
        <v>2369074.9</v>
      </c>
      <c r="AA563" s="2">
        <f t="shared" si="26"/>
        <v>2354410.75</v>
      </c>
    </row>
    <row r="564" spans="1:27" ht="14.5" customHeight="1">
      <c r="A564" s="19" t="s">
        <v>5249</v>
      </c>
      <c r="B564" s="3" t="s">
        <v>1057</v>
      </c>
      <c r="C564" s="20">
        <v>36534445</v>
      </c>
      <c r="D564" s="20">
        <v>29066591</v>
      </c>
      <c r="E564" s="56">
        <v>25.69</v>
      </c>
      <c r="F564" s="57">
        <v>1259296</v>
      </c>
      <c r="G564" s="57">
        <v>719339</v>
      </c>
      <c r="H564" s="57">
        <v>234533</v>
      </c>
      <c r="I564" s="57">
        <v>312023</v>
      </c>
      <c r="J564" s="57">
        <v>957969</v>
      </c>
      <c r="K564" s="57">
        <v>711261</v>
      </c>
      <c r="L564" s="56">
        <v>34.69</v>
      </c>
      <c r="M564" s="20">
        <v>3533101</v>
      </c>
      <c r="N564" s="56">
        <v>2.71</v>
      </c>
      <c r="O564" s="56">
        <v>2.0099999999999998</v>
      </c>
      <c r="P564" s="58">
        <v>25.41</v>
      </c>
      <c r="Q564" s="59">
        <v>25.242706241986699</v>
      </c>
      <c r="R564" s="59">
        <v>1.25850112257278</v>
      </c>
      <c r="S564" s="59">
        <v>0.78310768775946105</v>
      </c>
      <c r="X564" s="2">
        <f t="shared" si="24"/>
        <v>0.74757293758013299</v>
      </c>
      <c r="Y564" s="2">
        <f>SUMIF(收盤價!A:A,A564,收盤價!C:C)</f>
        <v>41.65</v>
      </c>
      <c r="Z564" s="2">
        <f t="shared" si="25"/>
        <v>8977609.6409999989</v>
      </c>
      <c r="AA564" s="2">
        <f t="shared" si="26"/>
        <v>14715365.665000001</v>
      </c>
    </row>
    <row r="565" spans="1:27" ht="14.5" customHeight="1">
      <c r="A565" s="19" t="s">
        <v>5250</v>
      </c>
      <c r="B565" s="3" t="s">
        <v>1065</v>
      </c>
      <c r="C565" s="20">
        <v>5606591</v>
      </c>
      <c r="D565" s="20">
        <v>6185745</v>
      </c>
      <c r="E565" s="56">
        <v>-9.36</v>
      </c>
      <c r="F565" s="57">
        <v>654897</v>
      </c>
      <c r="G565" s="57">
        <v>686979</v>
      </c>
      <c r="H565" s="57">
        <v>263112</v>
      </c>
      <c r="I565" s="57">
        <v>646968</v>
      </c>
      <c r="J565" s="57">
        <v>674064</v>
      </c>
      <c r="K565" s="57">
        <v>897918</v>
      </c>
      <c r="L565" s="56">
        <v>-24.93</v>
      </c>
      <c r="M565" s="20">
        <v>1772898</v>
      </c>
      <c r="N565" s="56">
        <v>2.82</v>
      </c>
      <c r="O565" s="56">
        <v>2.87</v>
      </c>
      <c r="P565" s="58">
        <v>38.25</v>
      </c>
      <c r="Q565" s="59">
        <v>71.563280158786995</v>
      </c>
      <c r="R565" s="59">
        <v>3.260731508288</v>
      </c>
      <c r="S565" s="59">
        <v>2.1221686646481901</v>
      </c>
      <c r="X565" s="2">
        <f t="shared" si="24"/>
        <v>0.28436719841213004</v>
      </c>
      <c r="Y565" s="2">
        <f>SUMIF(收盤價!A:A,A565,收盤價!C:C)</f>
        <v>52.9</v>
      </c>
      <c r="Z565" s="2">
        <f t="shared" si="25"/>
        <v>6781334.8499999996</v>
      </c>
      <c r="AA565" s="2">
        <f t="shared" si="26"/>
        <v>9378630.4199999999</v>
      </c>
    </row>
    <row r="566" spans="1:27" ht="14.5" customHeight="1">
      <c r="A566" s="19" t="s">
        <v>5251</v>
      </c>
      <c r="B566" s="3" t="s">
        <v>1111</v>
      </c>
      <c r="C566" s="20">
        <v>1724976</v>
      </c>
      <c r="D566" s="20">
        <v>1703858</v>
      </c>
      <c r="E566" s="56">
        <v>1.24</v>
      </c>
      <c r="F566" s="57">
        <v>-107817</v>
      </c>
      <c r="G566" s="57">
        <v>-11295</v>
      </c>
      <c r="H566" s="57">
        <v>-53135</v>
      </c>
      <c r="I566" s="57">
        <v>20519</v>
      </c>
      <c r="J566" s="57">
        <v>-167582</v>
      </c>
      <c r="K566" s="57">
        <v>-13453</v>
      </c>
      <c r="L566" s="56"/>
      <c r="M566" s="20">
        <v>714480</v>
      </c>
      <c r="N566" s="56">
        <v>-2.35</v>
      </c>
      <c r="O566" s="56">
        <v>-0.19</v>
      </c>
      <c r="P566" s="58">
        <v>8.0500000000000007</v>
      </c>
      <c r="Q566" s="59">
        <v>40.8929729637468</v>
      </c>
      <c r="R566" s="59">
        <v>1.39830642263355</v>
      </c>
      <c r="S566" s="59">
        <v>0.85494383559790199</v>
      </c>
      <c r="X566" s="2">
        <f t="shared" si="24"/>
        <v>0.59107027036253201</v>
      </c>
      <c r="Y566" s="2">
        <f>SUMIF(收盤價!A:A,A566,收盤價!C:C)</f>
        <v>16.45</v>
      </c>
      <c r="Z566" s="2">
        <f t="shared" si="25"/>
        <v>575156.40000000014</v>
      </c>
      <c r="AA566" s="2">
        <f t="shared" si="26"/>
        <v>1175319.6000000001</v>
      </c>
    </row>
    <row r="567" spans="1:27" ht="14.5" customHeight="1">
      <c r="A567" s="19" t="s">
        <v>5252</v>
      </c>
      <c r="B567" s="3" t="s">
        <v>1131</v>
      </c>
      <c r="C567" s="20">
        <v>1245515</v>
      </c>
      <c r="D567" s="20">
        <v>1829387</v>
      </c>
      <c r="E567" s="56">
        <v>-31.92</v>
      </c>
      <c r="F567" s="57">
        <v>-281816</v>
      </c>
      <c r="G567" s="57">
        <v>-24892</v>
      </c>
      <c r="H567" s="57">
        <v>-25142</v>
      </c>
      <c r="I567" s="57">
        <v>-23414</v>
      </c>
      <c r="J567" s="57">
        <v>-326583</v>
      </c>
      <c r="K567" s="57">
        <v>-64002</v>
      </c>
      <c r="L567" s="56"/>
      <c r="M567" s="20">
        <v>1614092</v>
      </c>
      <c r="N567" s="56">
        <v>-2.02</v>
      </c>
      <c r="O567" s="56">
        <v>-0.4</v>
      </c>
      <c r="P567" s="58">
        <v>5.31</v>
      </c>
      <c r="Q567" s="59">
        <v>45.1028799214548</v>
      </c>
      <c r="R567" s="59">
        <v>1.6908931083804799</v>
      </c>
      <c r="S567" s="59">
        <v>0.788972097824993</v>
      </c>
      <c r="X567" s="2">
        <f t="shared" si="24"/>
        <v>0.54897120078545203</v>
      </c>
      <c r="Y567" s="2">
        <f>SUMIF(收盤價!A:A,A567,收盤價!C:C)</f>
        <v>7.58</v>
      </c>
      <c r="Z567" s="2">
        <f t="shared" si="25"/>
        <v>857082.85199999996</v>
      </c>
      <c r="AA567" s="2">
        <f t="shared" si="26"/>
        <v>1223481.736</v>
      </c>
    </row>
    <row r="568" spans="1:27" ht="14.5" customHeight="1">
      <c r="A568" s="19" t="s">
        <v>5253</v>
      </c>
      <c r="B568" s="3" t="s">
        <v>1137</v>
      </c>
      <c r="C568" s="20">
        <v>5404679</v>
      </c>
      <c r="D568" s="20">
        <v>6786263</v>
      </c>
      <c r="E568" s="56">
        <v>-20.36</v>
      </c>
      <c r="F568" s="57">
        <v>-493364</v>
      </c>
      <c r="G568" s="57">
        <v>-389567</v>
      </c>
      <c r="H568" s="57">
        <v>-73070</v>
      </c>
      <c r="I568" s="57">
        <v>48714</v>
      </c>
      <c r="J568" s="57">
        <v>-366588</v>
      </c>
      <c r="K568" s="57">
        <v>-329218</v>
      </c>
      <c r="L568" s="56"/>
      <c r="M568" s="20">
        <v>1393616</v>
      </c>
      <c r="N568" s="56">
        <v>-2.66</v>
      </c>
      <c r="O568" s="56">
        <v>-2.39</v>
      </c>
      <c r="P568" s="58">
        <v>22.95</v>
      </c>
      <c r="Q568" s="59">
        <v>58.102578258709201</v>
      </c>
      <c r="R568" s="59">
        <v>1.7477439819160301</v>
      </c>
      <c r="S568" s="59">
        <v>1.0802422053849099</v>
      </c>
      <c r="X568" s="2">
        <f t="shared" si="24"/>
        <v>0.41897421741290797</v>
      </c>
      <c r="Y568" s="2">
        <f>SUMIF(收盤價!A:A,A568,收盤價!C:C)</f>
        <v>13.5</v>
      </c>
      <c r="Z568" s="2">
        <f t="shared" si="25"/>
        <v>3198348.7199999997</v>
      </c>
      <c r="AA568" s="2">
        <f t="shared" si="26"/>
        <v>1881381.6</v>
      </c>
    </row>
    <row r="569" spans="1:27" ht="14.5" customHeight="1">
      <c r="A569" s="19" t="s">
        <v>5254</v>
      </c>
      <c r="B569" s="3" t="s">
        <v>6</v>
      </c>
      <c r="C569" s="20">
        <v>878255078</v>
      </c>
      <c r="D569" s="20">
        <v>889536347</v>
      </c>
      <c r="E569" s="56">
        <v>-1.27</v>
      </c>
      <c r="F569" s="57">
        <v>13299845</v>
      </c>
      <c r="G569" s="57">
        <v>10766016</v>
      </c>
      <c r="H569" s="57">
        <v>-523779</v>
      </c>
      <c r="I569" s="57">
        <v>-1107178</v>
      </c>
      <c r="J569" s="57">
        <v>6800768</v>
      </c>
      <c r="K569" s="57">
        <v>4908472</v>
      </c>
      <c r="L569" s="56">
        <v>38.549999999999997</v>
      </c>
      <c r="M569" s="20">
        <v>28406121</v>
      </c>
      <c r="N569" s="56">
        <v>2.4</v>
      </c>
      <c r="O569" s="56">
        <v>1.76</v>
      </c>
      <c r="P569" s="58">
        <v>26.03</v>
      </c>
      <c r="Q569" s="59">
        <v>21.4862489020345</v>
      </c>
      <c r="R569" s="59">
        <v>1.1666553069447601</v>
      </c>
      <c r="S569" s="59">
        <v>0.75068792725014499</v>
      </c>
      <c r="X569" s="2">
        <f t="shared" si="24"/>
        <v>0.78513751097965501</v>
      </c>
      <c r="Y569" s="2">
        <f>SUMIF(收盤價!A:A,A569,收盤價!C:C)</f>
        <v>28.35</v>
      </c>
      <c r="Z569" s="2">
        <f t="shared" si="25"/>
        <v>73941132.963</v>
      </c>
      <c r="AA569" s="2">
        <f t="shared" si="26"/>
        <v>80531353.034999996</v>
      </c>
    </row>
    <row r="570" spans="1:27" ht="14.5" customHeight="1">
      <c r="A570" s="19" t="s">
        <v>5255</v>
      </c>
      <c r="B570" s="3" t="s">
        <v>1190</v>
      </c>
      <c r="C570" s="20">
        <v>1665595</v>
      </c>
      <c r="D570" s="20">
        <v>1565353</v>
      </c>
      <c r="E570" s="56">
        <v>6.4</v>
      </c>
      <c r="F570" s="57">
        <v>271920</v>
      </c>
      <c r="G570" s="57">
        <v>202631</v>
      </c>
      <c r="H570" s="57">
        <v>15378</v>
      </c>
      <c r="I570" s="57">
        <v>39208</v>
      </c>
      <c r="J570" s="57">
        <v>241211</v>
      </c>
      <c r="K570" s="57">
        <v>205026</v>
      </c>
      <c r="L570" s="56">
        <v>17.649999999999999</v>
      </c>
      <c r="M570" s="20">
        <v>721880</v>
      </c>
      <c r="N570" s="56">
        <v>3.34</v>
      </c>
      <c r="O570" s="56">
        <v>2.84</v>
      </c>
      <c r="P570" s="58">
        <v>29.91</v>
      </c>
      <c r="Q570" s="59">
        <v>86.875857029736096</v>
      </c>
      <c r="R570" s="59">
        <v>4.6222468291999999</v>
      </c>
      <c r="S570" s="59">
        <v>2.1854973685382801</v>
      </c>
      <c r="X570" s="2">
        <f t="shared" si="24"/>
        <v>0.13124142970263905</v>
      </c>
      <c r="Y570" s="2">
        <f>SUMIF(收盤價!A:A,A570,收盤價!C:C)</f>
        <v>55</v>
      </c>
      <c r="Z570" s="2">
        <f t="shared" si="25"/>
        <v>2159143.08</v>
      </c>
      <c r="AA570" s="2">
        <f t="shared" si="26"/>
        <v>3970340</v>
      </c>
    </row>
    <row r="571" spans="1:27" ht="14.5" customHeight="1">
      <c r="A571" s="19" t="s">
        <v>5256</v>
      </c>
      <c r="B571" s="3" t="s">
        <v>1206</v>
      </c>
      <c r="C571" s="20">
        <v>985758</v>
      </c>
      <c r="D571" s="20">
        <v>1225841</v>
      </c>
      <c r="E571" s="56">
        <v>-19.59</v>
      </c>
      <c r="F571" s="57">
        <v>-452913</v>
      </c>
      <c r="G571" s="57">
        <v>-326454</v>
      </c>
      <c r="H571" s="57">
        <v>57160</v>
      </c>
      <c r="I571" s="57">
        <v>-90955</v>
      </c>
      <c r="J571" s="57">
        <v>-331561</v>
      </c>
      <c r="K571" s="57">
        <v>-287246</v>
      </c>
      <c r="L571" s="56"/>
      <c r="M571" s="20">
        <v>1794506</v>
      </c>
      <c r="N571" s="56">
        <v>-1.85</v>
      </c>
      <c r="O571" s="56">
        <v>-1.6</v>
      </c>
      <c r="P571" s="58">
        <v>7.18</v>
      </c>
      <c r="Q571" s="59">
        <v>36.285103338717903</v>
      </c>
      <c r="R571" s="59">
        <v>1.0418950723164999</v>
      </c>
      <c r="S571" s="59">
        <v>0.43231389707101903</v>
      </c>
      <c r="X571" s="2">
        <f t="shared" si="24"/>
        <v>0.63714896661282094</v>
      </c>
      <c r="Y571" s="2">
        <f>SUMIF(收盤價!A:A,A571,收盤價!C:C)</f>
        <v>5.16</v>
      </c>
      <c r="Z571" s="2">
        <f t="shared" si="25"/>
        <v>1288455.308</v>
      </c>
      <c r="AA571" s="2">
        <f t="shared" si="26"/>
        <v>925965.09600000014</v>
      </c>
    </row>
    <row r="572" spans="1:27" ht="14.5" customHeight="1">
      <c r="A572" s="19" t="s">
        <v>5257</v>
      </c>
      <c r="B572" s="3" t="s">
        <v>10</v>
      </c>
      <c r="C572" s="20">
        <v>13415090</v>
      </c>
      <c r="D572" s="20">
        <v>10193155</v>
      </c>
      <c r="E572" s="56">
        <v>31.61</v>
      </c>
      <c r="F572" s="57">
        <v>766812</v>
      </c>
      <c r="G572" s="57">
        <v>666051</v>
      </c>
      <c r="H572" s="57">
        <v>18105</v>
      </c>
      <c r="I572" s="57">
        <v>28391</v>
      </c>
      <c r="J572" s="57">
        <v>597477</v>
      </c>
      <c r="K572" s="57">
        <v>592924</v>
      </c>
      <c r="L572" s="56">
        <v>0.77</v>
      </c>
      <c r="M572" s="20">
        <v>1206472</v>
      </c>
      <c r="N572" s="56">
        <v>4.95</v>
      </c>
      <c r="O572" s="56">
        <v>4.91</v>
      </c>
      <c r="P572" s="58">
        <v>51.37</v>
      </c>
      <c r="Q572" s="59">
        <v>60.366648834638703</v>
      </c>
      <c r="R572" s="59">
        <v>2.5902711153086702</v>
      </c>
      <c r="S572" s="59">
        <v>0.97592490935113096</v>
      </c>
      <c r="X572" s="2">
        <f t="shared" si="24"/>
        <v>0.39633351165361297</v>
      </c>
      <c r="Y572" s="2">
        <f>SUMIF(收盤價!A:A,A572,收盤價!C:C)</f>
        <v>75.5</v>
      </c>
      <c r="Z572" s="2">
        <f t="shared" si="25"/>
        <v>6197646.6639999999</v>
      </c>
      <c r="AA572" s="2">
        <f t="shared" si="26"/>
        <v>9108863.5999999996</v>
      </c>
    </row>
    <row r="573" spans="1:27" ht="14.5" customHeight="1">
      <c r="A573" s="19" t="s">
        <v>5258</v>
      </c>
      <c r="B573" s="3" t="s">
        <v>1275</v>
      </c>
      <c r="C573" s="20">
        <v>7116028</v>
      </c>
      <c r="D573" s="20">
        <v>6356027</v>
      </c>
      <c r="E573" s="56">
        <v>11.96</v>
      </c>
      <c r="F573" s="57">
        <v>65438</v>
      </c>
      <c r="G573" s="57">
        <v>-382370</v>
      </c>
      <c r="H573" s="57">
        <v>113141</v>
      </c>
      <c r="I573" s="57">
        <v>1050297</v>
      </c>
      <c r="J573" s="57">
        <v>42458</v>
      </c>
      <c r="K573" s="57">
        <v>245816</v>
      </c>
      <c r="L573" s="56">
        <v>-82.73</v>
      </c>
      <c r="M573" s="20">
        <v>1903446</v>
      </c>
      <c r="N573" s="56">
        <v>0.22</v>
      </c>
      <c r="O573" s="56">
        <v>1.29</v>
      </c>
      <c r="P573" s="58">
        <v>10.67</v>
      </c>
      <c r="Q573" s="59">
        <v>29.980383015968499</v>
      </c>
      <c r="R573" s="59">
        <v>2.3921332487567502</v>
      </c>
      <c r="S573" s="59">
        <v>1.37446528259039</v>
      </c>
      <c r="X573" s="2">
        <f t="shared" si="24"/>
        <v>0.70019616984031496</v>
      </c>
      <c r="Y573" s="2">
        <f>SUMIF(收盤價!A:A,A573,收盤價!C:C)</f>
        <v>14</v>
      </c>
      <c r="Z573" s="2">
        <f t="shared" si="25"/>
        <v>2030976.882</v>
      </c>
      <c r="AA573" s="2">
        <f t="shared" si="26"/>
        <v>2664824.4</v>
      </c>
    </row>
    <row r="574" spans="1:27" ht="14.5" customHeight="1">
      <c r="A574" s="19" t="s">
        <v>5259</v>
      </c>
      <c r="B574" s="3" t="s">
        <v>1285</v>
      </c>
      <c r="C574" s="20">
        <v>35831960</v>
      </c>
      <c r="D574" s="20">
        <v>30751819</v>
      </c>
      <c r="E574" s="56">
        <v>16.52</v>
      </c>
      <c r="F574" s="57">
        <v>500960</v>
      </c>
      <c r="G574" s="57">
        <v>333896</v>
      </c>
      <c r="H574" s="57">
        <v>2581948</v>
      </c>
      <c r="I574" s="57">
        <v>3138818</v>
      </c>
      <c r="J574" s="57">
        <v>2817880</v>
      </c>
      <c r="K574" s="57">
        <v>3296249</v>
      </c>
      <c r="L574" s="56">
        <v>-14.51</v>
      </c>
      <c r="M574" s="20">
        <v>10772829</v>
      </c>
      <c r="N574" s="56">
        <v>2.65</v>
      </c>
      <c r="O574" s="56">
        <v>3.11</v>
      </c>
      <c r="P574" s="58">
        <v>37.21</v>
      </c>
      <c r="Q574" s="59">
        <v>71.267915099376097</v>
      </c>
      <c r="R574" s="59">
        <v>1.6443029771823801</v>
      </c>
      <c r="S574" s="59">
        <v>0.95452834966256095</v>
      </c>
      <c r="X574" s="2">
        <f t="shared" si="24"/>
        <v>0.28732084900623905</v>
      </c>
      <c r="Y574" s="2">
        <f>SUMIF(收盤價!A:A,A574,收盤價!C:C)</f>
        <v>29</v>
      </c>
      <c r="Z574" s="2">
        <f t="shared" si="25"/>
        <v>40085696.709000006</v>
      </c>
      <c r="AA574" s="2">
        <f t="shared" si="26"/>
        <v>31241204.100000001</v>
      </c>
    </row>
    <row r="575" spans="1:27" ht="14.5" customHeight="1">
      <c r="A575" s="19" t="s">
        <v>5260</v>
      </c>
      <c r="B575" s="3" t="s">
        <v>1291</v>
      </c>
      <c r="C575" s="20">
        <v>8840159</v>
      </c>
      <c r="D575" s="20">
        <v>3365313</v>
      </c>
      <c r="E575" s="56">
        <v>162.68</v>
      </c>
      <c r="F575" s="57">
        <v>-533296</v>
      </c>
      <c r="G575" s="57">
        <v>-152780</v>
      </c>
      <c r="H575" s="57">
        <v>305166</v>
      </c>
      <c r="I575" s="57">
        <v>14269</v>
      </c>
      <c r="J575" s="57">
        <v>-189059</v>
      </c>
      <c r="K575" s="57">
        <v>-166692</v>
      </c>
      <c r="L575" s="56"/>
      <c r="M575" s="20">
        <v>2462421</v>
      </c>
      <c r="N575" s="56">
        <v>-0.84</v>
      </c>
      <c r="O575" s="56">
        <v>-1.26</v>
      </c>
      <c r="P575" s="58">
        <v>27.23</v>
      </c>
      <c r="Q575" s="59">
        <v>36.820821578831797</v>
      </c>
      <c r="R575" s="59">
        <v>1.1594536344637401</v>
      </c>
      <c r="S575" s="59">
        <v>0.56420391963120098</v>
      </c>
      <c r="X575" s="2">
        <f t="shared" si="24"/>
        <v>0.63179178421168203</v>
      </c>
      <c r="Y575" s="2">
        <f>SUMIF(收盤價!A:A,A575,收盤價!C:C)</f>
        <v>20.6</v>
      </c>
      <c r="Z575" s="2">
        <f t="shared" si="25"/>
        <v>6705172.3829999994</v>
      </c>
      <c r="AA575" s="2">
        <f t="shared" si="26"/>
        <v>5072587.26</v>
      </c>
    </row>
    <row r="576" spans="1:27" ht="14.5" customHeight="1">
      <c r="A576" s="19" t="s">
        <v>5261</v>
      </c>
      <c r="B576" s="3" t="s">
        <v>1393</v>
      </c>
      <c r="C576" s="20">
        <v>7794299</v>
      </c>
      <c r="D576" s="20">
        <v>8502426</v>
      </c>
      <c r="E576" s="56">
        <v>-8.33</v>
      </c>
      <c r="F576" s="57">
        <v>-32589</v>
      </c>
      <c r="G576" s="57">
        <v>394821</v>
      </c>
      <c r="H576" s="57">
        <v>230420</v>
      </c>
      <c r="I576" s="57">
        <v>-14138</v>
      </c>
      <c r="J576" s="57">
        <v>326325</v>
      </c>
      <c r="K576" s="57">
        <v>245215</v>
      </c>
      <c r="L576" s="56">
        <v>33.08</v>
      </c>
      <c r="M576" s="20">
        <v>834516</v>
      </c>
      <c r="N576" s="56">
        <v>4.0199999999999996</v>
      </c>
      <c r="O576" s="56">
        <v>3.06</v>
      </c>
      <c r="P576" s="58">
        <v>19.690000000000001</v>
      </c>
      <c r="Q576" s="59">
        <v>19.661753978204001</v>
      </c>
      <c r="R576" s="59">
        <v>1.5879019154918901</v>
      </c>
      <c r="S576" s="59">
        <v>0.845881644867995</v>
      </c>
      <c r="X576" s="2">
        <f t="shared" si="24"/>
        <v>0.80338246021796</v>
      </c>
      <c r="Y576" s="2">
        <f>SUMIF(收盤價!A:A,A576,收盤價!C:C)</f>
        <v>34.049999999999997</v>
      </c>
      <c r="Z576" s="2">
        <f t="shared" si="25"/>
        <v>1643162.0040000002</v>
      </c>
      <c r="AA576" s="2">
        <f t="shared" si="26"/>
        <v>2841526.9799999995</v>
      </c>
    </row>
    <row r="577" spans="1:27" ht="14.5" customHeight="1">
      <c r="A577" s="19" t="s">
        <v>5262</v>
      </c>
      <c r="B577" s="3" t="s">
        <v>2</v>
      </c>
      <c r="C577" s="20">
        <v>1366287326</v>
      </c>
      <c r="D577" s="20">
        <v>1340002031</v>
      </c>
      <c r="E577" s="56">
        <v>1.96</v>
      </c>
      <c r="F577" s="57">
        <v>16906266</v>
      </c>
      <c r="G577" s="57">
        <v>11930623</v>
      </c>
      <c r="H577" s="57">
        <v>8561639</v>
      </c>
      <c r="I577" s="57">
        <v>3125644</v>
      </c>
      <c r="J577" s="57">
        <v>19317741</v>
      </c>
      <c r="K577" s="57">
        <v>11114866</v>
      </c>
      <c r="L577" s="56">
        <v>73.8</v>
      </c>
      <c r="M577" s="20">
        <v>26110919</v>
      </c>
      <c r="N577" s="56">
        <v>7.4</v>
      </c>
      <c r="O577" s="56">
        <v>4.25</v>
      </c>
      <c r="P577" s="58">
        <v>60.39</v>
      </c>
      <c r="Q577" s="59">
        <v>27.635336045212402</v>
      </c>
      <c r="R577" s="59">
        <v>1.37688738441723</v>
      </c>
      <c r="S577" s="59">
        <v>1.04288906881675</v>
      </c>
      <c r="X577" s="2">
        <f t="shared" si="24"/>
        <v>0.723646639547876</v>
      </c>
      <c r="Y577" s="2">
        <f>SUMIF(收盤價!A:A,A577,收盤價!C:C)</f>
        <v>68.400000000000006</v>
      </c>
      <c r="Z577" s="2">
        <f t="shared" si="25"/>
        <v>157683839.84100002</v>
      </c>
      <c r="AA577" s="2">
        <f t="shared" si="26"/>
        <v>178598685.96000001</v>
      </c>
    </row>
    <row r="578" spans="1:27" ht="14.5" customHeight="1">
      <c r="A578" s="19" t="s">
        <v>5263</v>
      </c>
      <c r="B578" s="3" t="s">
        <v>1438</v>
      </c>
      <c r="C578" s="20">
        <v>2103934</v>
      </c>
      <c r="D578" s="20">
        <v>1847931</v>
      </c>
      <c r="E578" s="56">
        <v>13.85</v>
      </c>
      <c r="F578" s="57">
        <v>344509</v>
      </c>
      <c r="G578" s="57">
        <v>181127</v>
      </c>
      <c r="H578" s="57">
        <v>4215</v>
      </c>
      <c r="I578" s="57">
        <v>57998</v>
      </c>
      <c r="J578" s="57">
        <v>248027</v>
      </c>
      <c r="K578" s="57">
        <v>184979</v>
      </c>
      <c r="L578" s="56">
        <v>34.08</v>
      </c>
      <c r="M578" s="20">
        <v>543375</v>
      </c>
      <c r="N578" s="56">
        <v>4.5599999999999996</v>
      </c>
      <c r="O578" s="56">
        <v>3.4</v>
      </c>
      <c r="P578" s="58">
        <v>35.5</v>
      </c>
      <c r="Q578" s="59">
        <v>73.4699886266596</v>
      </c>
      <c r="R578" s="59">
        <v>3.4743527121751701</v>
      </c>
      <c r="S578" s="59">
        <v>2.5964324899667202</v>
      </c>
      <c r="X578" s="2">
        <f t="shared" si="24"/>
        <v>0.26530011373340401</v>
      </c>
      <c r="Y578" s="2">
        <f>SUMIF(收盤價!A:A,A578,收盤價!C:C)</f>
        <v>62.6</v>
      </c>
      <c r="Z578" s="2">
        <f t="shared" si="25"/>
        <v>1928981.25</v>
      </c>
      <c r="AA578" s="2">
        <f t="shared" si="26"/>
        <v>3401527.5</v>
      </c>
    </row>
    <row r="579" spans="1:27" ht="14.5" customHeight="1">
      <c r="A579" s="19" t="s">
        <v>5264</v>
      </c>
      <c r="B579" s="3" t="s">
        <v>1446</v>
      </c>
      <c r="C579" s="20">
        <v>3576588</v>
      </c>
      <c r="D579" s="20">
        <v>2327728</v>
      </c>
      <c r="E579" s="56">
        <v>53.65</v>
      </c>
      <c r="F579" s="57">
        <v>-9509</v>
      </c>
      <c r="G579" s="57">
        <v>-449923</v>
      </c>
      <c r="H579" s="57">
        <v>14571</v>
      </c>
      <c r="I579" s="57">
        <v>39026</v>
      </c>
      <c r="J579" s="57">
        <v>17224</v>
      </c>
      <c r="K579" s="57">
        <v>-372348</v>
      </c>
      <c r="L579" s="56"/>
      <c r="M579" s="20">
        <v>895426</v>
      </c>
      <c r="N579" s="56">
        <v>0.19</v>
      </c>
      <c r="O579" s="56">
        <v>-4.97</v>
      </c>
      <c r="P579" s="58">
        <v>14.34</v>
      </c>
      <c r="Q579" s="59">
        <v>36.854358596263999</v>
      </c>
      <c r="R579" s="59">
        <v>1.3579168321325199</v>
      </c>
      <c r="S579" s="59">
        <v>0.67486021795807005</v>
      </c>
      <c r="X579" s="2">
        <f t="shared" si="24"/>
        <v>0.63145641403735997</v>
      </c>
      <c r="Y579" s="2">
        <f>SUMIF(收盤價!A:A,A579,收盤價!C:C)</f>
        <v>29.5</v>
      </c>
      <c r="Z579" s="2">
        <f t="shared" si="25"/>
        <v>1284040.8840000001</v>
      </c>
      <c r="AA579" s="2">
        <f t="shared" si="26"/>
        <v>2641506.7000000002</v>
      </c>
    </row>
    <row r="580" spans="1:27" ht="14.5" customHeight="1">
      <c r="A580" s="19" t="s">
        <v>5265</v>
      </c>
      <c r="B580" s="3" t="s">
        <v>1448</v>
      </c>
      <c r="C580" s="20">
        <v>32635437</v>
      </c>
      <c r="D580" s="20">
        <v>30494458</v>
      </c>
      <c r="E580" s="56">
        <v>7.02</v>
      </c>
      <c r="F580" s="57">
        <v>-82337</v>
      </c>
      <c r="G580" s="57">
        <v>-1516267</v>
      </c>
      <c r="H580" s="57">
        <v>459294</v>
      </c>
      <c r="I580" s="57">
        <v>564914</v>
      </c>
      <c r="J580" s="57">
        <v>-630830</v>
      </c>
      <c r="K580" s="57">
        <v>-1702119</v>
      </c>
      <c r="L580" s="56"/>
      <c r="M580" s="20">
        <v>4204570</v>
      </c>
      <c r="N580" s="56">
        <v>-1.5</v>
      </c>
      <c r="O580" s="56">
        <v>-4.13</v>
      </c>
      <c r="P580" s="58">
        <v>72.78</v>
      </c>
      <c r="Q580" s="59">
        <v>59.184197807578897</v>
      </c>
      <c r="R580" s="59">
        <v>1.8303879044206299</v>
      </c>
      <c r="S580" s="59">
        <v>1.4504695166878301</v>
      </c>
      <c r="X580" s="2">
        <f t="shared" si="24"/>
        <v>0.40815802192421102</v>
      </c>
      <c r="Y580" s="2">
        <f>SUMIF(收盤價!A:A,A580,收盤價!C:C)</f>
        <v>47.35</v>
      </c>
      <c r="Z580" s="2">
        <f t="shared" si="25"/>
        <v>30600860.460000001</v>
      </c>
      <c r="AA580" s="2">
        <f t="shared" si="26"/>
        <v>19908638.949999999</v>
      </c>
    </row>
    <row r="581" spans="1:27" ht="14.5" customHeight="1">
      <c r="A581" s="19" t="s">
        <v>5266</v>
      </c>
      <c r="B581" s="3" t="s">
        <v>1518</v>
      </c>
      <c r="C581" s="20">
        <v>2061734</v>
      </c>
      <c r="D581" s="20">
        <v>1935693</v>
      </c>
      <c r="E581" s="56">
        <v>6.51</v>
      </c>
      <c r="F581" s="57">
        <v>-139516</v>
      </c>
      <c r="G581" s="57">
        <v>-256733</v>
      </c>
      <c r="H581" s="57">
        <v>-2824</v>
      </c>
      <c r="I581" s="57">
        <v>54554</v>
      </c>
      <c r="J581" s="57">
        <v>-153302</v>
      </c>
      <c r="K581" s="57">
        <v>-190950</v>
      </c>
      <c r="L581" s="56"/>
      <c r="M581" s="20">
        <v>886500</v>
      </c>
      <c r="N581" s="56">
        <v>-1.73</v>
      </c>
      <c r="O581" s="56">
        <v>-2.15</v>
      </c>
      <c r="P581" s="58">
        <v>13.86</v>
      </c>
      <c r="Q581" s="59">
        <v>44.740276338489501</v>
      </c>
      <c r="R581" s="59">
        <v>1.2584739391095301</v>
      </c>
      <c r="S581" s="59">
        <v>0.88041940922691597</v>
      </c>
      <c r="X581" s="2">
        <f t="shared" ref="X581:X644" si="27">IF(W581&lt;&gt;"",ROUND(W581/U581,2),(100-Q581)/100)</f>
        <v>0.55259723661510496</v>
      </c>
      <c r="Y581" s="2">
        <f>SUMIF(收盤價!A:A,A581,收盤價!C:C)</f>
        <v>13.75</v>
      </c>
      <c r="Z581" s="2">
        <f t="shared" ref="Z581:Z644" si="28">IF(W581&lt;&gt;"",U581-W581,M581*P581/10)</f>
        <v>1228689</v>
      </c>
      <c r="AA581" s="2">
        <f t="shared" ref="AA581:AA644" si="29">Y581*M581/10</f>
        <v>1218937.5</v>
      </c>
    </row>
    <row r="582" spans="1:27" ht="14.5" customHeight="1">
      <c r="A582" s="19" t="s">
        <v>5267</v>
      </c>
      <c r="B582" s="3" t="s">
        <v>1522</v>
      </c>
      <c r="C582" s="20">
        <v>6294771</v>
      </c>
      <c r="D582" s="20">
        <v>6791267</v>
      </c>
      <c r="E582" s="56">
        <v>-7.31</v>
      </c>
      <c r="F582" s="57">
        <v>469235</v>
      </c>
      <c r="G582" s="57">
        <v>374497</v>
      </c>
      <c r="H582" s="57">
        <v>-24892</v>
      </c>
      <c r="I582" s="57">
        <v>-258258</v>
      </c>
      <c r="J582" s="57">
        <v>352096</v>
      </c>
      <c r="K582" s="57">
        <v>41462</v>
      </c>
      <c r="L582" s="56">
        <v>749.2</v>
      </c>
      <c r="M582" s="20">
        <v>1275887</v>
      </c>
      <c r="N582" s="56">
        <v>2.76</v>
      </c>
      <c r="O582" s="56">
        <v>0.36</v>
      </c>
      <c r="P582" s="58">
        <v>27.12</v>
      </c>
      <c r="Q582" s="59">
        <v>49.5513206582416</v>
      </c>
      <c r="R582" s="59">
        <v>1.0915505246899899</v>
      </c>
      <c r="S582" s="59">
        <v>0.67461840925211602</v>
      </c>
      <c r="X582" s="2">
        <f t="shared" si="27"/>
        <v>0.50448679341758396</v>
      </c>
      <c r="Y582" s="2">
        <f>SUMIF(收盤價!A:A,A582,收盤價!C:C)</f>
        <v>30.6</v>
      </c>
      <c r="Z582" s="2">
        <f t="shared" si="28"/>
        <v>3460205.5439999998</v>
      </c>
      <c r="AA582" s="2">
        <f t="shared" si="29"/>
        <v>3904214.22</v>
      </c>
    </row>
    <row r="583" spans="1:27" ht="14.5" customHeight="1">
      <c r="A583" s="19" t="s">
        <v>5268</v>
      </c>
      <c r="B583" s="3" t="s">
        <v>1546</v>
      </c>
      <c r="C583" s="20">
        <v>10497070</v>
      </c>
      <c r="D583" s="20">
        <v>10477108</v>
      </c>
      <c r="E583" s="56">
        <v>0.19</v>
      </c>
      <c r="F583" s="57">
        <v>767190</v>
      </c>
      <c r="G583" s="57">
        <v>289877</v>
      </c>
      <c r="H583" s="57">
        <v>-150970</v>
      </c>
      <c r="I583" s="57">
        <v>12152</v>
      </c>
      <c r="J583" s="57">
        <v>443171</v>
      </c>
      <c r="K583" s="57">
        <v>244442</v>
      </c>
      <c r="L583" s="56">
        <v>81.3</v>
      </c>
      <c r="M583" s="20">
        <v>2174973</v>
      </c>
      <c r="N583" s="56">
        <v>2.04</v>
      </c>
      <c r="O583" s="56">
        <v>1.1200000000000001</v>
      </c>
      <c r="P583" s="58">
        <v>21.5</v>
      </c>
      <c r="Q583" s="59">
        <v>55.474711377466001</v>
      </c>
      <c r="R583" s="59">
        <v>1.74246581528258</v>
      </c>
      <c r="S583" s="59">
        <v>1.14427855782121</v>
      </c>
      <c r="X583" s="2">
        <f t="shared" si="27"/>
        <v>0.44525288622533998</v>
      </c>
      <c r="Y583" s="2">
        <f>SUMIF(收盤價!A:A,A583,收盤價!C:C)</f>
        <v>48</v>
      </c>
      <c r="Z583" s="2">
        <f t="shared" si="28"/>
        <v>4676191.95</v>
      </c>
      <c r="AA583" s="2">
        <f t="shared" si="29"/>
        <v>10439870.4</v>
      </c>
    </row>
    <row r="584" spans="1:27" ht="14.5" customHeight="1">
      <c r="A584" s="19" t="s">
        <v>5269</v>
      </c>
      <c r="B584" s="3" t="s">
        <v>1550</v>
      </c>
      <c r="C584" s="20">
        <v>539620</v>
      </c>
      <c r="D584" s="20">
        <v>369123</v>
      </c>
      <c r="E584" s="56">
        <v>46.19</v>
      </c>
      <c r="F584" s="57">
        <v>-3145</v>
      </c>
      <c r="G584" s="57">
        <v>-3225</v>
      </c>
      <c r="H584" s="57">
        <v>13858</v>
      </c>
      <c r="I584" s="57">
        <v>14306</v>
      </c>
      <c r="J584" s="57">
        <v>9514</v>
      </c>
      <c r="K584" s="57">
        <v>9153</v>
      </c>
      <c r="L584" s="56">
        <v>3.94</v>
      </c>
      <c r="M584" s="20">
        <v>300000</v>
      </c>
      <c r="N584" s="56">
        <v>0.32</v>
      </c>
      <c r="O584" s="56">
        <v>0.31</v>
      </c>
      <c r="P584" s="58">
        <v>10.62</v>
      </c>
      <c r="Q584" s="59">
        <v>47.189061539942102</v>
      </c>
      <c r="R584" s="59">
        <v>3.0312261056162599</v>
      </c>
      <c r="S584" s="59">
        <v>2.98219174703401</v>
      </c>
      <c r="X584" s="2">
        <f t="shared" si="27"/>
        <v>0.52810938460057899</v>
      </c>
      <c r="Y584" s="2">
        <f>SUMIF(收盤價!A:A,A584,收盤價!C:C)</f>
        <v>18.850000000000001</v>
      </c>
      <c r="Z584" s="2">
        <f t="shared" si="28"/>
        <v>318599.99999999994</v>
      </c>
      <c r="AA584" s="2">
        <f t="shared" si="29"/>
        <v>565500</v>
      </c>
    </row>
    <row r="585" spans="1:27" ht="14.5" customHeight="1">
      <c r="A585" s="19" t="s">
        <v>5270</v>
      </c>
      <c r="B585" s="3" t="s">
        <v>1576</v>
      </c>
      <c r="C585" s="20">
        <v>5330472</v>
      </c>
      <c r="D585" s="20">
        <v>6569769</v>
      </c>
      <c r="E585" s="56">
        <v>-18.86</v>
      </c>
      <c r="F585" s="57">
        <v>909977</v>
      </c>
      <c r="G585" s="57">
        <v>906424</v>
      </c>
      <c r="H585" s="57">
        <v>-27473</v>
      </c>
      <c r="I585" s="57">
        <v>13461</v>
      </c>
      <c r="J585" s="57">
        <v>736522</v>
      </c>
      <c r="K585" s="57">
        <v>801448</v>
      </c>
      <c r="L585" s="56">
        <v>-8.1</v>
      </c>
      <c r="M585" s="20">
        <v>1430623</v>
      </c>
      <c r="N585" s="56">
        <v>5.15</v>
      </c>
      <c r="O585" s="56">
        <v>5.6</v>
      </c>
      <c r="P585" s="58">
        <v>30.78</v>
      </c>
      <c r="Q585" s="59">
        <v>76.582874650074302</v>
      </c>
      <c r="R585" s="59">
        <v>4.4959420172596802</v>
      </c>
      <c r="S585" s="59">
        <v>3.35568221452258</v>
      </c>
      <c r="X585" s="2">
        <f t="shared" si="27"/>
        <v>0.23417125349925696</v>
      </c>
      <c r="Y585" s="2">
        <f>SUMIF(收盤價!A:A,A585,收盤價!C:C)</f>
        <v>105.3</v>
      </c>
      <c r="Z585" s="2">
        <f t="shared" si="28"/>
        <v>4403457.5940000005</v>
      </c>
      <c r="AA585" s="2">
        <f t="shared" si="29"/>
        <v>15064460.190000001</v>
      </c>
    </row>
    <row r="586" spans="1:27" ht="14.5" customHeight="1">
      <c r="A586" s="19" t="s">
        <v>5271</v>
      </c>
      <c r="B586" s="3" t="s">
        <v>1594</v>
      </c>
      <c r="C586" s="20">
        <v>8586172</v>
      </c>
      <c r="D586" s="20">
        <v>7662175</v>
      </c>
      <c r="E586" s="56">
        <v>12.06</v>
      </c>
      <c r="F586" s="57">
        <v>973781</v>
      </c>
      <c r="G586" s="57">
        <v>826703</v>
      </c>
      <c r="H586" s="57">
        <v>-5924</v>
      </c>
      <c r="I586" s="57">
        <v>104345</v>
      </c>
      <c r="J586" s="57">
        <v>701534</v>
      </c>
      <c r="K586" s="57">
        <v>595610</v>
      </c>
      <c r="L586" s="56">
        <v>17.78</v>
      </c>
      <c r="M586" s="20">
        <v>863434</v>
      </c>
      <c r="N586" s="56">
        <v>8.1199999999999992</v>
      </c>
      <c r="O586" s="56">
        <v>6.9</v>
      </c>
      <c r="P586" s="58">
        <v>47.01</v>
      </c>
      <c r="Q586" s="59">
        <v>55.856226283976497</v>
      </c>
      <c r="R586" s="59">
        <v>1.9713165244826001</v>
      </c>
      <c r="S586" s="59">
        <v>1.5725072985222499</v>
      </c>
      <c r="X586" s="2">
        <f t="shared" si="27"/>
        <v>0.44143773716023504</v>
      </c>
      <c r="Y586" s="2">
        <f>SUMIF(收盤價!A:A,A586,收盤價!C:C)</f>
        <v>284</v>
      </c>
      <c r="Z586" s="2">
        <f t="shared" si="28"/>
        <v>4059003.2339999997</v>
      </c>
      <c r="AA586" s="2">
        <f t="shared" si="29"/>
        <v>24521525.600000001</v>
      </c>
    </row>
    <row r="587" spans="1:27" ht="14.5" customHeight="1">
      <c r="A587" s="19" t="s">
        <v>5272</v>
      </c>
      <c r="B587" s="3" t="s">
        <v>1596</v>
      </c>
      <c r="C587" s="20">
        <v>2187850</v>
      </c>
      <c r="D587" s="20">
        <v>3816875</v>
      </c>
      <c r="E587" s="56">
        <v>-42.68</v>
      </c>
      <c r="F587" s="57">
        <v>-438616</v>
      </c>
      <c r="G587" s="57">
        <v>177323</v>
      </c>
      <c r="H587" s="57">
        <v>-69114</v>
      </c>
      <c r="I587" s="57">
        <v>31666</v>
      </c>
      <c r="J587" s="57">
        <v>-504037</v>
      </c>
      <c r="K587" s="57">
        <v>168263</v>
      </c>
      <c r="L587" s="56"/>
      <c r="M587" s="20">
        <v>1685229</v>
      </c>
      <c r="N587" s="56">
        <v>-3</v>
      </c>
      <c r="O587" s="56">
        <v>1.01</v>
      </c>
      <c r="P587" s="58">
        <v>10.25</v>
      </c>
      <c r="Q587" s="59">
        <v>44.620714792579001</v>
      </c>
      <c r="R587" s="59">
        <v>0.92214175329599701</v>
      </c>
      <c r="S587" s="59">
        <v>0.66909723941488997</v>
      </c>
      <c r="X587" s="2">
        <f t="shared" si="27"/>
        <v>0.55379285207421003</v>
      </c>
      <c r="Y587" s="2">
        <f>SUMIF(收盤價!A:A,A587,收盤價!C:C)</f>
        <v>13.55</v>
      </c>
      <c r="Z587" s="2">
        <f t="shared" si="28"/>
        <v>1727359.7250000001</v>
      </c>
      <c r="AA587" s="2">
        <f t="shared" si="29"/>
        <v>2283485.2950000004</v>
      </c>
    </row>
    <row r="588" spans="1:27" ht="14.5" customHeight="1">
      <c r="A588" s="19" t="s">
        <v>5273</v>
      </c>
      <c r="B588" s="3" t="s">
        <v>1610</v>
      </c>
      <c r="C588" s="20">
        <v>5032719</v>
      </c>
      <c r="D588" s="20">
        <v>5173010</v>
      </c>
      <c r="E588" s="56">
        <v>-2.71</v>
      </c>
      <c r="F588" s="57">
        <v>776334</v>
      </c>
      <c r="G588" s="57">
        <v>830114</v>
      </c>
      <c r="H588" s="57">
        <v>121410</v>
      </c>
      <c r="I588" s="57">
        <v>1026856</v>
      </c>
      <c r="J588" s="57">
        <v>723133</v>
      </c>
      <c r="K588" s="57">
        <v>1576132</v>
      </c>
      <c r="L588" s="56">
        <v>-54.12</v>
      </c>
      <c r="M588" s="20">
        <v>1194711</v>
      </c>
      <c r="N588" s="56">
        <v>6.05</v>
      </c>
      <c r="O588" s="56">
        <v>13.19</v>
      </c>
      <c r="P588" s="58">
        <v>35.549999999999997</v>
      </c>
      <c r="Q588" s="59">
        <v>63.805744170830202</v>
      </c>
      <c r="R588" s="59">
        <v>2.1364417018800101</v>
      </c>
      <c r="S588" s="59">
        <v>1.5626033205974901</v>
      </c>
      <c r="X588" s="2">
        <f t="shared" si="27"/>
        <v>0.36194255829169797</v>
      </c>
      <c r="Y588" s="2">
        <f>SUMIF(收盤價!A:A,A588,收盤價!C:C)</f>
        <v>86.5</v>
      </c>
      <c r="Z588" s="2">
        <f t="shared" si="28"/>
        <v>4247197.6049999995</v>
      </c>
      <c r="AA588" s="2">
        <f t="shared" si="29"/>
        <v>10334250.15</v>
      </c>
    </row>
    <row r="589" spans="1:27" ht="14.5" customHeight="1">
      <c r="A589" s="19" t="s">
        <v>5274</v>
      </c>
      <c r="B589" s="3" t="s">
        <v>1632</v>
      </c>
      <c r="C589" s="20">
        <v>81506216</v>
      </c>
      <c r="D589" s="20">
        <v>68962459</v>
      </c>
      <c r="E589" s="56">
        <v>18.190000000000001</v>
      </c>
      <c r="F589" s="57">
        <v>3377347</v>
      </c>
      <c r="G589" s="57">
        <v>2910093</v>
      </c>
      <c r="H589" s="57">
        <v>434609</v>
      </c>
      <c r="I589" s="57">
        <v>707548</v>
      </c>
      <c r="J589" s="57">
        <v>1080242</v>
      </c>
      <c r="K589" s="57">
        <v>1094298</v>
      </c>
      <c r="L589" s="56">
        <v>-1.28</v>
      </c>
      <c r="M589" s="20">
        <v>835745</v>
      </c>
      <c r="N589" s="56">
        <v>13.22</v>
      </c>
      <c r="O589" s="56">
        <v>14.27</v>
      </c>
      <c r="P589" s="58">
        <v>99.15</v>
      </c>
      <c r="Q589" s="59">
        <v>9.23459729162707</v>
      </c>
      <c r="R589" s="59">
        <v>1.33558413480378</v>
      </c>
      <c r="S589" s="59">
        <v>0.96671925528648806</v>
      </c>
      <c r="X589" s="2">
        <f t="shared" si="27"/>
        <v>0.90765402708372933</v>
      </c>
      <c r="Y589" s="2">
        <f>SUMIF(收盤價!A:A,A589,收盤價!C:C)</f>
        <v>247</v>
      </c>
      <c r="Z589" s="2">
        <f t="shared" si="28"/>
        <v>8286411.6749999998</v>
      </c>
      <c r="AA589" s="2">
        <f t="shared" si="29"/>
        <v>20642901.5</v>
      </c>
    </row>
    <row r="590" spans="1:27" ht="14.5" customHeight="1">
      <c r="A590" s="19" t="s">
        <v>5275</v>
      </c>
      <c r="B590" s="3" t="s">
        <v>1676</v>
      </c>
      <c r="C590" s="20">
        <v>6148380</v>
      </c>
      <c r="D590" s="20">
        <v>5800255</v>
      </c>
      <c r="E590" s="56">
        <v>6</v>
      </c>
      <c r="F590" s="57">
        <v>719959</v>
      </c>
      <c r="G590" s="57">
        <v>464073</v>
      </c>
      <c r="H590" s="57">
        <v>110469</v>
      </c>
      <c r="I590" s="57">
        <v>470177</v>
      </c>
      <c r="J590" s="57">
        <v>552152</v>
      </c>
      <c r="K590" s="57">
        <v>732861</v>
      </c>
      <c r="L590" s="56">
        <v>-24.66</v>
      </c>
      <c r="M590" s="20">
        <v>1484985</v>
      </c>
      <c r="N590" s="56">
        <v>5.17</v>
      </c>
      <c r="O590" s="56">
        <v>6.86</v>
      </c>
      <c r="P590" s="58">
        <v>52.53</v>
      </c>
      <c r="Q590" s="59">
        <v>80.600950015928007</v>
      </c>
      <c r="R590" s="59">
        <v>3.8968258211695099</v>
      </c>
      <c r="S590" s="59">
        <v>3.0887614853556098</v>
      </c>
      <c r="X590" s="2">
        <f t="shared" si="27"/>
        <v>0.19399049984071992</v>
      </c>
      <c r="Y590" s="2">
        <f>SUMIF(收盤價!A:A,A590,收盤價!C:C)</f>
        <v>72.099999999999994</v>
      </c>
      <c r="Z590" s="2">
        <f t="shared" si="28"/>
        <v>7800626.2050000001</v>
      </c>
      <c r="AA590" s="2">
        <f t="shared" si="29"/>
        <v>10706741.849999998</v>
      </c>
    </row>
    <row r="591" spans="1:27" ht="14.5" customHeight="1">
      <c r="A591" s="19" t="s">
        <v>5276</v>
      </c>
      <c r="B591" s="3" t="s">
        <v>1682</v>
      </c>
      <c r="C591" s="20">
        <v>1184812</v>
      </c>
      <c r="D591" s="20">
        <v>1217595</v>
      </c>
      <c r="E591" s="56">
        <v>-2.69</v>
      </c>
      <c r="F591" s="57">
        <v>137267</v>
      </c>
      <c r="G591" s="57">
        <v>83778</v>
      </c>
      <c r="H591" s="57">
        <v>1620</v>
      </c>
      <c r="I591" s="57">
        <v>24160</v>
      </c>
      <c r="J591" s="57">
        <v>89248</v>
      </c>
      <c r="K591" s="57">
        <v>73777</v>
      </c>
      <c r="L591" s="56">
        <v>20.97</v>
      </c>
      <c r="M591" s="20">
        <v>275270</v>
      </c>
      <c r="N591" s="56">
        <v>3.44</v>
      </c>
      <c r="O591" s="56">
        <v>3.12</v>
      </c>
      <c r="P591" s="58">
        <v>37.46</v>
      </c>
      <c r="Q591" s="59">
        <v>58.038538301027003</v>
      </c>
      <c r="R591" s="59">
        <v>2.8189946567981901</v>
      </c>
      <c r="S591" s="59">
        <v>2.36453456055045</v>
      </c>
      <c r="X591" s="2">
        <f t="shared" si="27"/>
        <v>0.41961461698972996</v>
      </c>
      <c r="Y591" s="2">
        <f>SUMIF(收盤價!A:A,A591,收盤價!C:C)</f>
        <v>61.2</v>
      </c>
      <c r="Z591" s="2">
        <f t="shared" si="28"/>
        <v>1031161.4200000002</v>
      </c>
      <c r="AA591" s="2">
        <f t="shared" si="29"/>
        <v>1684652.4</v>
      </c>
    </row>
    <row r="592" spans="1:27" ht="14.5" customHeight="1">
      <c r="A592" s="19" t="s">
        <v>5277</v>
      </c>
      <c r="B592" s="3" t="s">
        <v>13</v>
      </c>
      <c r="C592" s="20">
        <v>163600423</v>
      </c>
      <c r="D592" s="20">
        <v>181064815</v>
      </c>
      <c r="E592" s="56">
        <v>-9.65</v>
      </c>
      <c r="F592" s="57">
        <v>8160078</v>
      </c>
      <c r="G592" s="57">
        <v>7100542</v>
      </c>
      <c r="H592" s="57">
        <v>-401808</v>
      </c>
      <c r="I592" s="57">
        <v>-7074</v>
      </c>
      <c r="J592" s="57">
        <v>6169254</v>
      </c>
      <c r="K592" s="57">
        <v>5577577</v>
      </c>
      <c r="L592" s="56">
        <v>10.61</v>
      </c>
      <c r="M592" s="20">
        <v>1746368</v>
      </c>
      <c r="N592" s="56">
        <v>36.42</v>
      </c>
      <c r="O592" s="56">
        <v>38</v>
      </c>
      <c r="P592" s="58">
        <v>115.78</v>
      </c>
      <c r="Q592" s="59">
        <v>41.993831586475999</v>
      </c>
      <c r="R592" s="59">
        <v>1.6857902385322201</v>
      </c>
      <c r="S592" s="59">
        <v>1.0326854115537001</v>
      </c>
      <c r="X592" s="2">
        <f t="shared" si="27"/>
        <v>0.58006168413524006</v>
      </c>
      <c r="Y592" s="2">
        <f>SUMIF(收盤價!A:A,A592,收盤價!C:C)</f>
        <v>635</v>
      </c>
      <c r="Z592" s="2">
        <f t="shared" si="28"/>
        <v>20219448.704</v>
      </c>
      <c r="AA592" s="2">
        <f t="shared" si="29"/>
        <v>110894368</v>
      </c>
    </row>
    <row r="593" spans="1:27" ht="14.5" customHeight="1">
      <c r="A593" s="19" t="s">
        <v>5278</v>
      </c>
      <c r="B593" s="3" t="s">
        <v>1744</v>
      </c>
      <c r="C593" s="20">
        <v>9745628</v>
      </c>
      <c r="D593" s="20">
        <v>9825616</v>
      </c>
      <c r="E593" s="56">
        <v>-0.81</v>
      </c>
      <c r="F593" s="57">
        <v>999446</v>
      </c>
      <c r="G593" s="57">
        <v>707449</v>
      </c>
      <c r="H593" s="57">
        <v>-260207</v>
      </c>
      <c r="I593" s="57">
        <v>215310</v>
      </c>
      <c r="J593" s="57">
        <v>458978</v>
      </c>
      <c r="K593" s="57">
        <v>749881</v>
      </c>
      <c r="L593" s="56">
        <v>-38.79</v>
      </c>
      <c r="M593" s="20">
        <v>749218</v>
      </c>
      <c r="N593" s="56">
        <v>6.13</v>
      </c>
      <c r="O593" s="56">
        <v>8.52</v>
      </c>
      <c r="P593" s="58">
        <v>37.94</v>
      </c>
      <c r="Q593" s="59">
        <v>20.0088431321836</v>
      </c>
      <c r="R593" s="59">
        <v>1.69191162923622</v>
      </c>
      <c r="S593" s="59">
        <v>1.06527534987227</v>
      </c>
      <c r="X593" s="2">
        <f t="shared" si="27"/>
        <v>0.79991156867816404</v>
      </c>
      <c r="Y593" s="2">
        <f>SUMIF(收盤價!A:A,A593,收盤價!C:C)</f>
        <v>105.5</v>
      </c>
      <c r="Z593" s="2">
        <f t="shared" si="28"/>
        <v>2842533.0919999997</v>
      </c>
      <c r="AA593" s="2">
        <f t="shared" si="29"/>
        <v>7904249.9000000004</v>
      </c>
    </row>
    <row r="594" spans="1:27" ht="14.5" customHeight="1">
      <c r="A594" s="19" t="s">
        <v>5279</v>
      </c>
      <c r="B594" s="3" t="s">
        <v>1750</v>
      </c>
      <c r="C594" s="20">
        <v>19137173</v>
      </c>
      <c r="D594" s="20">
        <v>20113619</v>
      </c>
      <c r="E594" s="56">
        <v>-4.8499999999999996</v>
      </c>
      <c r="F594" s="57">
        <v>1064116</v>
      </c>
      <c r="G594" s="57">
        <v>1896724</v>
      </c>
      <c r="H594" s="57">
        <v>172609</v>
      </c>
      <c r="I594" s="57">
        <v>38163</v>
      </c>
      <c r="J594" s="57">
        <v>899950</v>
      </c>
      <c r="K594" s="57">
        <v>1520258</v>
      </c>
      <c r="L594" s="56">
        <v>-40.799999999999997</v>
      </c>
      <c r="M594" s="20">
        <v>2800000</v>
      </c>
      <c r="N594" s="56">
        <v>3.21</v>
      </c>
      <c r="O594" s="56">
        <v>5.43</v>
      </c>
      <c r="P594" s="58">
        <v>31</v>
      </c>
      <c r="Q594" s="59">
        <v>41.5580001765627</v>
      </c>
      <c r="R594" s="59">
        <v>1.3447350818206401</v>
      </c>
      <c r="S594" s="59">
        <v>0.81278409695804699</v>
      </c>
      <c r="X594" s="2">
        <f t="shared" si="27"/>
        <v>0.58441999823437296</v>
      </c>
      <c r="Y594" s="2">
        <f>SUMIF(收盤價!A:A,A594,收盤價!C:C)</f>
        <v>44.05</v>
      </c>
      <c r="Z594" s="2">
        <f t="shared" si="28"/>
        <v>8680000</v>
      </c>
      <c r="AA594" s="2">
        <f t="shared" si="29"/>
        <v>12333999.999999998</v>
      </c>
    </row>
    <row r="595" spans="1:27" ht="14.5" customHeight="1">
      <c r="A595" s="19" t="s">
        <v>5280</v>
      </c>
      <c r="B595" s="3" t="s">
        <v>1754</v>
      </c>
      <c r="C595" s="20">
        <v>6835443</v>
      </c>
      <c r="D595" s="20">
        <v>6520514</v>
      </c>
      <c r="E595" s="56">
        <v>4.83</v>
      </c>
      <c r="F595" s="57">
        <v>1128923</v>
      </c>
      <c r="G595" s="57">
        <v>831399</v>
      </c>
      <c r="H595" s="57">
        <v>24483</v>
      </c>
      <c r="I595" s="57">
        <v>39333</v>
      </c>
      <c r="J595" s="57">
        <v>911951</v>
      </c>
      <c r="K595" s="57">
        <v>642350</v>
      </c>
      <c r="L595" s="56">
        <v>41.97</v>
      </c>
      <c r="M595" s="20">
        <v>1197260</v>
      </c>
      <c r="N595" s="56">
        <v>7.62</v>
      </c>
      <c r="O595" s="56">
        <v>5.37</v>
      </c>
      <c r="P595" s="58">
        <v>29.4</v>
      </c>
      <c r="Q595" s="59">
        <v>54.953270298519001</v>
      </c>
      <c r="R595" s="59">
        <v>1.6185498461223899</v>
      </c>
      <c r="S595" s="59">
        <v>0.99828823195586802</v>
      </c>
      <c r="X595" s="2">
        <f t="shared" si="27"/>
        <v>0.45046729701480998</v>
      </c>
      <c r="Y595" s="2">
        <f>SUMIF(收盤價!A:A,A595,收盤價!C:C)</f>
        <v>84.2</v>
      </c>
      <c r="Z595" s="2">
        <f t="shared" si="28"/>
        <v>3519944.4</v>
      </c>
      <c r="AA595" s="2">
        <f t="shared" si="29"/>
        <v>10080929.199999999</v>
      </c>
    </row>
    <row r="596" spans="1:27" ht="14.5" customHeight="1">
      <c r="A596" s="19" t="s">
        <v>5281</v>
      </c>
      <c r="B596" s="3" t="s">
        <v>1868</v>
      </c>
      <c r="C596" s="20">
        <v>597565</v>
      </c>
      <c r="D596" s="20">
        <v>746609</v>
      </c>
      <c r="E596" s="56">
        <v>-19.96</v>
      </c>
      <c r="F596" s="57">
        <v>-21370</v>
      </c>
      <c r="G596" s="57">
        <v>22898</v>
      </c>
      <c r="H596" s="57">
        <v>-89505</v>
      </c>
      <c r="I596" s="57">
        <v>-5804</v>
      </c>
      <c r="J596" s="57">
        <v>-112809</v>
      </c>
      <c r="K596" s="57">
        <v>12096</v>
      </c>
      <c r="L596" s="56"/>
      <c r="M596" s="20">
        <v>543506</v>
      </c>
      <c r="N596" s="56">
        <v>-2.2000000000000002</v>
      </c>
      <c r="O596" s="56">
        <v>0.23</v>
      </c>
      <c r="P596" s="58">
        <v>8.65</v>
      </c>
      <c r="Q596" s="59">
        <v>57.777303119154404</v>
      </c>
      <c r="R596" s="59">
        <v>1.3617720367975901</v>
      </c>
      <c r="S596" s="59">
        <v>0.44353801160162398</v>
      </c>
      <c r="X596" s="2">
        <f t="shared" si="27"/>
        <v>0.42222696880845595</v>
      </c>
      <c r="Y596" s="2">
        <f>SUMIF(收盤價!A:A,A596,收盤價!C:C)</f>
        <v>8.51</v>
      </c>
      <c r="Z596" s="2">
        <f t="shared" si="28"/>
        <v>470132.69000000006</v>
      </c>
      <c r="AA596" s="2">
        <f t="shared" si="29"/>
        <v>462523.60599999997</v>
      </c>
    </row>
    <row r="597" spans="1:27" ht="14.5" customHeight="1">
      <c r="A597" s="19" t="s">
        <v>5282</v>
      </c>
      <c r="B597" s="3" t="s">
        <v>559</v>
      </c>
      <c r="C597" s="20">
        <v>7045247</v>
      </c>
      <c r="D597" s="20">
        <v>8569339</v>
      </c>
      <c r="E597" s="56">
        <v>-17.79</v>
      </c>
      <c r="F597" s="57">
        <v>-93604</v>
      </c>
      <c r="G597" s="57">
        <v>-596688</v>
      </c>
      <c r="H597" s="57">
        <v>307283</v>
      </c>
      <c r="I597" s="57">
        <v>1262120</v>
      </c>
      <c r="J597" s="57">
        <v>228705</v>
      </c>
      <c r="K597" s="57">
        <v>430204</v>
      </c>
      <c r="L597" s="56">
        <v>-46.84</v>
      </c>
      <c r="M597" s="20">
        <v>11588812</v>
      </c>
      <c r="N597" s="56">
        <v>0.2</v>
      </c>
      <c r="O597" s="56">
        <v>0.36</v>
      </c>
      <c r="P597" s="58">
        <v>16.59</v>
      </c>
      <c r="Q597" s="59">
        <v>75.522178760899294</v>
      </c>
      <c r="R597" s="59">
        <v>3.5279972210251098</v>
      </c>
      <c r="S597" s="59">
        <v>2.5233802785882302</v>
      </c>
      <c r="X597" s="2">
        <f t="shared" si="27"/>
        <v>0.24477821239100706</v>
      </c>
      <c r="Y597" s="2">
        <f>SUMIF(收盤價!A:A,A597,收盤價!C:C)</f>
        <v>9.57</v>
      </c>
      <c r="Z597" s="2">
        <f t="shared" si="28"/>
        <v>19225839.108000003</v>
      </c>
      <c r="AA597" s="2">
        <f t="shared" si="29"/>
        <v>11090493.084000001</v>
      </c>
    </row>
    <row r="598" spans="1:27" ht="14.5" customHeight="1">
      <c r="A598" s="19" t="s">
        <v>5283</v>
      </c>
      <c r="B598" s="3" t="s">
        <v>578</v>
      </c>
      <c r="C598" s="20">
        <v>5418004</v>
      </c>
      <c r="D598" s="20">
        <v>5364610</v>
      </c>
      <c r="E598" s="56">
        <v>1</v>
      </c>
      <c r="F598" s="57">
        <v>740157</v>
      </c>
      <c r="G598" s="57">
        <v>738007</v>
      </c>
      <c r="H598" s="57">
        <v>46428</v>
      </c>
      <c r="I598" s="57">
        <v>41988</v>
      </c>
      <c r="J598" s="57">
        <v>604633</v>
      </c>
      <c r="K598" s="57">
        <v>653107</v>
      </c>
      <c r="L598" s="56">
        <v>-7.42</v>
      </c>
      <c r="M598" s="20">
        <v>3786228</v>
      </c>
      <c r="N598" s="56">
        <v>1.45</v>
      </c>
      <c r="O598" s="56">
        <v>1.47</v>
      </c>
      <c r="P598" s="58">
        <v>19.23</v>
      </c>
      <c r="Q598" s="59">
        <v>70.488778344257597</v>
      </c>
      <c r="R598" s="59">
        <v>3.5155791585531402</v>
      </c>
      <c r="S598" s="59">
        <v>2.7419560984245002</v>
      </c>
      <c r="X598" s="2">
        <f t="shared" si="27"/>
        <v>0.29511221655742403</v>
      </c>
      <c r="Y598" s="2">
        <f>SUMIF(收盤價!A:A,A598,收盤價!C:C)</f>
        <v>25.75</v>
      </c>
      <c r="Z598" s="2">
        <f t="shared" si="28"/>
        <v>7280916.4440000001</v>
      </c>
      <c r="AA598" s="2">
        <f t="shared" si="29"/>
        <v>9749537.0999999996</v>
      </c>
    </row>
    <row r="599" spans="1:27" ht="14.5" customHeight="1">
      <c r="A599" s="19" t="s">
        <v>5284</v>
      </c>
      <c r="B599" s="3" t="s">
        <v>590</v>
      </c>
      <c r="C599" s="20">
        <v>7779123</v>
      </c>
      <c r="D599" s="20">
        <v>9358661</v>
      </c>
      <c r="E599" s="56">
        <v>-16.88</v>
      </c>
      <c r="F599" s="57">
        <v>-976023</v>
      </c>
      <c r="G599" s="57">
        <v>-1031759</v>
      </c>
      <c r="H599" s="57">
        <v>-1494178</v>
      </c>
      <c r="I599" s="57">
        <v>-21379</v>
      </c>
      <c r="J599" s="57">
        <v>-2254907</v>
      </c>
      <c r="K599" s="57">
        <v>-1292823</v>
      </c>
      <c r="L599" s="56"/>
      <c r="M599" s="20">
        <v>12841579</v>
      </c>
      <c r="N599" s="56">
        <v>-1.76</v>
      </c>
      <c r="O599" s="56">
        <v>-1.01</v>
      </c>
      <c r="P599" s="58">
        <v>5.46</v>
      </c>
      <c r="Q599" s="59">
        <v>33.440136404046903</v>
      </c>
      <c r="R599" s="59">
        <v>1.80297652180277</v>
      </c>
      <c r="S599" s="59">
        <v>1.20084070884773</v>
      </c>
      <c r="X599" s="2">
        <f t="shared" si="27"/>
        <v>0.66559863595953095</v>
      </c>
      <c r="Y599" s="2">
        <f>SUMIF(收盤價!A:A,A599,收盤價!C:C)</f>
        <v>7.12</v>
      </c>
      <c r="Z599" s="2">
        <f t="shared" si="28"/>
        <v>7011502.1340000005</v>
      </c>
      <c r="AA599" s="2">
        <f t="shared" si="29"/>
        <v>9143204.2479999997</v>
      </c>
    </row>
    <row r="600" spans="1:27" ht="14.5" customHeight="1">
      <c r="A600" s="19" t="s">
        <v>5285</v>
      </c>
      <c r="B600" s="3" t="s">
        <v>629</v>
      </c>
      <c r="C600" s="20">
        <v>6591161</v>
      </c>
      <c r="D600" s="20">
        <v>7635028</v>
      </c>
      <c r="E600" s="56">
        <v>-13.67</v>
      </c>
      <c r="F600" s="57">
        <v>-424984</v>
      </c>
      <c r="G600" s="57">
        <v>-739861</v>
      </c>
      <c r="H600" s="57">
        <v>77725</v>
      </c>
      <c r="I600" s="57">
        <v>225289</v>
      </c>
      <c r="J600" s="57">
        <v>-399264</v>
      </c>
      <c r="K600" s="57">
        <v>-463048</v>
      </c>
      <c r="L600" s="56"/>
      <c r="M600" s="20">
        <v>2823628</v>
      </c>
      <c r="N600" s="56">
        <v>-1.41</v>
      </c>
      <c r="O600" s="56">
        <v>-1.64</v>
      </c>
      <c r="P600" s="58">
        <v>23</v>
      </c>
      <c r="Q600" s="59">
        <v>63.964938864760903</v>
      </c>
      <c r="R600" s="59">
        <v>1.52590649468982</v>
      </c>
      <c r="S600" s="59">
        <v>1.0410328157391799</v>
      </c>
      <c r="X600" s="2">
        <f t="shared" si="27"/>
        <v>0.36035061135239099</v>
      </c>
      <c r="Y600" s="2">
        <f>SUMIF(收盤價!A:A,A600,收盤價!C:C)</f>
        <v>16.649999999999999</v>
      </c>
      <c r="Z600" s="2">
        <f t="shared" si="28"/>
        <v>6494344.4000000004</v>
      </c>
      <c r="AA600" s="2">
        <f t="shared" si="29"/>
        <v>4701340.6199999992</v>
      </c>
    </row>
    <row r="601" spans="1:27" ht="14.5" customHeight="1">
      <c r="A601" s="19" t="s">
        <v>5286</v>
      </c>
      <c r="B601" s="3" t="s">
        <v>653</v>
      </c>
      <c r="C601" s="20">
        <v>20966541</v>
      </c>
      <c r="D601" s="20">
        <v>24089291</v>
      </c>
      <c r="E601" s="56">
        <v>-12.96</v>
      </c>
      <c r="F601" s="57">
        <v>835193</v>
      </c>
      <c r="G601" s="57">
        <v>889068</v>
      </c>
      <c r="H601" s="57">
        <v>230515</v>
      </c>
      <c r="I601" s="57">
        <v>234891</v>
      </c>
      <c r="J601" s="57">
        <v>822244</v>
      </c>
      <c r="K601" s="57">
        <v>793069</v>
      </c>
      <c r="L601" s="56">
        <v>3.68</v>
      </c>
      <c r="M601" s="20">
        <v>4432457</v>
      </c>
      <c r="N601" s="56">
        <v>1.86</v>
      </c>
      <c r="O601" s="56">
        <v>1.8</v>
      </c>
      <c r="P601" s="58">
        <v>38</v>
      </c>
      <c r="Q601" s="59">
        <v>59.412502109416501</v>
      </c>
      <c r="R601" s="59">
        <v>1.6912267199767199</v>
      </c>
      <c r="S601" s="59">
        <v>1.1427799925451001</v>
      </c>
      <c r="X601" s="2">
        <f t="shared" si="27"/>
        <v>0.40587497890583502</v>
      </c>
      <c r="Y601" s="2">
        <f>SUMIF(收盤價!A:A,A601,收盤價!C:C)</f>
        <v>34.75</v>
      </c>
      <c r="Z601" s="2">
        <f t="shared" si="28"/>
        <v>16843336.600000001</v>
      </c>
      <c r="AA601" s="2">
        <f t="shared" si="29"/>
        <v>15402788.074999999</v>
      </c>
    </row>
    <row r="602" spans="1:27" ht="14.5" customHeight="1">
      <c r="A602" s="19" t="s">
        <v>5287</v>
      </c>
      <c r="B602" s="3" t="s">
        <v>669</v>
      </c>
      <c r="C602" s="20">
        <v>8468615</v>
      </c>
      <c r="D602" s="20">
        <v>9378711</v>
      </c>
      <c r="E602" s="56">
        <v>-9.6999999999999993</v>
      </c>
      <c r="F602" s="57">
        <v>-54636</v>
      </c>
      <c r="G602" s="57">
        <v>16147</v>
      </c>
      <c r="H602" s="57">
        <v>160568</v>
      </c>
      <c r="I602" s="57">
        <v>-2148036</v>
      </c>
      <c r="J602" s="57">
        <v>151616</v>
      </c>
      <c r="K602" s="57">
        <v>-1428791</v>
      </c>
      <c r="L602" s="56"/>
      <c r="M602" s="20">
        <v>2059057</v>
      </c>
      <c r="N602" s="56">
        <v>0.74</v>
      </c>
      <c r="O602" s="56">
        <v>-6.94</v>
      </c>
      <c r="P602" s="58">
        <v>10.6</v>
      </c>
      <c r="Q602" s="59">
        <v>15.207193315796999</v>
      </c>
      <c r="R602" s="59">
        <v>1.4912357759886099</v>
      </c>
      <c r="S602" s="59">
        <v>1.01043046939379</v>
      </c>
      <c r="X602" s="2">
        <f t="shared" si="27"/>
        <v>0.84792806684203004</v>
      </c>
      <c r="Y602" s="2">
        <f>SUMIF(收盤價!A:A,A602,收盤價!C:C)</f>
        <v>12.75</v>
      </c>
      <c r="Z602" s="2">
        <f t="shared" si="28"/>
        <v>2182600.42</v>
      </c>
      <c r="AA602" s="2">
        <f t="shared" si="29"/>
        <v>2625297.6749999998</v>
      </c>
    </row>
    <row r="603" spans="1:27" ht="14.5" customHeight="1">
      <c r="A603" s="19" t="s">
        <v>5288</v>
      </c>
      <c r="B603" s="3" t="s">
        <v>673</v>
      </c>
      <c r="C603" s="20">
        <v>268791694</v>
      </c>
      <c r="D603" s="20">
        <v>307634389</v>
      </c>
      <c r="E603" s="56">
        <v>-12.63</v>
      </c>
      <c r="F603" s="57">
        <v>-20467948</v>
      </c>
      <c r="G603" s="57">
        <v>6667865</v>
      </c>
      <c r="H603" s="57">
        <v>623194</v>
      </c>
      <c r="I603" s="57">
        <v>4548286</v>
      </c>
      <c r="J603" s="57">
        <v>-19185258</v>
      </c>
      <c r="K603" s="57">
        <v>10160598</v>
      </c>
      <c r="L603" s="56"/>
      <c r="M603" s="20">
        <v>96242451</v>
      </c>
      <c r="N603" s="56">
        <v>-2</v>
      </c>
      <c r="O603" s="56">
        <v>1.06</v>
      </c>
      <c r="P603" s="58">
        <v>18.600000000000001</v>
      </c>
      <c r="Q603" s="59">
        <v>44.430366745683301</v>
      </c>
      <c r="R603" s="59">
        <v>1.58183181133979</v>
      </c>
      <c r="S603" s="59">
        <v>1.25996593167895</v>
      </c>
      <c r="X603" s="2">
        <f t="shared" si="27"/>
        <v>0.55569633254316697</v>
      </c>
      <c r="Y603" s="2">
        <f>SUMIF(收盤價!A:A,A603,收盤價!C:C)</f>
        <v>10.050000000000001</v>
      </c>
      <c r="Z603" s="2">
        <f t="shared" si="28"/>
        <v>179010958.86000001</v>
      </c>
      <c r="AA603" s="2">
        <f t="shared" si="29"/>
        <v>96723663.25500001</v>
      </c>
    </row>
    <row r="604" spans="1:27" ht="14.5" customHeight="1">
      <c r="A604" s="19" t="s">
        <v>5289</v>
      </c>
      <c r="B604" s="3" t="s">
        <v>697</v>
      </c>
      <c r="C604" s="20">
        <v>2519855</v>
      </c>
      <c r="D604" s="20">
        <v>3028131</v>
      </c>
      <c r="E604" s="56">
        <v>-16.79</v>
      </c>
      <c r="F604" s="57">
        <v>-28352</v>
      </c>
      <c r="G604" s="57">
        <v>139669</v>
      </c>
      <c r="H604" s="57">
        <v>259883</v>
      </c>
      <c r="I604" s="57">
        <v>381112</v>
      </c>
      <c r="J604" s="57">
        <v>179858</v>
      </c>
      <c r="K604" s="57">
        <v>537824</v>
      </c>
      <c r="L604" s="56">
        <v>-66.56</v>
      </c>
      <c r="M604" s="20">
        <v>3006223</v>
      </c>
      <c r="N604" s="56">
        <v>0.6</v>
      </c>
      <c r="O604" s="56">
        <v>1.79</v>
      </c>
      <c r="P604" s="58">
        <v>12.27</v>
      </c>
      <c r="Q604" s="59">
        <v>59.173900226855601</v>
      </c>
      <c r="R604" s="59">
        <v>2.24715158594663</v>
      </c>
      <c r="S604" s="59">
        <v>1.36041872585138</v>
      </c>
      <c r="X604" s="2">
        <f t="shared" si="27"/>
        <v>0.40826099773144398</v>
      </c>
      <c r="Y604" s="2">
        <f>SUMIF(收盤價!A:A,A604,收盤價!C:C)</f>
        <v>15.55</v>
      </c>
      <c r="Z604" s="2">
        <f t="shared" si="28"/>
        <v>3688635.6210000003</v>
      </c>
      <c r="AA604" s="2">
        <f t="shared" si="29"/>
        <v>4674676.7649999997</v>
      </c>
    </row>
    <row r="605" spans="1:27" ht="14.5" customHeight="1">
      <c r="A605" s="19" t="s">
        <v>5290</v>
      </c>
      <c r="B605" s="3" t="s">
        <v>715</v>
      </c>
      <c r="C605" s="20">
        <v>431354</v>
      </c>
      <c r="D605" s="20">
        <v>444165</v>
      </c>
      <c r="E605" s="56">
        <v>-2.88</v>
      </c>
      <c r="F605" s="57">
        <v>37124</v>
      </c>
      <c r="G605" s="57">
        <v>69944</v>
      </c>
      <c r="H605" s="57">
        <v>-78974</v>
      </c>
      <c r="I605" s="57">
        <v>6453</v>
      </c>
      <c r="J605" s="57">
        <v>-82299</v>
      </c>
      <c r="K605" s="57">
        <v>8984</v>
      </c>
      <c r="L605" s="56"/>
      <c r="M605" s="20">
        <v>952159</v>
      </c>
      <c r="N605" s="56">
        <v>-0.86</v>
      </c>
      <c r="O605" s="56">
        <v>0.09</v>
      </c>
      <c r="P605" s="58">
        <v>6.17</v>
      </c>
      <c r="Q605" s="59">
        <v>59.032935074129298</v>
      </c>
      <c r="R605" s="59">
        <v>5.1636540378250002</v>
      </c>
      <c r="S605" s="59">
        <v>4.3344817827215802</v>
      </c>
      <c r="X605" s="2">
        <f t="shared" si="27"/>
        <v>0.409670649258707</v>
      </c>
      <c r="Y605" s="2">
        <f>SUMIF(收盤價!A:A,A605,收盤價!C:C)</f>
        <v>8.5</v>
      </c>
      <c r="Z605" s="2">
        <f t="shared" si="28"/>
        <v>587482.103</v>
      </c>
      <c r="AA605" s="2">
        <f t="shared" si="29"/>
        <v>809335.15</v>
      </c>
    </row>
    <row r="606" spans="1:27" ht="14.5" customHeight="1">
      <c r="A606" s="19" t="s">
        <v>5291</v>
      </c>
      <c r="B606" s="3" t="s">
        <v>729</v>
      </c>
      <c r="C606" s="20">
        <v>15959831</v>
      </c>
      <c r="D606" s="20">
        <v>20306412</v>
      </c>
      <c r="E606" s="56">
        <v>-21.4</v>
      </c>
      <c r="F606" s="57">
        <v>-3691553</v>
      </c>
      <c r="G606" s="57">
        <v>-678843</v>
      </c>
      <c r="H606" s="57">
        <v>-62549</v>
      </c>
      <c r="I606" s="57">
        <v>-188298</v>
      </c>
      <c r="J606" s="57">
        <v>-3753797</v>
      </c>
      <c r="K606" s="57">
        <v>-456146</v>
      </c>
      <c r="L606" s="56"/>
      <c r="M606" s="20">
        <v>10887014</v>
      </c>
      <c r="N606" s="56">
        <v>-3.48</v>
      </c>
      <c r="O606" s="56">
        <v>-0.42</v>
      </c>
      <c r="P606" s="58">
        <v>41.93</v>
      </c>
      <c r="Q606" s="59">
        <v>76.994243717203005</v>
      </c>
      <c r="R606" s="59">
        <v>2.89570070158786</v>
      </c>
      <c r="S606" s="59">
        <v>2.2549977414245599</v>
      </c>
      <c r="X606" s="2">
        <f t="shared" si="27"/>
        <v>0.23005756282796994</v>
      </c>
      <c r="Y606" s="2">
        <f>SUMIF(收盤價!A:A,A606,收盤價!C:C)</f>
        <v>32.35</v>
      </c>
      <c r="Z606" s="2">
        <f t="shared" si="28"/>
        <v>45649249.702</v>
      </c>
      <c r="AA606" s="2">
        <f t="shared" si="29"/>
        <v>35219490.290000007</v>
      </c>
    </row>
    <row r="607" spans="1:27" ht="14.5" customHeight="1">
      <c r="A607" s="19" t="s">
        <v>5292</v>
      </c>
      <c r="B607" s="3" t="s">
        <v>761</v>
      </c>
      <c r="C607" s="20">
        <v>2294655</v>
      </c>
      <c r="D607" s="20">
        <v>2626834</v>
      </c>
      <c r="E607" s="56">
        <v>-12.65</v>
      </c>
      <c r="F607" s="57">
        <v>-89117</v>
      </c>
      <c r="G607" s="57">
        <v>-70228</v>
      </c>
      <c r="H607" s="57">
        <v>199908</v>
      </c>
      <c r="I607" s="57">
        <v>91226</v>
      </c>
      <c r="J607" s="57">
        <v>27532</v>
      </c>
      <c r="K607" s="57">
        <v>3502</v>
      </c>
      <c r="L607" s="56">
        <v>686.18</v>
      </c>
      <c r="M607" s="20">
        <v>1563342</v>
      </c>
      <c r="N607" s="56">
        <v>0.18</v>
      </c>
      <c r="O607" s="56">
        <v>0.02</v>
      </c>
      <c r="P607" s="58">
        <v>10.9</v>
      </c>
      <c r="Q607" s="59">
        <v>40.591062242501103</v>
      </c>
      <c r="R607" s="59">
        <v>2.1824523133406299</v>
      </c>
      <c r="S607" s="59">
        <v>1.46036921721888</v>
      </c>
      <c r="X607" s="2">
        <f t="shared" si="27"/>
        <v>0.59408937757498892</v>
      </c>
      <c r="Y607" s="2">
        <f>SUMIF(收盤價!A:A,A607,收盤價!C:C)</f>
        <v>34.15</v>
      </c>
      <c r="Z607" s="2">
        <f t="shared" si="28"/>
        <v>1704042.78</v>
      </c>
      <c r="AA607" s="2">
        <f t="shared" si="29"/>
        <v>5338812.93</v>
      </c>
    </row>
    <row r="608" spans="1:27" ht="14.5" customHeight="1">
      <c r="A608" s="19" t="s">
        <v>5293</v>
      </c>
      <c r="B608" s="3" t="s">
        <v>791</v>
      </c>
      <c r="C608" s="20">
        <v>3665270</v>
      </c>
      <c r="D608" s="20">
        <v>3988485</v>
      </c>
      <c r="E608" s="56">
        <v>-8.1</v>
      </c>
      <c r="F608" s="57">
        <v>-209939</v>
      </c>
      <c r="G608" s="57">
        <v>-193174</v>
      </c>
      <c r="H608" s="57">
        <v>-25200</v>
      </c>
      <c r="I608" s="57">
        <v>67593</v>
      </c>
      <c r="J608" s="57">
        <v>-177512</v>
      </c>
      <c r="K608" s="57">
        <v>-109133</v>
      </c>
      <c r="L608" s="56"/>
      <c r="M608" s="20">
        <v>2019586</v>
      </c>
      <c r="N608" s="56">
        <v>-0.9</v>
      </c>
      <c r="O608" s="56">
        <v>-0.56000000000000005</v>
      </c>
      <c r="P608" s="58">
        <v>14.74</v>
      </c>
      <c r="Q608" s="59">
        <v>49.764956080658003</v>
      </c>
      <c r="R608" s="59">
        <v>1.283517761206</v>
      </c>
      <c r="S608" s="59">
        <v>0.97069922219549298</v>
      </c>
      <c r="X608" s="2">
        <f t="shared" si="27"/>
        <v>0.50235043919341993</v>
      </c>
      <c r="Y608" s="2">
        <f>SUMIF(收盤價!A:A,A608,收盤價!C:C)</f>
        <v>9.15</v>
      </c>
      <c r="Z608" s="2">
        <f t="shared" si="28"/>
        <v>2976869.764</v>
      </c>
      <c r="AA608" s="2">
        <f t="shared" si="29"/>
        <v>1847921.1900000002</v>
      </c>
    </row>
    <row r="609" spans="1:27" ht="14.5" customHeight="1">
      <c r="A609" s="19" t="s">
        <v>5294</v>
      </c>
      <c r="B609" s="3" t="s">
        <v>795</v>
      </c>
      <c r="C609" s="20">
        <v>15220325</v>
      </c>
      <c r="D609" s="20">
        <v>15077957</v>
      </c>
      <c r="E609" s="56">
        <v>0.94</v>
      </c>
      <c r="F609" s="57">
        <v>-108822</v>
      </c>
      <c r="G609" s="57">
        <v>-66118</v>
      </c>
      <c r="H609" s="57">
        <v>172588</v>
      </c>
      <c r="I609" s="57">
        <v>306453</v>
      </c>
      <c r="J609" s="57">
        <v>4690</v>
      </c>
      <c r="K609" s="57">
        <v>156267</v>
      </c>
      <c r="L609" s="56">
        <v>-97</v>
      </c>
      <c r="M609" s="20">
        <v>8093620</v>
      </c>
      <c r="N609" s="56">
        <v>0.01</v>
      </c>
      <c r="O609" s="56">
        <v>0.19</v>
      </c>
      <c r="P609" s="58">
        <v>14.6</v>
      </c>
      <c r="Q609" s="59">
        <v>68.627529200209096</v>
      </c>
      <c r="R609" s="59">
        <v>2.6499386036720902</v>
      </c>
      <c r="S609" s="59">
        <v>2.1500613533332902</v>
      </c>
      <c r="X609" s="2">
        <f t="shared" si="27"/>
        <v>0.31372470799790902</v>
      </c>
      <c r="Y609" s="2">
        <f>SUMIF(收盤價!A:A,A609,收盤價!C:C)</f>
        <v>10.65</v>
      </c>
      <c r="Z609" s="2">
        <f t="shared" si="28"/>
        <v>11816685.199999999</v>
      </c>
      <c r="AA609" s="2">
        <f t="shared" si="29"/>
        <v>8619705.3000000007</v>
      </c>
    </row>
    <row r="610" spans="1:27" ht="14.5" customHeight="1">
      <c r="A610" s="19" t="s">
        <v>5295</v>
      </c>
      <c r="B610" s="3" t="s">
        <v>797</v>
      </c>
      <c r="C610" s="20">
        <v>322760</v>
      </c>
      <c r="D610" s="20">
        <v>355194</v>
      </c>
      <c r="E610" s="56">
        <v>-9.1300000000000008</v>
      </c>
      <c r="F610" s="57">
        <v>-161906</v>
      </c>
      <c r="G610" s="57">
        <v>-24780</v>
      </c>
      <c r="H610" s="57">
        <v>1346082</v>
      </c>
      <c r="I610" s="57">
        <v>-16582</v>
      </c>
      <c r="J610" s="57">
        <v>449365</v>
      </c>
      <c r="K610" s="57">
        <v>-32089</v>
      </c>
      <c r="L610" s="56"/>
      <c r="M610" s="20">
        <v>820080</v>
      </c>
      <c r="N610" s="56">
        <v>5.48</v>
      </c>
      <c r="O610" s="56">
        <v>-0.41</v>
      </c>
      <c r="P610" s="58">
        <v>12.49</v>
      </c>
      <c r="Q610" s="59">
        <v>50.942547139788402</v>
      </c>
      <c r="R610" s="59">
        <v>9.7101002815095292</v>
      </c>
      <c r="S610" s="59">
        <v>8.0645568478946892</v>
      </c>
      <c r="X610" s="2">
        <f t="shared" si="27"/>
        <v>0.49057452860211598</v>
      </c>
      <c r="Y610" s="2">
        <f>SUMIF(收盤價!A:A,A610,收盤價!C:C)</f>
        <v>9.41</v>
      </c>
      <c r="Z610" s="2">
        <f t="shared" si="28"/>
        <v>1024279.9199999999</v>
      </c>
      <c r="AA610" s="2">
        <f t="shared" si="29"/>
        <v>771695.28</v>
      </c>
    </row>
    <row r="611" spans="1:27" ht="14.5" customHeight="1">
      <c r="A611" s="19" t="s">
        <v>5297</v>
      </c>
      <c r="B611" s="3" t="s">
        <v>1043</v>
      </c>
      <c r="C611" s="20">
        <v>60745008</v>
      </c>
      <c r="D611" s="20">
        <v>49952158</v>
      </c>
      <c r="E611" s="56">
        <v>21.61</v>
      </c>
      <c r="F611" s="57">
        <v>36499337</v>
      </c>
      <c r="G611" s="57">
        <v>29611940</v>
      </c>
      <c r="H611" s="57">
        <v>79518</v>
      </c>
      <c r="I611" s="57">
        <v>1583931</v>
      </c>
      <c r="J611" s="57">
        <v>28263082</v>
      </c>
      <c r="K611" s="57">
        <v>24369534</v>
      </c>
      <c r="L611" s="56">
        <v>15.98</v>
      </c>
      <c r="M611" s="20">
        <v>1341402</v>
      </c>
      <c r="N611" s="56">
        <v>210.7</v>
      </c>
      <c r="O611" s="56">
        <v>181.67</v>
      </c>
      <c r="P611" s="58">
        <v>942.25</v>
      </c>
      <c r="Q611" s="59">
        <v>82.169157415722594</v>
      </c>
      <c r="R611" s="59">
        <v>4.1115806438983</v>
      </c>
      <c r="S611" s="59">
        <v>3.96382179300105</v>
      </c>
      <c r="X611" s="2">
        <f t="shared" si="27"/>
        <v>0.17830842584277407</v>
      </c>
      <c r="Y611" s="2">
        <f>SUMIF(收盤價!A:A,A611,收盤價!C:C)</f>
        <v>5000</v>
      </c>
      <c r="Z611" s="2">
        <f t="shared" si="28"/>
        <v>126393603.45</v>
      </c>
      <c r="AA611" s="2">
        <f t="shared" si="29"/>
        <v>670701000</v>
      </c>
    </row>
    <row r="612" spans="1:27" ht="14.5" customHeight="1">
      <c r="A612" s="19" t="s">
        <v>5298</v>
      </c>
      <c r="B612" s="3" t="s">
        <v>1061</v>
      </c>
      <c r="C612" s="20">
        <v>18117631</v>
      </c>
      <c r="D612" s="20">
        <v>19082734</v>
      </c>
      <c r="E612" s="56">
        <v>-5.0599999999999996</v>
      </c>
      <c r="F612" s="57">
        <v>1381411</v>
      </c>
      <c r="G612" s="57">
        <v>1596016</v>
      </c>
      <c r="H612" s="57">
        <v>271145</v>
      </c>
      <c r="I612" s="57">
        <v>271581</v>
      </c>
      <c r="J612" s="57">
        <v>958754</v>
      </c>
      <c r="K612" s="57">
        <v>1092557</v>
      </c>
      <c r="L612" s="56">
        <v>-12.25</v>
      </c>
      <c r="M612" s="20">
        <v>2810839</v>
      </c>
      <c r="N612" s="56">
        <v>3.41</v>
      </c>
      <c r="O612" s="56">
        <v>3.89</v>
      </c>
      <c r="P612" s="58">
        <v>41.8</v>
      </c>
      <c r="Q612" s="59">
        <v>59.364004054809698</v>
      </c>
      <c r="R612" s="59">
        <v>3.98618411327634</v>
      </c>
      <c r="S612" s="59">
        <v>3.32551714359552</v>
      </c>
      <c r="X612" s="2">
        <f t="shared" si="27"/>
        <v>0.40635995945190301</v>
      </c>
      <c r="Y612" s="2">
        <f>SUMIF(收盤價!A:A,A612,收盤價!C:C)</f>
        <v>108</v>
      </c>
      <c r="Z612" s="2">
        <f t="shared" si="28"/>
        <v>11749307.02</v>
      </c>
      <c r="AA612" s="2">
        <f t="shared" si="29"/>
        <v>30357061.199999999</v>
      </c>
    </row>
    <row r="613" spans="1:27" ht="14.5" customHeight="1">
      <c r="A613" s="19" t="s">
        <v>5299</v>
      </c>
      <c r="B613" s="3" t="s">
        <v>1069</v>
      </c>
      <c r="C613" s="20">
        <v>1350219</v>
      </c>
      <c r="D613" s="20">
        <v>1574763</v>
      </c>
      <c r="E613" s="56">
        <v>-14.26</v>
      </c>
      <c r="F613" s="57">
        <v>9095</v>
      </c>
      <c r="G613" s="57">
        <v>22242</v>
      </c>
      <c r="H613" s="57">
        <v>55390</v>
      </c>
      <c r="I613" s="57">
        <v>142221</v>
      </c>
      <c r="J613" s="57">
        <v>54736</v>
      </c>
      <c r="K613" s="57">
        <v>148278</v>
      </c>
      <c r="L613" s="56">
        <v>-63.09</v>
      </c>
      <c r="M613" s="20">
        <v>2771575</v>
      </c>
      <c r="N613" s="56">
        <v>0.2</v>
      </c>
      <c r="O613" s="56">
        <v>0.53</v>
      </c>
      <c r="P613" s="58">
        <v>9.5399999999999991</v>
      </c>
      <c r="Q613" s="59">
        <v>70.161945887817595</v>
      </c>
      <c r="R613" s="59">
        <v>1.5022841154456399</v>
      </c>
      <c r="S613" s="59">
        <v>0.91095542752595804</v>
      </c>
      <c r="X613" s="2">
        <f t="shared" si="27"/>
        <v>0.29838054112182405</v>
      </c>
      <c r="Y613" s="2">
        <f>SUMIF(收盤價!A:A,A613,收盤價!C:C)</f>
        <v>8.07</v>
      </c>
      <c r="Z613" s="2">
        <f t="shared" si="28"/>
        <v>2644082.5499999998</v>
      </c>
      <c r="AA613" s="2">
        <f t="shared" si="29"/>
        <v>2236661.0249999999</v>
      </c>
    </row>
    <row r="614" spans="1:27" ht="14.5" customHeight="1">
      <c r="A614" s="19" t="s">
        <v>5300</v>
      </c>
      <c r="B614" s="3" t="s">
        <v>1083</v>
      </c>
      <c r="C614" s="20">
        <v>1763659</v>
      </c>
      <c r="D614" s="20">
        <v>1650740</v>
      </c>
      <c r="E614" s="56">
        <v>6.84</v>
      </c>
      <c r="F614" s="57">
        <v>139731</v>
      </c>
      <c r="G614" s="57">
        <v>24271</v>
      </c>
      <c r="H614" s="57">
        <v>119816</v>
      </c>
      <c r="I614" s="57">
        <v>86990</v>
      </c>
      <c r="J614" s="57">
        <v>234486</v>
      </c>
      <c r="K614" s="57">
        <v>109022</v>
      </c>
      <c r="L614" s="56">
        <v>115.08</v>
      </c>
      <c r="M614" s="20">
        <v>1866742</v>
      </c>
      <c r="N614" s="56">
        <v>1.28</v>
      </c>
      <c r="O614" s="56">
        <v>0.57999999999999996</v>
      </c>
      <c r="P614" s="58">
        <v>15.46</v>
      </c>
      <c r="Q614" s="59">
        <v>77.299186350866705</v>
      </c>
      <c r="R614" s="59">
        <v>3.6296091816769298</v>
      </c>
      <c r="S614" s="59">
        <v>2.7271519105714499</v>
      </c>
      <c r="X614" s="2">
        <f t="shared" si="27"/>
        <v>0.22700813649133295</v>
      </c>
      <c r="Y614" s="2">
        <f>SUMIF(收盤價!A:A,A614,收盤價!C:C)</f>
        <v>16.7</v>
      </c>
      <c r="Z614" s="2">
        <f t="shared" si="28"/>
        <v>2885983.1320000002</v>
      </c>
      <c r="AA614" s="2">
        <f t="shared" si="29"/>
        <v>3117459.1399999997</v>
      </c>
    </row>
    <row r="615" spans="1:27" ht="14.5" customHeight="1">
      <c r="A615" s="19" t="s">
        <v>5301</v>
      </c>
      <c r="B615" s="3" t="s">
        <v>1097</v>
      </c>
      <c r="C615" s="20">
        <v>4107559</v>
      </c>
      <c r="D615" s="20">
        <v>2818735</v>
      </c>
      <c r="E615" s="56">
        <v>45.72</v>
      </c>
      <c r="F615" s="57">
        <v>314590</v>
      </c>
      <c r="G615" s="57">
        <v>60968</v>
      </c>
      <c r="H615" s="57">
        <v>-10690</v>
      </c>
      <c r="I615" s="57">
        <v>65661</v>
      </c>
      <c r="J615" s="57">
        <v>257325</v>
      </c>
      <c r="K615" s="57">
        <v>111926</v>
      </c>
      <c r="L615" s="56">
        <v>129.91</v>
      </c>
      <c r="M615" s="20">
        <v>1624076</v>
      </c>
      <c r="N615" s="56">
        <v>1.73</v>
      </c>
      <c r="O615" s="56">
        <v>0.71</v>
      </c>
      <c r="P615" s="58">
        <v>12.73</v>
      </c>
      <c r="Q615" s="59">
        <v>52.025727645725702</v>
      </c>
      <c r="R615" s="59">
        <v>1.9307779335850801</v>
      </c>
      <c r="S615" s="59">
        <v>1.2947048273145401</v>
      </c>
      <c r="X615" s="2">
        <f t="shared" si="27"/>
        <v>0.479742723542743</v>
      </c>
      <c r="Y615" s="2">
        <f>SUMIF(收盤價!A:A,A615,收盤價!C:C)</f>
        <v>17.600000000000001</v>
      </c>
      <c r="Z615" s="2">
        <f t="shared" si="28"/>
        <v>2067448.7480000001</v>
      </c>
      <c r="AA615" s="2">
        <f t="shared" si="29"/>
        <v>2858373.7600000002</v>
      </c>
    </row>
    <row r="616" spans="1:27" ht="14.5" customHeight="1">
      <c r="A616" s="19" t="s">
        <v>5302</v>
      </c>
      <c r="B616" s="3" t="s">
        <v>1117</v>
      </c>
      <c r="C616" s="20">
        <v>4403816</v>
      </c>
      <c r="D616" s="20">
        <v>2843178</v>
      </c>
      <c r="E616" s="56">
        <v>54.89</v>
      </c>
      <c r="F616" s="57">
        <v>1260940</v>
      </c>
      <c r="G616" s="57">
        <v>171240</v>
      </c>
      <c r="H616" s="57">
        <v>-83896</v>
      </c>
      <c r="I616" s="57">
        <v>9013</v>
      </c>
      <c r="J616" s="57">
        <v>1018057</v>
      </c>
      <c r="K616" s="57">
        <v>183340</v>
      </c>
      <c r="L616" s="56">
        <v>455.28</v>
      </c>
      <c r="M616" s="20">
        <v>8069485</v>
      </c>
      <c r="N616" s="56">
        <v>1.35</v>
      </c>
      <c r="O616" s="56">
        <v>0.25</v>
      </c>
      <c r="P616" s="58">
        <v>11.62</v>
      </c>
      <c r="Q616" s="59">
        <v>55.040574911241002</v>
      </c>
      <c r="R616" s="59">
        <v>0.95255594467035498</v>
      </c>
      <c r="S616" s="59">
        <v>0.61249634521312202</v>
      </c>
      <c r="X616" s="2">
        <f t="shared" si="27"/>
        <v>0.44959425088758997</v>
      </c>
      <c r="Y616" s="2">
        <f>SUMIF(收盤價!A:A,A616,收盤價!C:C)</f>
        <v>13.6</v>
      </c>
      <c r="Z616" s="2">
        <f t="shared" si="28"/>
        <v>9376741.5699999984</v>
      </c>
      <c r="AA616" s="2">
        <f t="shared" si="29"/>
        <v>10974499.6</v>
      </c>
    </row>
    <row r="617" spans="1:27" ht="14.5" customHeight="1">
      <c r="A617" s="19" t="s">
        <v>5303</v>
      </c>
      <c r="B617" s="3" t="s">
        <v>1119</v>
      </c>
      <c r="C617" s="20">
        <v>1020063</v>
      </c>
      <c r="D617" s="20">
        <v>819423</v>
      </c>
      <c r="E617" s="56">
        <v>24.49</v>
      </c>
      <c r="F617" s="57">
        <v>203039</v>
      </c>
      <c r="G617" s="57">
        <v>49448</v>
      </c>
      <c r="H617" s="57">
        <v>-63690</v>
      </c>
      <c r="I617" s="57">
        <v>19358</v>
      </c>
      <c r="J617" s="57">
        <v>110201</v>
      </c>
      <c r="K617" s="57">
        <v>68099</v>
      </c>
      <c r="L617" s="56">
        <v>61.82</v>
      </c>
      <c r="M617" s="20">
        <v>1459845</v>
      </c>
      <c r="N617" s="56">
        <v>0.75</v>
      </c>
      <c r="O617" s="56">
        <v>0.47</v>
      </c>
      <c r="P617" s="58">
        <v>15.8</v>
      </c>
      <c r="Q617" s="59">
        <v>42.314980799491899</v>
      </c>
      <c r="R617" s="59">
        <v>1.84052771807708</v>
      </c>
      <c r="S617" s="59">
        <v>1.6941282652312499</v>
      </c>
      <c r="X617" s="2">
        <f t="shared" si="27"/>
        <v>0.57685019200508103</v>
      </c>
      <c r="Y617" s="2">
        <f>SUMIF(收盤價!A:A,A617,收盤價!C:C)</f>
        <v>11.65</v>
      </c>
      <c r="Z617" s="2">
        <f t="shared" si="28"/>
        <v>2306555.1</v>
      </c>
      <c r="AA617" s="2">
        <f t="shared" si="29"/>
        <v>1700719.425</v>
      </c>
    </row>
    <row r="618" spans="1:27" ht="14.5" customHeight="1">
      <c r="A618" s="19" t="s">
        <v>5638</v>
      </c>
      <c r="B618" s="3" t="s">
        <v>1121</v>
      </c>
      <c r="C618" s="20">
        <v>2514724</v>
      </c>
      <c r="D618" s="20">
        <v>2453837</v>
      </c>
      <c r="E618" s="56">
        <v>2.48</v>
      </c>
      <c r="F618" s="57">
        <v>145686</v>
      </c>
      <c r="G618" s="57">
        <v>155074</v>
      </c>
      <c r="H618" s="57">
        <v>-272415</v>
      </c>
      <c r="I618" s="57">
        <v>-198753</v>
      </c>
      <c r="J618" s="57">
        <v>-169313</v>
      </c>
      <c r="K618" s="57">
        <v>-104133</v>
      </c>
      <c r="L618" s="56"/>
      <c r="M618" s="20">
        <v>3253324</v>
      </c>
      <c r="N618" s="56">
        <v>-0.52</v>
      </c>
      <c r="O618" s="56">
        <v>-0.32</v>
      </c>
      <c r="P618" s="58">
        <v>3.79</v>
      </c>
      <c r="Q618" s="59">
        <v>13.7690158249359</v>
      </c>
      <c r="R618" s="59">
        <v>1.1140672097373401</v>
      </c>
      <c r="S618" s="59">
        <v>0.53975124685338804</v>
      </c>
      <c r="X618" s="2">
        <f t="shared" si="27"/>
        <v>0.86230984175064096</v>
      </c>
      <c r="Y618" s="2">
        <f>SUMIF(收盤價!A:A,A618,收盤價!C:C)</f>
        <v>3.16</v>
      </c>
      <c r="Z618" s="2">
        <f t="shared" si="28"/>
        <v>1233009.7960000001</v>
      </c>
      <c r="AA618" s="2">
        <f t="shared" si="29"/>
        <v>1028050.384</v>
      </c>
    </row>
    <row r="619" spans="1:27" ht="14.5" customHeight="1">
      <c r="A619" s="19" t="s">
        <v>5304</v>
      </c>
      <c r="B619" s="3" t="s">
        <v>1135</v>
      </c>
      <c r="C619" s="20">
        <v>6189352</v>
      </c>
      <c r="D619" s="20">
        <v>11193569</v>
      </c>
      <c r="E619" s="56">
        <v>-44.71</v>
      </c>
      <c r="F619" s="57">
        <v>-156670</v>
      </c>
      <c r="G619" s="57">
        <v>91257</v>
      </c>
      <c r="H619" s="57">
        <v>188092</v>
      </c>
      <c r="I619" s="57">
        <v>209763</v>
      </c>
      <c r="J619" s="57">
        <v>84308</v>
      </c>
      <c r="K619" s="57">
        <v>130562</v>
      </c>
      <c r="L619" s="56">
        <v>-35.43</v>
      </c>
      <c r="M619" s="20">
        <v>2753613</v>
      </c>
      <c r="N619" s="56">
        <v>0.31</v>
      </c>
      <c r="O619" s="56">
        <v>0.48</v>
      </c>
      <c r="P619" s="58">
        <v>31.39</v>
      </c>
      <c r="Q619" s="59">
        <v>61.365145014345998</v>
      </c>
      <c r="R619" s="59">
        <v>2.2231757540303301</v>
      </c>
      <c r="S619" s="59">
        <v>1.83440738961627</v>
      </c>
      <c r="X619" s="2">
        <f t="shared" si="27"/>
        <v>0.38634854985653999</v>
      </c>
      <c r="Y619" s="2">
        <f>SUMIF(收盤價!A:A,A619,收盤價!C:C)</f>
        <v>24.1</v>
      </c>
      <c r="Z619" s="2">
        <f t="shared" si="28"/>
        <v>8643591.2070000004</v>
      </c>
      <c r="AA619" s="2">
        <f t="shared" si="29"/>
        <v>6636207.3300000001</v>
      </c>
    </row>
    <row r="620" spans="1:27" ht="14.5" customHeight="1">
      <c r="A620" s="19" t="s">
        <v>5305</v>
      </c>
      <c r="B620" s="3" t="s">
        <v>1147</v>
      </c>
      <c r="C620" s="20">
        <v>2866074</v>
      </c>
      <c r="D620" s="20">
        <v>4170703</v>
      </c>
      <c r="E620" s="56">
        <v>-31.28</v>
      </c>
      <c r="F620" s="57">
        <v>-213916</v>
      </c>
      <c r="G620" s="57">
        <v>-183715</v>
      </c>
      <c r="H620" s="57">
        <v>154100</v>
      </c>
      <c r="I620" s="57">
        <v>64325</v>
      </c>
      <c r="J620" s="57">
        <v>-60369</v>
      </c>
      <c r="K620" s="57">
        <v>-124499</v>
      </c>
      <c r="L620" s="56"/>
      <c r="M620" s="20">
        <v>2063936</v>
      </c>
      <c r="N620" s="56">
        <v>-0.28999999999999998</v>
      </c>
      <c r="O620" s="56">
        <v>-0.64</v>
      </c>
      <c r="P620" s="58">
        <v>7.35</v>
      </c>
      <c r="Q620" s="59">
        <v>39.063861138398202</v>
      </c>
      <c r="R620" s="59">
        <v>0.99645890472729604</v>
      </c>
      <c r="S620" s="59">
        <v>0.75246683041469298</v>
      </c>
      <c r="X620" s="2">
        <f t="shared" si="27"/>
        <v>0.60936138861601796</v>
      </c>
      <c r="Y620" s="2">
        <f>SUMIF(收盤價!A:A,A620,收盤價!C:C)</f>
        <v>9.33</v>
      </c>
      <c r="Z620" s="2">
        <f t="shared" si="28"/>
        <v>1516992.96</v>
      </c>
      <c r="AA620" s="2">
        <f t="shared" si="29"/>
        <v>1925652.2879999999</v>
      </c>
    </row>
    <row r="621" spans="1:27" ht="14.5" customHeight="1">
      <c r="A621" s="19" t="s">
        <v>5306</v>
      </c>
      <c r="B621" s="3" t="s">
        <v>1178</v>
      </c>
      <c r="C621" s="20">
        <v>1381125</v>
      </c>
      <c r="D621" s="20">
        <v>1480385</v>
      </c>
      <c r="E621" s="56">
        <v>-6.71</v>
      </c>
      <c r="F621" s="57">
        <v>46704</v>
      </c>
      <c r="G621" s="57">
        <v>-114140</v>
      </c>
      <c r="H621" s="57">
        <v>-20820</v>
      </c>
      <c r="I621" s="57">
        <v>162398</v>
      </c>
      <c r="J621" s="57">
        <v>19956</v>
      </c>
      <c r="K621" s="57">
        <v>68380</v>
      </c>
      <c r="L621" s="56">
        <v>-70.819999999999993</v>
      </c>
      <c r="M621" s="20">
        <v>898645</v>
      </c>
      <c r="N621" s="56">
        <v>0.22</v>
      </c>
      <c r="O621" s="56">
        <v>0.77</v>
      </c>
      <c r="P621" s="58">
        <v>17.809999999999999</v>
      </c>
      <c r="Q621" s="59">
        <v>56.626477897591897</v>
      </c>
      <c r="R621" s="59">
        <v>2.1635073106250302</v>
      </c>
      <c r="S621" s="59">
        <v>0.646272585572776</v>
      </c>
      <c r="X621" s="2">
        <f t="shared" si="27"/>
        <v>0.43373522102408102</v>
      </c>
      <c r="Y621" s="2">
        <f>SUMIF(收盤價!A:A,A621,收盤價!C:C)</f>
        <v>30</v>
      </c>
      <c r="Z621" s="2">
        <f t="shared" si="28"/>
        <v>1600486.7449999999</v>
      </c>
      <c r="AA621" s="2">
        <f t="shared" si="29"/>
        <v>2695935</v>
      </c>
    </row>
    <row r="622" spans="1:27" ht="14.5" customHeight="1">
      <c r="A622" s="19" t="s">
        <v>5639</v>
      </c>
      <c r="B622" s="3" t="s">
        <v>1184</v>
      </c>
      <c r="C622" s="20">
        <v>744469</v>
      </c>
      <c r="D622" s="20">
        <v>901674</v>
      </c>
      <c r="E622" s="56">
        <v>-17.43</v>
      </c>
      <c r="F622" s="57">
        <v>-234948</v>
      </c>
      <c r="G622" s="57">
        <v>-343460</v>
      </c>
      <c r="H622" s="57">
        <v>-630</v>
      </c>
      <c r="I622" s="57">
        <v>-1295</v>
      </c>
      <c r="J622" s="57">
        <v>-231123</v>
      </c>
      <c r="K622" s="57">
        <v>-342604</v>
      </c>
      <c r="L622" s="56"/>
      <c r="M622" s="20">
        <v>700000</v>
      </c>
      <c r="N622" s="56">
        <v>-3.3</v>
      </c>
      <c r="O622" s="56">
        <v>-4.8899999999999997</v>
      </c>
      <c r="P622" s="58">
        <v>6.95</v>
      </c>
      <c r="Q622" s="59">
        <v>14.5951800947711</v>
      </c>
      <c r="R622" s="59">
        <v>1.7660841862672001</v>
      </c>
      <c r="S622" s="59">
        <v>0.91213990374839005</v>
      </c>
      <c r="X622" s="2">
        <f t="shared" si="27"/>
        <v>0.85404819905228901</v>
      </c>
      <c r="Y622" s="2">
        <f>SUMIF(收盤價!A:A,A622,收盤價!C:C)</f>
        <v>4.4400000000000004</v>
      </c>
      <c r="Z622" s="2">
        <f t="shared" si="28"/>
        <v>486500</v>
      </c>
      <c r="AA622" s="2">
        <f t="shared" si="29"/>
        <v>310800.00000000006</v>
      </c>
    </row>
    <row r="623" spans="1:27" ht="14.5" customHeight="1">
      <c r="A623" s="19" t="s">
        <v>5307</v>
      </c>
      <c r="B623" s="3" t="s">
        <v>1186</v>
      </c>
      <c r="C623" s="20">
        <v>12045811</v>
      </c>
      <c r="D623" s="20">
        <v>7914252</v>
      </c>
      <c r="E623" s="56">
        <v>52.2</v>
      </c>
      <c r="F623" s="57">
        <v>3376716</v>
      </c>
      <c r="G623" s="57">
        <v>1239934</v>
      </c>
      <c r="H623" s="57">
        <v>148966</v>
      </c>
      <c r="I623" s="57">
        <v>-4097</v>
      </c>
      <c r="J623" s="57">
        <v>2522333</v>
      </c>
      <c r="K623" s="57">
        <v>935621</v>
      </c>
      <c r="L623" s="56">
        <v>169.59</v>
      </c>
      <c r="M623" s="20">
        <v>1110927</v>
      </c>
      <c r="N623" s="56">
        <v>24.79</v>
      </c>
      <c r="O623" s="56">
        <v>9.3800000000000008</v>
      </c>
      <c r="P623" s="58">
        <v>121.95</v>
      </c>
      <c r="Q623" s="59">
        <v>64.400951171078901</v>
      </c>
      <c r="R623" s="59">
        <v>1.97120075093362</v>
      </c>
      <c r="S623" s="59">
        <v>1.7184846546608199</v>
      </c>
      <c r="X623" s="2">
        <f t="shared" si="27"/>
        <v>0.35599048828921098</v>
      </c>
      <c r="Y623" s="2">
        <f>SUMIF(收盤價!A:A,A623,收盤價!C:C)</f>
        <v>587</v>
      </c>
      <c r="Z623" s="2">
        <f t="shared" si="28"/>
        <v>13547754.765000001</v>
      </c>
      <c r="AA623" s="2">
        <f t="shared" si="29"/>
        <v>65211414.899999999</v>
      </c>
    </row>
    <row r="624" spans="1:27" ht="14.5" customHeight="1">
      <c r="A624" s="19" t="s">
        <v>5308</v>
      </c>
      <c r="B624" s="3" t="s">
        <v>1196</v>
      </c>
      <c r="C624" s="20">
        <v>4037141</v>
      </c>
      <c r="D624" s="20">
        <v>4643051</v>
      </c>
      <c r="E624" s="56">
        <v>-13.05</v>
      </c>
      <c r="F624" s="57">
        <v>-171061</v>
      </c>
      <c r="G624" s="57">
        <v>-395227</v>
      </c>
      <c r="H624" s="57">
        <v>-38473</v>
      </c>
      <c r="I624" s="57">
        <v>-31265</v>
      </c>
      <c r="J624" s="57">
        <v>-207225</v>
      </c>
      <c r="K624" s="57">
        <v>-386785</v>
      </c>
      <c r="L624" s="56"/>
      <c r="M624" s="20">
        <v>1445480</v>
      </c>
      <c r="N624" s="56">
        <v>-1.43</v>
      </c>
      <c r="O624" s="56">
        <v>-2.68</v>
      </c>
      <c r="P624" s="58">
        <v>18.3</v>
      </c>
      <c r="Q624" s="59">
        <v>60.609591082341801</v>
      </c>
      <c r="R624" s="59">
        <v>1.76726037195994</v>
      </c>
      <c r="S624" s="59">
        <v>1.4864479017644301</v>
      </c>
      <c r="X624" s="2">
        <f t="shared" si="27"/>
        <v>0.39390408917658198</v>
      </c>
      <c r="Y624" s="2">
        <f>SUMIF(收盤價!A:A,A624,收盤價!C:C)</f>
        <v>18</v>
      </c>
      <c r="Z624" s="2">
        <f t="shared" si="28"/>
        <v>2645228.4</v>
      </c>
      <c r="AA624" s="2">
        <f t="shared" si="29"/>
        <v>2601864</v>
      </c>
    </row>
    <row r="625" spans="1:27" ht="14.5" customHeight="1">
      <c r="A625" s="19" t="s">
        <v>5309</v>
      </c>
      <c r="B625" s="3" t="s">
        <v>1202</v>
      </c>
      <c r="C625" s="20">
        <v>6573617</v>
      </c>
      <c r="D625" s="20">
        <v>5235966</v>
      </c>
      <c r="E625" s="56">
        <v>25.55</v>
      </c>
      <c r="F625" s="57">
        <v>303540</v>
      </c>
      <c r="G625" s="57">
        <v>279576</v>
      </c>
      <c r="H625" s="57">
        <v>5325</v>
      </c>
      <c r="I625" s="57">
        <v>39423</v>
      </c>
      <c r="J625" s="57">
        <v>274905</v>
      </c>
      <c r="K625" s="57">
        <v>329578</v>
      </c>
      <c r="L625" s="56">
        <v>-16.59</v>
      </c>
      <c r="M625" s="20">
        <v>870339</v>
      </c>
      <c r="N625" s="56">
        <v>3.19</v>
      </c>
      <c r="O625" s="56">
        <v>3.83</v>
      </c>
      <c r="P625" s="58">
        <v>33.130000000000003</v>
      </c>
      <c r="Q625" s="59">
        <v>62.3079565933282</v>
      </c>
      <c r="R625" s="59">
        <v>2.3766328261463401</v>
      </c>
      <c r="S625" s="59">
        <v>1.41396527808063</v>
      </c>
      <c r="X625" s="2">
        <f t="shared" si="27"/>
        <v>0.37692043406671799</v>
      </c>
      <c r="Y625" s="2">
        <f>SUMIF(收盤價!A:A,A625,收盤價!C:C)</f>
        <v>91.7</v>
      </c>
      <c r="Z625" s="2">
        <f t="shared" si="28"/>
        <v>2883433.1070000003</v>
      </c>
      <c r="AA625" s="2">
        <f t="shared" si="29"/>
        <v>7981008.6299999999</v>
      </c>
    </row>
    <row r="626" spans="1:27" ht="14.5" customHeight="1">
      <c r="A626" s="19" t="s">
        <v>5310</v>
      </c>
      <c r="B626" s="3" t="s">
        <v>1204</v>
      </c>
      <c r="C626" s="20">
        <v>251971209</v>
      </c>
      <c r="D626" s="20">
        <v>279376115</v>
      </c>
      <c r="E626" s="56">
        <v>-9.81</v>
      </c>
      <c r="F626" s="57">
        <v>-19933896</v>
      </c>
      <c r="G626" s="57">
        <v>4835296</v>
      </c>
      <c r="H626" s="57">
        <v>3408468</v>
      </c>
      <c r="I626" s="57">
        <v>1734134</v>
      </c>
      <c r="J626" s="57">
        <v>-17442990</v>
      </c>
      <c r="K626" s="57">
        <v>2222762</v>
      </c>
      <c r="L626" s="56"/>
      <c r="M626" s="20">
        <v>97110720</v>
      </c>
      <c r="N626" s="56">
        <v>-1.77</v>
      </c>
      <c r="O626" s="56">
        <v>0.22</v>
      </c>
      <c r="P626" s="58">
        <v>24.08</v>
      </c>
      <c r="Q626" s="59">
        <v>62.723111762646802</v>
      </c>
      <c r="R626" s="59">
        <v>1.2012315221482901</v>
      </c>
      <c r="S626" s="59">
        <v>0.70605413039534304</v>
      </c>
      <c r="X626" s="2">
        <f t="shared" si="27"/>
        <v>0.37276888237353201</v>
      </c>
      <c r="Y626" s="2">
        <f>SUMIF(收盤價!A:A,A626,收盤價!C:C)</f>
        <v>8.33</v>
      </c>
      <c r="Z626" s="2">
        <f t="shared" si="28"/>
        <v>233842613.75999999</v>
      </c>
      <c r="AA626" s="2">
        <f t="shared" si="29"/>
        <v>80893229.760000005</v>
      </c>
    </row>
    <row r="627" spans="1:27" ht="14.5" customHeight="1">
      <c r="A627" s="19" t="s">
        <v>5311</v>
      </c>
      <c r="B627" s="3" t="s">
        <v>1210</v>
      </c>
      <c r="C627" s="20">
        <v>4819901</v>
      </c>
      <c r="D627" s="20">
        <v>6262245</v>
      </c>
      <c r="E627" s="56">
        <v>-23.03</v>
      </c>
      <c r="F627" s="57">
        <v>-8352</v>
      </c>
      <c r="G627" s="57">
        <v>166630</v>
      </c>
      <c r="H627" s="57">
        <v>13294</v>
      </c>
      <c r="I627" s="57">
        <v>77305</v>
      </c>
      <c r="J627" s="57">
        <v>4549</v>
      </c>
      <c r="K627" s="57">
        <v>179351</v>
      </c>
      <c r="L627" s="56">
        <v>-97.46</v>
      </c>
      <c r="M627" s="20">
        <v>1140598</v>
      </c>
      <c r="N627" s="56">
        <v>0.04</v>
      </c>
      <c r="O627" s="56">
        <v>1.57</v>
      </c>
      <c r="P627" s="58">
        <v>29.84</v>
      </c>
      <c r="Q627" s="59">
        <v>55.037761645228898</v>
      </c>
      <c r="R627" s="59">
        <v>1.40368179788645</v>
      </c>
      <c r="S627" s="59">
        <v>1.0812499500100901</v>
      </c>
      <c r="X627" s="2">
        <f t="shared" si="27"/>
        <v>0.449622383547711</v>
      </c>
      <c r="Y627" s="2">
        <f>SUMIF(收盤價!A:A,A627,收盤價!C:C)</f>
        <v>83.6</v>
      </c>
      <c r="Z627" s="2">
        <f t="shared" si="28"/>
        <v>3403544.432</v>
      </c>
      <c r="AA627" s="2">
        <f t="shared" si="29"/>
        <v>9535399.2799999993</v>
      </c>
    </row>
    <row r="628" spans="1:27" ht="14.5" customHeight="1">
      <c r="A628" s="19" t="s">
        <v>5312</v>
      </c>
      <c r="B628" s="3" t="s">
        <v>1223</v>
      </c>
      <c r="C628" s="20">
        <v>1765856</v>
      </c>
      <c r="D628" s="20">
        <v>1537750</v>
      </c>
      <c r="E628" s="56">
        <v>14.83</v>
      </c>
      <c r="F628" s="57">
        <v>136186</v>
      </c>
      <c r="G628" s="57">
        <v>55596</v>
      </c>
      <c r="H628" s="57">
        <v>-19071</v>
      </c>
      <c r="I628" s="57">
        <v>28721</v>
      </c>
      <c r="J628" s="57">
        <v>116473</v>
      </c>
      <c r="K628" s="57">
        <v>84206</v>
      </c>
      <c r="L628" s="56">
        <v>38.32</v>
      </c>
      <c r="M628" s="20">
        <v>790523</v>
      </c>
      <c r="N628" s="56">
        <v>1.47</v>
      </c>
      <c r="O628" s="56">
        <v>1.07</v>
      </c>
      <c r="P628" s="58">
        <v>12.84</v>
      </c>
      <c r="Q628" s="59">
        <v>46.328468199255397</v>
      </c>
      <c r="R628" s="59">
        <v>2.08275391871874</v>
      </c>
      <c r="S628" s="59">
        <v>1.61607031070838</v>
      </c>
      <c r="X628" s="2">
        <f t="shared" si="27"/>
        <v>0.53671531800744599</v>
      </c>
      <c r="Y628" s="2">
        <f>SUMIF(收盤價!A:A,A628,收盤價!C:C)</f>
        <v>22.65</v>
      </c>
      <c r="Z628" s="2">
        <f t="shared" si="28"/>
        <v>1015031.532</v>
      </c>
      <c r="AA628" s="2">
        <f t="shared" si="29"/>
        <v>1790534.595</v>
      </c>
    </row>
    <row r="629" spans="1:27" ht="14.5" customHeight="1">
      <c r="A629" s="19" t="s">
        <v>5313</v>
      </c>
      <c r="B629" s="3" t="s">
        <v>1231</v>
      </c>
      <c r="C629" s="20">
        <v>1690231</v>
      </c>
      <c r="D629" s="20">
        <v>28581</v>
      </c>
      <c r="E629" s="56">
        <v>5813.83</v>
      </c>
      <c r="F629" s="57">
        <v>146221</v>
      </c>
      <c r="G629" s="57">
        <v>-60980</v>
      </c>
      <c r="H629" s="57">
        <v>-1455</v>
      </c>
      <c r="I629" s="57">
        <v>61297</v>
      </c>
      <c r="J629" s="57">
        <v>217451</v>
      </c>
      <c r="K629" s="57">
        <v>317</v>
      </c>
      <c r="L629" s="56">
        <v>68496.53</v>
      </c>
      <c r="M629" s="20">
        <v>723004</v>
      </c>
      <c r="N629" s="56">
        <v>3.25</v>
      </c>
      <c r="O629" s="56">
        <v>0.01</v>
      </c>
      <c r="P629" s="58">
        <v>14.83</v>
      </c>
      <c r="Q629" s="59">
        <v>22.652118854744401</v>
      </c>
      <c r="R629" s="59">
        <v>0.73673104228542496</v>
      </c>
      <c r="S629" s="59">
        <v>0.39216018102185302</v>
      </c>
      <c r="X629" s="2">
        <f t="shared" si="27"/>
        <v>0.77347881145255604</v>
      </c>
      <c r="Y629" s="2">
        <f>SUMIF(收盤價!A:A,A629,收盤價!C:C)</f>
        <v>37.700000000000003</v>
      </c>
      <c r="Z629" s="2">
        <f t="shared" si="28"/>
        <v>1072214.932</v>
      </c>
      <c r="AA629" s="2">
        <f t="shared" si="29"/>
        <v>2725725.08</v>
      </c>
    </row>
    <row r="630" spans="1:27" ht="14.5" customHeight="1">
      <c r="A630" s="19" t="s">
        <v>5314</v>
      </c>
      <c r="B630" s="3" t="s">
        <v>1233</v>
      </c>
      <c r="C630" s="20">
        <v>2543441</v>
      </c>
      <c r="D630" s="20">
        <v>3111876</v>
      </c>
      <c r="E630" s="56">
        <v>-18.27</v>
      </c>
      <c r="F630" s="57">
        <v>1070497</v>
      </c>
      <c r="G630" s="57">
        <v>1584152</v>
      </c>
      <c r="H630" s="57">
        <v>-17884</v>
      </c>
      <c r="I630" s="57">
        <v>38072</v>
      </c>
      <c r="J630" s="57">
        <v>852599</v>
      </c>
      <c r="K630" s="57">
        <v>1296402</v>
      </c>
      <c r="L630" s="56">
        <v>-34.229999999999997</v>
      </c>
      <c r="M630" s="20">
        <v>426082</v>
      </c>
      <c r="N630" s="56">
        <v>20.010000000000002</v>
      </c>
      <c r="O630" s="56">
        <v>30.43</v>
      </c>
      <c r="P630" s="58">
        <v>44.82</v>
      </c>
      <c r="Q630" s="59">
        <v>62.7432866917149</v>
      </c>
      <c r="R630" s="59">
        <v>2.6306180324334898</v>
      </c>
      <c r="S630" s="59">
        <v>2.1639947772221699</v>
      </c>
      <c r="X630" s="2">
        <f t="shared" si="27"/>
        <v>0.372567133082851</v>
      </c>
      <c r="Y630" s="2">
        <f>SUMIF(收盤價!A:A,A630,收盤價!C:C)</f>
        <v>360.5</v>
      </c>
      <c r="Z630" s="2">
        <f t="shared" si="28"/>
        <v>1909699.5239999997</v>
      </c>
      <c r="AA630" s="2">
        <f t="shared" si="29"/>
        <v>15360256.1</v>
      </c>
    </row>
    <row r="631" spans="1:27" ht="14.5" customHeight="1">
      <c r="A631" s="19" t="s">
        <v>5315</v>
      </c>
      <c r="B631" s="3" t="s">
        <v>1235</v>
      </c>
      <c r="C631" s="20">
        <v>18139112</v>
      </c>
      <c r="D631" s="20">
        <v>13137025</v>
      </c>
      <c r="E631" s="56">
        <v>38.08</v>
      </c>
      <c r="F631" s="57">
        <v>-5221950</v>
      </c>
      <c r="G631" s="57">
        <v>-2863361</v>
      </c>
      <c r="H631" s="57">
        <v>-484606</v>
      </c>
      <c r="I631" s="57">
        <v>2281499</v>
      </c>
      <c r="J631" s="57">
        <v>-5686065</v>
      </c>
      <c r="K631" s="57">
        <v>-577240</v>
      </c>
      <c r="L631" s="56"/>
      <c r="M631" s="20">
        <v>26653375</v>
      </c>
      <c r="N631" s="56">
        <v>-2.2599999999999998</v>
      </c>
      <c r="O631" s="56">
        <v>-0.42</v>
      </c>
      <c r="P631" s="58">
        <v>7.78</v>
      </c>
      <c r="Q631" s="59">
        <v>43.877907574063698</v>
      </c>
      <c r="R631" s="59">
        <v>1.3981543302749</v>
      </c>
      <c r="S631" s="59">
        <v>0.81825788218497797</v>
      </c>
      <c r="X631" s="2">
        <f t="shared" si="27"/>
        <v>0.56122092425936299</v>
      </c>
      <c r="Y631" s="2">
        <f>SUMIF(收盤價!A:A,A631,收盤價!C:C)</f>
        <v>7.66</v>
      </c>
      <c r="Z631" s="2">
        <f t="shared" si="28"/>
        <v>20736325.75</v>
      </c>
      <c r="AA631" s="2">
        <f t="shared" si="29"/>
        <v>20416485.25</v>
      </c>
    </row>
    <row r="632" spans="1:27" ht="14.5" customHeight="1">
      <c r="A632" s="19" t="s">
        <v>5316</v>
      </c>
      <c r="B632" s="3" t="s">
        <v>1241</v>
      </c>
      <c r="C632" s="20">
        <v>2259604</v>
      </c>
      <c r="D632" s="20">
        <v>2614351</v>
      </c>
      <c r="E632" s="56">
        <v>-13.57</v>
      </c>
      <c r="F632" s="57">
        <v>-57300</v>
      </c>
      <c r="G632" s="57">
        <v>21232</v>
      </c>
      <c r="H632" s="57">
        <v>-231843</v>
      </c>
      <c r="I632" s="57">
        <v>34541</v>
      </c>
      <c r="J632" s="57">
        <v>-286302</v>
      </c>
      <c r="K632" s="57">
        <v>37233</v>
      </c>
      <c r="L632" s="56"/>
      <c r="M632" s="20">
        <v>1250014</v>
      </c>
      <c r="N632" s="56">
        <v>-2.39</v>
      </c>
      <c r="O632" s="56">
        <v>0.3</v>
      </c>
      <c r="P632" s="58">
        <v>20.46</v>
      </c>
      <c r="Q632" s="59">
        <v>71.940301012878805</v>
      </c>
      <c r="R632" s="59">
        <v>2.4241227229630198</v>
      </c>
      <c r="S632" s="59">
        <v>1.8004919711121401</v>
      </c>
      <c r="X632" s="2">
        <f t="shared" si="27"/>
        <v>0.28059698987121195</v>
      </c>
      <c r="Y632" s="2">
        <f>SUMIF(收盤價!A:A,A632,收盤價!C:C)</f>
        <v>13.25</v>
      </c>
      <c r="Z632" s="2">
        <f t="shared" si="28"/>
        <v>2557528.6440000003</v>
      </c>
      <c r="AA632" s="2">
        <f t="shared" si="29"/>
        <v>1656268.55</v>
      </c>
    </row>
    <row r="633" spans="1:27" ht="14.5" customHeight="1">
      <c r="A633" s="19" t="s">
        <v>5317</v>
      </c>
      <c r="B633" s="3" t="s">
        <v>1253</v>
      </c>
      <c r="C633" s="20">
        <v>913081</v>
      </c>
      <c r="D633" s="20">
        <v>738793</v>
      </c>
      <c r="E633" s="56">
        <v>23.59</v>
      </c>
      <c r="F633" s="57">
        <v>-64147</v>
      </c>
      <c r="G633" s="57">
        <v>-109458</v>
      </c>
      <c r="H633" s="57">
        <v>202600</v>
      </c>
      <c r="I633" s="57">
        <v>252602</v>
      </c>
      <c r="J633" s="57">
        <v>133677</v>
      </c>
      <c r="K633" s="57">
        <v>118978</v>
      </c>
      <c r="L633" s="56">
        <v>12.35</v>
      </c>
      <c r="M633" s="20">
        <v>1513276</v>
      </c>
      <c r="N633" s="56">
        <v>0.88</v>
      </c>
      <c r="O633" s="56">
        <v>0.79</v>
      </c>
      <c r="P633" s="58">
        <v>31</v>
      </c>
      <c r="Q633" s="59">
        <v>90.493642268175904</v>
      </c>
      <c r="R633" s="59">
        <v>8.5830888667173006</v>
      </c>
      <c r="S633" s="59">
        <v>2.2154929787202402</v>
      </c>
      <c r="X633" s="2">
        <f t="shared" si="27"/>
        <v>9.5063577318240958E-2</v>
      </c>
      <c r="Y633" s="2">
        <f>SUMIF(收盤價!A:A,A633,收盤價!C:C)</f>
        <v>22.2</v>
      </c>
      <c r="Z633" s="2">
        <f t="shared" si="28"/>
        <v>4691155.5999999996</v>
      </c>
      <c r="AA633" s="2">
        <f t="shared" si="29"/>
        <v>3359472.7199999997</v>
      </c>
    </row>
    <row r="634" spans="1:27" ht="14.5" customHeight="1">
      <c r="A634" s="19" t="s">
        <v>5318</v>
      </c>
      <c r="B634" s="3" t="s">
        <v>1263</v>
      </c>
      <c r="C634" s="20">
        <v>2141375</v>
      </c>
      <c r="D634" s="20">
        <v>2109636</v>
      </c>
      <c r="E634" s="56">
        <v>1.5</v>
      </c>
      <c r="F634" s="57">
        <v>66733</v>
      </c>
      <c r="G634" s="57">
        <v>53710</v>
      </c>
      <c r="H634" s="57">
        <v>12862</v>
      </c>
      <c r="I634" s="57">
        <v>16835</v>
      </c>
      <c r="J634" s="57">
        <v>73304</v>
      </c>
      <c r="K634" s="57">
        <v>46066</v>
      </c>
      <c r="L634" s="56">
        <v>59.13</v>
      </c>
      <c r="M634" s="20">
        <v>929200</v>
      </c>
      <c r="N634" s="56">
        <v>0.79</v>
      </c>
      <c r="O634" s="56">
        <v>0.5</v>
      </c>
      <c r="P634" s="58">
        <v>26.5</v>
      </c>
      <c r="Q634" s="59">
        <v>80.312170304359498</v>
      </c>
      <c r="R634" s="59">
        <v>3.4068768086887702</v>
      </c>
      <c r="S634" s="59">
        <v>2.6642367307424601</v>
      </c>
      <c r="X634" s="2">
        <f t="shared" si="27"/>
        <v>0.19687829695640502</v>
      </c>
      <c r="Y634" s="2">
        <f>SUMIF(收盤價!A:A,A634,收盤價!C:C)</f>
        <v>16.399999999999999</v>
      </c>
      <c r="Z634" s="2">
        <f t="shared" si="28"/>
        <v>2462380</v>
      </c>
      <c r="AA634" s="2">
        <f t="shared" si="29"/>
        <v>1523887.9999999998</v>
      </c>
    </row>
    <row r="635" spans="1:27" ht="14.5" customHeight="1">
      <c r="A635" s="21" t="s">
        <v>5319</v>
      </c>
      <c r="B635" s="22" t="s">
        <v>1265</v>
      </c>
      <c r="C635" s="23">
        <v>136606695</v>
      </c>
      <c r="D635" s="23">
        <v>113481508</v>
      </c>
      <c r="E635" s="60">
        <v>20.38</v>
      </c>
      <c r="F635" s="61">
        <v>124127</v>
      </c>
      <c r="G635" s="61">
        <v>-199012</v>
      </c>
      <c r="H635" s="61">
        <v>655975</v>
      </c>
      <c r="I635" s="61">
        <v>895019</v>
      </c>
      <c r="J635" s="61">
        <v>208882</v>
      </c>
      <c r="K635" s="61">
        <v>223832</v>
      </c>
      <c r="L635" s="60">
        <v>-6.68</v>
      </c>
      <c r="M635" s="23">
        <v>4066638</v>
      </c>
      <c r="N635" s="60">
        <v>0.51</v>
      </c>
      <c r="O635" s="60">
        <v>0.55000000000000004</v>
      </c>
      <c r="P635" s="62">
        <v>88.94</v>
      </c>
      <c r="Q635" s="63">
        <v>42.305990551262703</v>
      </c>
      <c r="R635" s="63">
        <v>1.5405211424788601</v>
      </c>
      <c r="S635" s="63">
        <v>1.0309908684887901</v>
      </c>
      <c r="X635" s="2">
        <f t="shared" si="27"/>
        <v>0.57694009448737293</v>
      </c>
      <c r="Y635" s="2">
        <f>SUMIF(收盤價!A:A,A635,收盤價!C:C)</f>
        <v>56.8</v>
      </c>
      <c r="Z635" s="2">
        <f t="shared" si="28"/>
        <v>36168678.371999994</v>
      </c>
      <c r="AA635" s="2">
        <f t="shared" si="29"/>
        <v>23098503.839999996</v>
      </c>
    </row>
    <row r="636" spans="1:27" ht="14.5" customHeight="1">
      <c r="A636" s="24" t="s">
        <v>5320</v>
      </c>
      <c r="B636" s="25" t="s">
        <v>1273</v>
      </c>
      <c r="C636" s="26">
        <v>9054933</v>
      </c>
      <c r="D636" s="26">
        <v>11055223</v>
      </c>
      <c r="E636" s="64">
        <v>-18.09</v>
      </c>
      <c r="F636" s="65">
        <v>-988480</v>
      </c>
      <c r="G636" s="65">
        <v>-78028</v>
      </c>
      <c r="H636" s="65">
        <v>625572</v>
      </c>
      <c r="I636" s="65">
        <v>157542</v>
      </c>
      <c r="J636" s="65">
        <v>-309651</v>
      </c>
      <c r="K636" s="65">
        <v>49292</v>
      </c>
      <c r="L636" s="64"/>
      <c r="M636" s="26">
        <v>5193864</v>
      </c>
      <c r="N636" s="64">
        <v>-0.61</v>
      </c>
      <c r="O636" s="56">
        <v>0.1</v>
      </c>
      <c r="P636" s="66">
        <v>20.95</v>
      </c>
      <c r="Q636" s="67">
        <v>73.375136494981504</v>
      </c>
      <c r="R636" s="67">
        <v>2.6565388319332901</v>
      </c>
      <c r="S636" s="67">
        <v>2.0458885933795501</v>
      </c>
      <c r="X636" s="2">
        <f t="shared" si="27"/>
        <v>0.26624863505018498</v>
      </c>
      <c r="Y636" s="2">
        <f>SUMIF(收盤價!A:A,A636,收盤價!C:C)</f>
        <v>18.149999999999999</v>
      </c>
      <c r="Z636" s="2">
        <f t="shared" si="28"/>
        <v>10881145.08</v>
      </c>
      <c r="AA636" s="2">
        <f t="shared" si="29"/>
        <v>9426863.1600000001</v>
      </c>
    </row>
    <row r="637" spans="1:27" ht="14.5" customHeight="1">
      <c r="A637" s="19" t="s">
        <v>5321</v>
      </c>
      <c r="B637" s="3" t="s">
        <v>1401</v>
      </c>
      <c r="C637" s="20">
        <v>2328813</v>
      </c>
      <c r="D637" s="20">
        <v>2727097</v>
      </c>
      <c r="E637" s="56">
        <v>-14.6</v>
      </c>
      <c r="F637" s="57">
        <v>-329564</v>
      </c>
      <c r="G637" s="57">
        <v>-1124271</v>
      </c>
      <c r="H637" s="57">
        <v>-180142</v>
      </c>
      <c r="I637" s="57">
        <v>-614534</v>
      </c>
      <c r="J637" s="57">
        <v>-484003</v>
      </c>
      <c r="K637" s="57">
        <v>-1844186</v>
      </c>
      <c r="L637" s="56"/>
      <c r="M637" s="20">
        <v>2000000</v>
      </c>
      <c r="N637" s="56">
        <v>-2.42</v>
      </c>
      <c r="O637" s="56">
        <v>-9.2200000000000006</v>
      </c>
      <c r="P637" s="58">
        <v>8.99</v>
      </c>
      <c r="Q637" s="59">
        <v>43.131386959332602</v>
      </c>
      <c r="R637" s="59">
        <v>0.94819856899453303</v>
      </c>
      <c r="S637" s="59">
        <v>0.82356311476266597</v>
      </c>
      <c r="X637" s="2">
        <f t="shared" si="27"/>
        <v>0.56868613040667393</v>
      </c>
      <c r="Y637" s="2">
        <f>SUMIF(收盤價!A:A,A637,收盤價!C:C)</f>
        <v>6.5</v>
      </c>
      <c r="Z637" s="2">
        <f t="shared" si="28"/>
        <v>1798000</v>
      </c>
      <c r="AA637" s="2">
        <f t="shared" si="29"/>
        <v>1300000</v>
      </c>
    </row>
    <row r="638" spans="1:27" ht="14.5" customHeight="1">
      <c r="A638" s="19" t="s">
        <v>5322</v>
      </c>
      <c r="B638" s="3" t="s">
        <v>1403</v>
      </c>
      <c r="C638" s="20">
        <v>5286248</v>
      </c>
      <c r="D638" s="20">
        <v>5424061</v>
      </c>
      <c r="E638" s="56">
        <v>-2.54</v>
      </c>
      <c r="F638" s="57">
        <v>330896</v>
      </c>
      <c r="G638" s="57">
        <v>141803</v>
      </c>
      <c r="H638" s="57">
        <v>27579</v>
      </c>
      <c r="I638" s="57">
        <v>67076</v>
      </c>
      <c r="J638" s="57">
        <v>344564</v>
      </c>
      <c r="K638" s="57">
        <v>169018</v>
      </c>
      <c r="L638" s="56">
        <v>103.86</v>
      </c>
      <c r="M638" s="20">
        <v>1309371</v>
      </c>
      <c r="N638" s="56">
        <v>2.63</v>
      </c>
      <c r="O638" s="56">
        <v>1.29</v>
      </c>
      <c r="P638" s="58">
        <v>47.19</v>
      </c>
      <c r="Q638" s="59">
        <v>62.862385306165997</v>
      </c>
      <c r="R638" s="59">
        <v>2.23714021472516</v>
      </c>
      <c r="S638" s="59">
        <v>1.85571595158631</v>
      </c>
      <c r="X638" s="2">
        <f t="shared" si="27"/>
        <v>0.37137614693834003</v>
      </c>
      <c r="Y638" s="2">
        <f>SUMIF(收盤價!A:A,A638,收盤價!C:C)</f>
        <v>121</v>
      </c>
      <c r="Z638" s="2">
        <f t="shared" si="28"/>
        <v>6178921.7489999998</v>
      </c>
      <c r="AA638" s="2">
        <f t="shared" si="29"/>
        <v>15843389.1</v>
      </c>
    </row>
    <row r="639" spans="1:27" ht="14.5" customHeight="1">
      <c r="A639" s="19" t="s">
        <v>5323</v>
      </c>
      <c r="B639" s="3" t="s">
        <v>1406</v>
      </c>
      <c r="C639" s="20">
        <v>7622723</v>
      </c>
      <c r="D639" s="20">
        <v>7142528</v>
      </c>
      <c r="E639" s="56">
        <v>6.72</v>
      </c>
      <c r="F639" s="57">
        <v>912852</v>
      </c>
      <c r="G639" s="57">
        <v>762160</v>
      </c>
      <c r="H639" s="57">
        <v>120573</v>
      </c>
      <c r="I639" s="57">
        <v>146078</v>
      </c>
      <c r="J639" s="57">
        <v>649955</v>
      </c>
      <c r="K639" s="57">
        <v>641193</v>
      </c>
      <c r="L639" s="56">
        <v>1.37</v>
      </c>
      <c r="M639" s="20">
        <v>1423676</v>
      </c>
      <c r="N639" s="56">
        <v>4.57</v>
      </c>
      <c r="O639" s="56">
        <v>4.5</v>
      </c>
      <c r="P639" s="58">
        <v>49.89</v>
      </c>
      <c r="Q639" s="59">
        <v>72.452665283243206</v>
      </c>
      <c r="R639" s="59">
        <v>3.1667061275125898</v>
      </c>
      <c r="S639" s="59">
        <v>1.7855216534634999</v>
      </c>
      <c r="X639" s="2">
        <f t="shared" si="27"/>
        <v>0.27547334716756794</v>
      </c>
      <c r="Y639" s="2">
        <f>SUMIF(收盤價!A:A,A639,收盤價!C:C)</f>
        <v>41.35</v>
      </c>
      <c r="Z639" s="2">
        <f t="shared" si="28"/>
        <v>7102719.5640000002</v>
      </c>
      <c r="AA639" s="2">
        <f t="shared" si="29"/>
        <v>5886900.2599999998</v>
      </c>
    </row>
    <row r="640" spans="1:27" ht="14.5" customHeight="1">
      <c r="A640" s="19" t="s">
        <v>5324</v>
      </c>
      <c r="B640" s="3" t="s">
        <v>1412</v>
      </c>
      <c r="C640" s="20">
        <v>1191440</v>
      </c>
      <c r="D640" s="20">
        <v>1176536</v>
      </c>
      <c r="E640" s="56">
        <v>1.27</v>
      </c>
      <c r="F640" s="57">
        <v>-126131</v>
      </c>
      <c r="G640" s="57">
        <v>-86865</v>
      </c>
      <c r="H640" s="57">
        <v>-5154</v>
      </c>
      <c r="I640" s="57">
        <v>9955</v>
      </c>
      <c r="J640" s="57">
        <v>-126879</v>
      </c>
      <c r="K640" s="57">
        <v>-77016</v>
      </c>
      <c r="L640" s="56"/>
      <c r="M640" s="20">
        <v>1004082</v>
      </c>
      <c r="N640" s="56">
        <v>-1.26</v>
      </c>
      <c r="O640" s="56">
        <v>-0.77</v>
      </c>
      <c r="P640" s="58">
        <v>18.05</v>
      </c>
      <c r="Q640" s="59">
        <v>67.633913079170597</v>
      </c>
      <c r="R640" s="59">
        <v>3.2822119908168301</v>
      </c>
      <c r="S640" s="59">
        <v>1.9743523478566301</v>
      </c>
      <c r="X640" s="2">
        <f t="shared" si="27"/>
        <v>0.32366086920829401</v>
      </c>
      <c r="Y640" s="2">
        <f>SUMIF(收盤價!A:A,A640,收盤價!C:C)</f>
        <v>14.2</v>
      </c>
      <c r="Z640" s="2">
        <f t="shared" si="28"/>
        <v>1812368.0100000002</v>
      </c>
      <c r="AA640" s="2">
        <f t="shared" si="29"/>
        <v>1425796.44</v>
      </c>
    </row>
    <row r="641" spans="1:27" ht="14.5" customHeight="1">
      <c r="A641" s="19" t="s">
        <v>5646</v>
      </c>
      <c r="B641" s="3" t="s">
        <v>1416</v>
      </c>
      <c r="C641" s="20">
        <v>14896250</v>
      </c>
      <c r="D641" s="20">
        <v>12767162</v>
      </c>
      <c r="E641" s="56">
        <v>16.68</v>
      </c>
      <c r="F641" s="57">
        <v>-450166</v>
      </c>
      <c r="G641" s="57">
        <v>-606868</v>
      </c>
      <c r="H641" s="57">
        <v>-288682</v>
      </c>
      <c r="I641" s="57">
        <v>-465992</v>
      </c>
      <c r="J641" s="57">
        <v>-688559</v>
      </c>
      <c r="K641" s="57">
        <v>-655080</v>
      </c>
      <c r="L641" s="56"/>
      <c r="M641" s="20">
        <v>6657285</v>
      </c>
      <c r="N641" s="56">
        <v>-1.03</v>
      </c>
      <c r="O641" s="56">
        <v>-0.98</v>
      </c>
      <c r="P641" s="58">
        <v>14.51</v>
      </c>
      <c r="Q641" s="59">
        <v>67.954812278208294</v>
      </c>
      <c r="R641" s="59">
        <v>1.2950349709968301</v>
      </c>
      <c r="S641" s="59">
        <v>0.75477940647292796</v>
      </c>
      <c r="X641" s="2">
        <f t="shared" si="27"/>
        <v>0.32045187721791707</v>
      </c>
      <c r="Y641" s="2">
        <f>SUMIF(收盤價!A:A,A641,收盤價!C:C)</f>
        <v>7.3</v>
      </c>
      <c r="Z641" s="2">
        <f t="shared" si="28"/>
        <v>9659720.5350000001</v>
      </c>
      <c r="AA641" s="2">
        <f t="shared" si="29"/>
        <v>4859818.05</v>
      </c>
    </row>
    <row r="642" spans="1:27" ht="14.5" customHeight="1">
      <c r="A642" s="19" t="s">
        <v>5325</v>
      </c>
      <c r="B642" s="3" t="s">
        <v>1424</v>
      </c>
      <c r="C642" s="20">
        <v>1241395</v>
      </c>
      <c r="D642" s="20">
        <v>1690826</v>
      </c>
      <c r="E642" s="56">
        <v>-26.58</v>
      </c>
      <c r="F642" s="57">
        <v>-119181</v>
      </c>
      <c r="G642" s="57">
        <v>11722</v>
      </c>
      <c r="H642" s="57">
        <v>5355</v>
      </c>
      <c r="I642" s="57">
        <v>42416</v>
      </c>
      <c r="J642" s="57">
        <v>-92998</v>
      </c>
      <c r="K642" s="57">
        <v>50414</v>
      </c>
      <c r="L642" s="56"/>
      <c r="M642" s="20">
        <v>1171820</v>
      </c>
      <c r="N642" s="56">
        <v>-0.81</v>
      </c>
      <c r="O642" s="56">
        <v>0.44</v>
      </c>
      <c r="P642" s="58">
        <v>14.25</v>
      </c>
      <c r="Q642" s="59">
        <v>71.702353668049597</v>
      </c>
      <c r="R642" s="59">
        <v>3.7893077857075799</v>
      </c>
      <c r="S642" s="59">
        <v>2.76615323125184</v>
      </c>
      <c r="X642" s="2">
        <f t="shared" si="27"/>
        <v>0.28297646331950405</v>
      </c>
      <c r="Y642" s="2">
        <f>SUMIF(收盤價!A:A,A642,收盤價!C:C)</f>
        <v>28.4</v>
      </c>
      <c r="Z642" s="2">
        <f t="shared" si="28"/>
        <v>1669843.5</v>
      </c>
      <c r="AA642" s="2">
        <f t="shared" si="29"/>
        <v>3327968.8</v>
      </c>
    </row>
    <row r="643" spans="1:27" ht="14.5" customHeight="1">
      <c r="A643" s="19" t="s">
        <v>5326</v>
      </c>
      <c r="B643" s="3" t="s">
        <v>1442</v>
      </c>
      <c r="C643" s="20">
        <v>4530841</v>
      </c>
      <c r="D643" s="20">
        <v>4412725</v>
      </c>
      <c r="E643" s="56">
        <v>2.68</v>
      </c>
      <c r="F643" s="57">
        <v>752438</v>
      </c>
      <c r="G643" s="57">
        <v>742641</v>
      </c>
      <c r="H643" s="57">
        <v>-464</v>
      </c>
      <c r="I643" s="57">
        <v>12502</v>
      </c>
      <c r="J643" s="57">
        <v>650421</v>
      </c>
      <c r="K643" s="57">
        <v>655535</v>
      </c>
      <c r="L643" s="56">
        <v>-0.78</v>
      </c>
      <c r="M643" s="20">
        <v>1027159</v>
      </c>
      <c r="N643" s="56">
        <v>6.33</v>
      </c>
      <c r="O643" s="56">
        <v>6.38</v>
      </c>
      <c r="P643" s="58">
        <v>27.09</v>
      </c>
      <c r="Q643" s="59">
        <v>68.229778119087797</v>
      </c>
      <c r="R643" s="59">
        <v>2.2753273438655799</v>
      </c>
      <c r="S643" s="59">
        <v>1.5066612332470799</v>
      </c>
      <c r="X643" s="2">
        <f t="shared" si="27"/>
        <v>0.31770221880912203</v>
      </c>
      <c r="Y643" s="2">
        <f>SUMIF(收盤價!A:A,A643,收盤價!C:C)</f>
        <v>90.6</v>
      </c>
      <c r="Z643" s="2">
        <f t="shared" si="28"/>
        <v>2782573.7309999997</v>
      </c>
      <c r="AA643" s="2">
        <f t="shared" si="29"/>
        <v>9306060.5399999991</v>
      </c>
    </row>
    <row r="644" spans="1:27" ht="14.5" customHeight="1">
      <c r="A644" s="19" t="s">
        <v>5327</v>
      </c>
      <c r="B644" s="3" t="s">
        <v>1444</v>
      </c>
      <c r="C644" s="20">
        <v>10102252</v>
      </c>
      <c r="D644" s="20">
        <v>10299435</v>
      </c>
      <c r="E644" s="56">
        <v>-1.91</v>
      </c>
      <c r="F644" s="57">
        <v>653462</v>
      </c>
      <c r="G644" s="57">
        <v>425969</v>
      </c>
      <c r="H644" s="57">
        <v>9357</v>
      </c>
      <c r="I644" s="57">
        <v>60766</v>
      </c>
      <c r="J644" s="57">
        <v>499541</v>
      </c>
      <c r="K644" s="57">
        <v>370315</v>
      </c>
      <c r="L644" s="56">
        <v>34.9</v>
      </c>
      <c r="M644" s="20">
        <v>1685289</v>
      </c>
      <c r="N644" s="56">
        <v>2.96</v>
      </c>
      <c r="O644" s="56">
        <v>2.14</v>
      </c>
      <c r="P644" s="58">
        <v>34.799999999999997</v>
      </c>
      <c r="Q644" s="59">
        <v>65.462005145979504</v>
      </c>
      <c r="R644" s="59">
        <v>2.1971621292736798</v>
      </c>
      <c r="S644" s="59">
        <v>1.82917713783214</v>
      </c>
      <c r="X644" s="2">
        <f t="shared" si="27"/>
        <v>0.34537994854020498</v>
      </c>
      <c r="Y644" s="2">
        <f>SUMIF(收盤價!A:A,A644,收盤價!C:C)</f>
        <v>37</v>
      </c>
      <c r="Z644" s="2">
        <f t="shared" si="28"/>
        <v>5864805.7199999997</v>
      </c>
      <c r="AA644" s="2">
        <f t="shared" si="29"/>
        <v>6235569.2999999998</v>
      </c>
    </row>
    <row r="645" spans="1:27" ht="14.5" customHeight="1">
      <c r="A645" s="19" t="s">
        <v>5328</v>
      </c>
      <c r="B645" s="3" t="s">
        <v>1470</v>
      </c>
      <c r="C645" s="20">
        <v>285642</v>
      </c>
      <c r="D645" s="20">
        <v>424431</v>
      </c>
      <c r="E645" s="56">
        <v>-32.700000000000003</v>
      </c>
      <c r="F645" s="57">
        <v>-129323</v>
      </c>
      <c r="G645" s="57">
        <v>-220614</v>
      </c>
      <c r="H645" s="57">
        <v>11275</v>
      </c>
      <c r="I645" s="57">
        <v>2211</v>
      </c>
      <c r="J645" s="57">
        <v>-101270</v>
      </c>
      <c r="K645" s="57">
        <v>-183960</v>
      </c>
      <c r="L645" s="56"/>
      <c r="M645" s="20">
        <v>681151</v>
      </c>
      <c r="N645" s="56">
        <v>-1.49</v>
      </c>
      <c r="O645" s="56">
        <v>-2.7</v>
      </c>
      <c r="P645" s="58">
        <v>8.7899999999999991</v>
      </c>
      <c r="Q645" s="59">
        <v>80.506666128804497</v>
      </c>
      <c r="R645" s="59">
        <v>2.5287074281684698</v>
      </c>
      <c r="S645" s="59">
        <v>1.88709874722064</v>
      </c>
      <c r="X645" s="2">
        <f t="shared" ref="X645:X708" si="30">IF(W645&lt;&gt;"",ROUND(W645/U645,2),(100-Q645)/100)</f>
        <v>0.19493333871195503</v>
      </c>
      <c r="Y645" s="2">
        <f>SUMIF(收盤價!A:A,A645,收盤價!C:C)</f>
        <v>8.75</v>
      </c>
      <c r="Z645" s="2">
        <f t="shared" ref="Z645:Z708" si="31">IF(W645&lt;&gt;"",U645-W645,M645*P645/10)</f>
        <v>598731.72899999993</v>
      </c>
      <c r="AA645" s="2">
        <f t="shared" ref="AA645:AA708" si="32">Y645*M645/10</f>
        <v>596007.125</v>
      </c>
    </row>
    <row r="646" spans="1:27" ht="14.5" customHeight="1">
      <c r="A646" s="19" t="s">
        <v>5329</v>
      </c>
      <c r="B646" s="3" t="s">
        <v>1516</v>
      </c>
      <c r="C646" s="20">
        <v>16337046</v>
      </c>
      <c r="D646" s="20">
        <v>16866328</v>
      </c>
      <c r="E646" s="56">
        <v>-3.14</v>
      </c>
      <c r="F646" s="57">
        <v>133511</v>
      </c>
      <c r="G646" s="57">
        <v>912826</v>
      </c>
      <c r="H646" s="57">
        <v>649410</v>
      </c>
      <c r="I646" s="57">
        <v>542026</v>
      </c>
      <c r="J646" s="57">
        <v>794505</v>
      </c>
      <c r="K646" s="57">
        <v>1023559</v>
      </c>
      <c r="L646" s="56">
        <v>-22.38</v>
      </c>
      <c r="M646" s="20">
        <v>31339339</v>
      </c>
      <c r="N646" s="56">
        <v>0.25</v>
      </c>
      <c r="O646" s="56">
        <v>0.32</v>
      </c>
      <c r="P646" s="58">
        <v>13.06</v>
      </c>
      <c r="Q646" s="59">
        <v>85.433861351878207</v>
      </c>
      <c r="R646" s="59">
        <v>3.0920139859758899</v>
      </c>
      <c r="S646" s="59">
        <v>0.71100702583617603</v>
      </c>
      <c r="X646" s="2">
        <f t="shared" si="30"/>
        <v>0.14566138648121793</v>
      </c>
      <c r="Y646" s="2">
        <f>SUMIF(收盤價!A:A,A646,收盤價!C:C)</f>
        <v>8.09</v>
      </c>
      <c r="Z646" s="2">
        <f t="shared" si="31"/>
        <v>40929176.734000005</v>
      </c>
      <c r="AA646" s="2">
        <f t="shared" si="32"/>
        <v>25353525.250999998</v>
      </c>
    </row>
    <row r="647" spans="1:27" ht="14.5" customHeight="1">
      <c r="A647" s="19" t="s">
        <v>5330</v>
      </c>
      <c r="B647" s="3" t="s">
        <v>1520</v>
      </c>
      <c r="C647" s="20">
        <v>15851885</v>
      </c>
      <c r="D647" s="20">
        <v>21362170</v>
      </c>
      <c r="E647" s="56">
        <v>-25.79</v>
      </c>
      <c r="F647" s="57">
        <v>-417427</v>
      </c>
      <c r="G647" s="57">
        <v>-422762</v>
      </c>
      <c r="H647" s="57">
        <v>170164</v>
      </c>
      <c r="I647" s="57">
        <v>1064437</v>
      </c>
      <c r="J647" s="57">
        <v>-190141</v>
      </c>
      <c r="K647" s="57">
        <v>321898</v>
      </c>
      <c r="L647" s="56"/>
      <c r="M647" s="20">
        <v>6655551</v>
      </c>
      <c r="N647" s="56">
        <v>-0.28999999999999998</v>
      </c>
      <c r="O647" s="56">
        <v>0.48</v>
      </c>
      <c r="P647" s="58">
        <v>16.600000000000001</v>
      </c>
      <c r="Q647" s="59">
        <v>55.542897110193699</v>
      </c>
      <c r="R647" s="59">
        <v>2.3752492972263699</v>
      </c>
      <c r="S647" s="59">
        <v>2.0537448298457002</v>
      </c>
      <c r="X647" s="2">
        <f t="shared" si="30"/>
        <v>0.44457102889806299</v>
      </c>
      <c r="Y647" s="2">
        <f>SUMIF(收盤價!A:A,A647,收盤價!C:C)</f>
        <v>15.15</v>
      </c>
      <c r="Z647" s="2">
        <f t="shared" si="31"/>
        <v>11048214.66</v>
      </c>
      <c r="AA647" s="2">
        <f t="shared" si="32"/>
        <v>10083159.765000001</v>
      </c>
    </row>
    <row r="648" spans="1:27" ht="14.5" customHeight="1">
      <c r="A648" s="19" t="s">
        <v>5649</v>
      </c>
      <c r="B648" s="3" t="s">
        <v>6321</v>
      </c>
      <c r="C648" s="20">
        <v>2940</v>
      </c>
      <c r="D648" s="20">
        <v>-488056</v>
      </c>
      <c r="E648" s="56"/>
      <c r="F648" s="57">
        <v>-49893</v>
      </c>
      <c r="G648" s="57">
        <v>-647720</v>
      </c>
      <c r="H648" s="57">
        <v>-10972</v>
      </c>
      <c r="I648" s="57">
        <v>-168667</v>
      </c>
      <c r="J648" s="57">
        <v>-60865</v>
      </c>
      <c r="K648" s="57">
        <v>-816409</v>
      </c>
      <c r="L648" s="56"/>
      <c r="M648" s="20">
        <v>1020284</v>
      </c>
      <c r="N648" s="56">
        <v>-0.64</v>
      </c>
      <c r="O648" s="56">
        <v>-8.4</v>
      </c>
      <c r="P648" s="58">
        <v>1.24</v>
      </c>
      <c r="Q648" s="59">
        <v>90.8240862885078</v>
      </c>
      <c r="R648" s="59">
        <v>5.2852311161217598</v>
      </c>
      <c r="S648" s="59">
        <v>4.9086809470124004</v>
      </c>
      <c r="X648" s="2">
        <f t="shared" si="30"/>
        <v>9.1759137114921993E-2</v>
      </c>
      <c r="Y648" s="2">
        <f>SUMIF(收盤價!A:A,A648,收盤價!C:C)</f>
        <v>3.62</v>
      </c>
      <c r="Z648" s="2">
        <f t="shared" si="31"/>
        <v>126515.21599999999</v>
      </c>
      <c r="AA648" s="2">
        <f t="shared" si="32"/>
        <v>369342.80800000002</v>
      </c>
    </row>
    <row r="649" spans="1:27" ht="14.5" customHeight="1">
      <c r="A649" s="19" t="s">
        <v>5331</v>
      </c>
      <c r="B649" s="3" t="s">
        <v>1542</v>
      </c>
      <c r="C649" s="20">
        <v>909011</v>
      </c>
      <c r="D649" s="20">
        <v>1140217</v>
      </c>
      <c r="E649" s="56">
        <v>-20.28</v>
      </c>
      <c r="F649" s="57">
        <v>-72441</v>
      </c>
      <c r="G649" s="57">
        <v>2543</v>
      </c>
      <c r="H649" s="57">
        <v>17583</v>
      </c>
      <c r="I649" s="57">
        <v>12624</v>
      </c>
      <c r="J649" s="57">
        <v>-60037</v>
      </c>
      <c r="K649" s="57">
        <v>21520</v>
      </c>
      <c r="L649" s="56"/>
      <c r="M649" s="20">
        <v>1000002</v>
      </c>
      <c r="N649" s="56">
        <v>-0.6</v>
      </c>
      <c r="O649" s="56">
        <v>0.22</v>
      </c>
      <c r="P649" s="58">
        <v>11.01</v>
      </c>
      <c r="Q649" s="59">
        <v>60.399038218949997</v>
      </c>
      <c r="R649" s="59">
        <v>1.7160933667216101</v>
      </c>
      <c r="S649" s="59">
        <v>1.1380999705096699</v>
      </c>
      <c r="X649" s="2">
        <f t="shared" si="30"/>
        <v>0.39600961781050004</v>
      </c>
      <c r="Y649" s="2">
        <f>SUMIF(收盤價!A:A,A649,收盤價!C:C)</f>
        <v>7.08</v>
      </c>
      <c r="Z649" s="2">
        <f t="shared" si="31"/>
        <v>1101002.202</v>
      </c>
      <c r="AA649" s="2">
        <f t="shared" si="32"/>
        <v>708001.41599999997</v>
      </c>
    </row>
    <row r="650" spans="1:27" ht="14.5" customHeight="1">
      <c r="A650" s="19" t="s">
        <v>5332</v>
      </c>
      <c r="B650" s="3" t="s">
        <v>1548</v>
      </c>
      <c r="C650" s="20">
        <v>2163869</v>
      </c>
      <c r="D650" s="20">
        <v>2923669</v>
      </c>
      <c r="E650" s="56">
        <v>-25.99</v>
      </c>
      <c r="F650" s="57">
        <v>45420</v>
      </c>
      <c r="G650" s="57">
        <v>48809</v>
      </c>
      <c r="H650" s="57">
        <v>-22611</v>
      </c>
      <c r="I650" s="57">
        <v>206153</v>
      </c>
      <c r="J650" s="57">
        <v>15081</v>
      </c>
      <c r="K650" s="57">
        <v>235902</v>
      </c>
      <c r="L650" s="56">
        <v>-93.61</v>
      </c>
      <c r="M650" s="20">
        <v>2060698</v>
      </c>
      <c r="N650" s="56">
        <v>7.0000000000000007E-2</v>
      </c>
      <c r="O650" s="56">
        <v>1.1499999999999999</v>
      </c>
      <c r="P650" s="58">
        <v>12.79</v>
      </c>
      <c r="Q650" s="59">
        <v>73.256908935590104</v>
      </c>
      <c r="R650" s="59">
        <v>3.6114796584044702</v>
      </c>
      <c r="S650" s="59">
        <v>2.7652381654718798</v>
      </c>
      <c r="X650" s="2">
        <f t="shared" si="30"/>
        <v>0.26743091064409896</v>
      </c>
      <c r="Y650" s="2">
        <f>SUMIF(收盤價!A:A,A650,收盤價!C:C)</f>
        <v>13.6</v>
      </c>
      <c r="Z650" s="2">
        <f t="shared" si="31"/>
        <v>2635632.7419999996</v>
      </c>
      <c r="AA650" s="2">
        <f t="shared" si="32"/>
        <v>2802549.2800000003</v>
      </c>
    </row>
    <row r="651" spans="1:27" ht="14.5" customHeight="1">
      <c r="A651" s="19" t="s">
        <v>5333</v>
      </c>
      <c r="B651" s="3" t="s">
        <v>1552</v>
      </c>
      <c r="C651" s="20">
        <v>56120587</v>
      </c>
      <c r="D651" s="20">
        <v>53952289</v>
      </c>
      <c r="E651" s="56">
        <v>4.0199999999999996</v>
      </c>
      <c r="F651" s="57">
        <v>7296680</v>
      </c>
      <c r="G651" s="57">
        <v>5103996</v>
      </c>
      <c r="H651" s="57">
        <v>945229</v>
      </c>
      <c r="I651" s="57">
        <v>1516283</v>
      </c>
      <c r="J651" s="57">
        <v>5869843</v>
      </c>
      <c r="K651" s="57">
        <v>5037526</v>
      </c>
      <c r="L651" s="56">
        <v>16.52</v>
      </c>
      <c r="M651" s="20">
        <v>4650273</v>
      </c>
      <c r="N651" s="56">
        <v>12.62</v>
      </c>
      <c r="O651" s="56">
        <v>10.83</v>
      </c>
      <c r="P651" s="58">
        <v>58.98</v>
      </c>
      <c r="Q651" s="59">
        <v>54.272852046212797</v>
      </c>
      <c r="R651" s="59">
        <v>2.02701644050798</v>
      </c>
      <c r="S651" s="59">
        <v>1.5560203961541801</v>
      </c>
      <c r="X651" s="2">
        <f t="shared" si="30"/>
        <v>0.45727147953787201</v>
      </c>
      <c r="Y651" s="2">
        <f>SUMIF(收盤價!A:A,A651,收盤價!C:C)</f>
        <v>120</v>
      </c>
      <c r="Z651" s="2">
        <f t="shared" si="31"/>
        <v>27427310.153999995</v>
      </c>
      <c r="AA651" s="2">
        <f t="shared" si="32"/>
        <v>55803276</v>
      </c>
    </row>
    <row r="652" spans="1:27" ht="14.5" customHeight="1">
      <c r="A652" s="19" t="s">
        <v>5334</v>
      </c>
      <c r="B652" s="3" t="s">
        <v>1578</v>
      </c>
      <c r="C652" s="20">
        <v>3391609</v>
      </c>
      <c r="D652" s="20">
        <v>3518289</v>
      </c>
      <c r="E652" s="56">
        <v>-3.6</v>
      </c>
      <c r="F652" s="57">
        <v>-207313</v>
      </c>
      <c r="G652" s="57">
        <v>-224905</v>
      </c>
      <c r="H652" s="57">
        <v>98426</v>
      </c>
      <c r="I652" s="57">
        <v>55728</v>
      </c>
      <c r="J652" s="57">
        <v>-113925</v>
      </c>
      <c r="K652" s="57">
        <v>-73059</v>
      </c>
      <c r="L652" s="56"/>
      <c r="M652" s="20">
        <v>1631632</v>
      </c>
      <c r="N652" s="56">
        <v>-0.7</v>
      </c>
      <c r="O652" s="56">
        <v>-0.45</v>
      </c>
      <c r="P652" s="58">
        <v>19.73</v>
      </c>
      <c r="Q652" s="59">
        <v>73.428643911733801</v>
      </c>
      <c r="R652" s="59">
        <v>2.1923772245534301</v>
      </c>
      <c r="S652" s="59">
        <v>0.94994736487798304</v>
      </c>
      <c r="X652" s="2">
        <f t="shared" si="30"/>
        <v>0.26571356088266201</v>
      </c>
      <c r="Y652" s="2">
        <f>SUMIF(收盤價!A:A,A652,收盤價!C:C)</f>
        <v>31.55</v>
      </c>
      <c r="Z652" s="2">
        <f t="shared" si="31"/>
        <v>3219209.9359999998</v>
      </c>
      <c r="AA652" s="2">
        <f t="shared" si="32"/>
        <v>5147798.96</v>
      </c>
    </row>
    <row r="653" spans="1:27" ht="14.5" customHeight="1">
      <c r="A653" s="19" t="s">
        <v>5650</v>
      </c>
      <c r="B653" s="3" t="s">
        <v>1590</v>
      </c>
      <c r="C653" s="20">
        <v>12330</v>
      </c>
      <c r="D653" s="20">
        <v>7917</v>
      </c>
      <c r="E653" s="56">
        <v>55.74</v>
      </c>
      <c r="F653" s="57">
        <v>-13422</v>
      </c>
      <c r="G653" s="57">
        <v>-20011</v>
      </c>
      <c r="H653" s="57">
        <v>4700</v>
      </c>
      <c r="I653" s="57">
        <v>1597</v>
      </c>
      <c r="J653" s="57">
        <v>-8722</v>
      </c>
      <c r="K653" s="57">
        <v>-18414</v>
      </c>
      <c r="L653" s="56"/>
      <c r="M653" s="20">
        <v>1190767</v>
      </c>
      <c r="N653" s="56">
        <v>-7.0000000000000007E-2</v>
      </c>
      <c r="O653" s="56">
        <v>-0.17</v>
      </c>
      <c r="P653" s="58">
        <v>7.0000000000000007E-2</v>
      </c>
      <c r="Q653" s="59">
        <v>47.767417617420499</v>
      </c>
      <c r="R653" s="59">
        <v>2.9077743902439002</v>
      </c>
      <c r="S653" s="59">
        <v>1.1291920731707299</v>
      </c>
      <c r="X653" s="2">
        <f t="shared" si="30"/>
        <v>0.52232582382579507</v>
      </c>
      <c r="Y653" s="2">
        <f>SUMIF(收盤價!A:A,A653,收盤價!C:C)</f>
        <v>1.95</v>
      </c>
      <c r="Z653" s="2">
        <f t="shared" si="31"/>
        <v>8335.3690000000006</v>
      </c>
      <c r="AA653" s="2">
        <f t="shared" si="32"/>
        <v>232199.565</v>
      </c>
    </row>
    <row r="654" spans="1:27" ht="14.5" customHeight="1">
      <c r="A654" s="19" t="s">
        <v>5335</v>
      </c>
      <c r="B654" s="3" t="s">
        <v>1592</v>
      </c>
      <c r="C654" s="20">
        <v>1023540</v>
      </c>
      <c r="D654" s="20">
        <v>1440373</v>
      </c>
      <c r="E654" s="56">
        <v>-28.94</v>
      </c>
      <c r="F654" s="57">
        <v>-21085</v>
      </c>
      <c r="G654" s="57">
        <v>67625</v>
      </c>
      <c r="H654" s="57">
        <v>225490</v>
      </c>
      <c r="I654" s="57">
        <v>-27418</v>
      </c>
      <c r="J654" s="57">
        <v>147525</v>
      </c>
      <c r="K654" s="57">
        <v>8114</v>
      </c>
      <c r="L654" s="56">
        <v>1718.15</v>
      </c>
      <c r="M654" s="20">
        <v>1149518</v>
      </c>
      <c r="N654" s="56">
        <v>1.32</v>
      </c>
      <c r="O654" s="56">
        <v>7.0000000000000007E-2</v>
      </c>
      <c r="P654" s="58">
        <v>11.08</v>
      </c>
      <c r="Q654" s="59">
        <v>57.041074079889398</v>
      </c>
      <c r="R654" s="59">
        <v>1.9398637262338101</v>
      </c>
      <c r="S654" s="59">
        <v>0.79442305800362401</v>
      </c>
      <c r="X654" s="2">
        <f t="shared" si="30"/>
        <v>0.42958925920110602</v>
      </c>
      <c r="Y654" s="2">
        <f>SUMIF(收盤價!A:A,A654,收盤價!C:C)</f>
        <v>8.2799999999999994</v>
      </c>
      <c r="Z654" s="2">
        <f t="shared" si="31"/>
        <v>1273665.9439999999</v>
      </c>
      <c r="AA654" s="2">
        <f t="shared" si="32"/>
        <v>951800.90399999986</v>
      </c>
    </row>
    <row r="655" spans="1:27" ht="14.5" customHeight="1">
      <c r="A655" s="19" t="s">
        <v>5336</v>
      </c>
      <c r="B655" s="3" t="s">
        <v>1612</v>
      </c>
      <c r="C655" s="20">
        <v>37906373</v>
      </c>
      <c r="D655" s="20">
        <v>30634088</v>
      </c>
      <c r="E655" s="56">
        <v>23.74</v>
      </c>
      <c r="F655" s="57">
        <v>2590921</v>
      </c>
      <c r="G655" s="57">
        <v>1556759</v>
      </c>
      <c r="H655" s="57">
        <v>134724</v>
      </c>
      <c r="I655" s="57">
        <v>-290879</v>
      </c>
      <c r="J655" s="57">
        <v>2035222</v>
      </c>
      <c r="K655" s="57">
        <v>785003</v>
      </c>
      <c r="L655" s="56">
        <v>159.26</v>
      </c>
      <c r="M655" s="20">
        <v>2923984</v>
      </c>
      <c r="N655" s="56">
        <v>6.96</v>
      </c>
      <c r="O655" s="56">
        <v>2.68</v>
      </c>
      <c r="P655" s="58">
        <v>43.54</v>
      </c>
      <c r="Q655" s="59">
        <v>38.387897467600801</v>
      </c>
      <c r="R655" s="59">
        <v>1.42563710591548</v>
      </c>
      <c r="S655" s="59">
        <v>1.1481117455227801</v>
      </c>
      <c r="X655" s="2">
        <f t="shared" si="30"/>
        <v>0.61612102532399193</v>
      </c>
      <c r="Y655" s="2">
        <f>SUMIF(收盤價!A:A,A655,收盤價!C:C)</f>
        <v>117</v>
      </c>
      <c r="Z655" s="2">
        <f t="shared" si="31"/>
        <v>12731026.335999999</v>
      </c>
      <c r="AA655" s="2">
        <f t="shared" si="32"/>
        <v>34210612.799999997</v>
      </c>
    </row>
    <row r="656" spans="1:27" ht="14.5" customHeight="1">
      <c r="A656" s="19" t="s">
        <v>5651</v>
      </c>
      <c r="B656" s="3" t="s">
        <v>1624</v>
      </c>
      <c r="C656" s="20">
        <v>114295</v>
      </c>
      <c r="D656" s="20">
        <v>184560</v>
      </c>
      <c r="E656" s="56">
        <v>-38.07</v>
      </c>
      <c r="F656" s="57">
        <v>-169225</v>
      </c>
      <c r="G656" s="57">
        <v>-214588</v>
      </c>
      <c r="H656" s="57">
        <v>46551</v>
      </c>
      <c r="I656" s="57">
        <v>285320</v>
      </c>
      <c r="J656" s="57">
        <v>-122674</v>
      </c>
      <c r="K656" s="57">
        <v>70732</v>
      </c>
      <c r="L656" s="56"/>
      <c r="M656" s="20">
        <v>807781</v>
      </c>
      <c r="N656" s="56">
        <v>-1.52</v>
      </c>
      <c r="O656" s="56">
        <v>0.88</v>
      </c>
      <c r="P656" s="58">
        <v>0.2</v>
      </c>
      <c r="Q656" s="59">
        <v>5.1184984786261598</v>
      </c>
      <c r="R656" s="59">
        <v>0.50783418142771997</v>
      </c>
      <c r="S656" s="59">
        <v>0.15516771740889701</v>
      </c>
      <c r="X656" s="2">
        <f t="shared" si="30"/>
        <v>0.94881501521373834</v>
      </c>
      <c r="Y656" s="2">
        <f>SUMIF(收盤價!A:A,A656,收盤價!C:C)</f>
        <v>0.84</v>
      </c>
      <c r="Z656" s="2">
        <f t="shared" si="31"/>
        <v>16155.62</v>
      </c>
      <c r="AA656" s="2">
        <f t="shared" si="32"/>
        <v>67853.603999999992</v>
      </c>
    </row>
    <row r="657" spans="1:27" ht="14.5" customHeight="1">
      <c r="A657" s="19" t="s">
        <v>5337</v>
      </c>
      <c r="B657" s="3" t="s">
        <v>1626</v>
      </c>
      <c r="C657" s="20">
        <v>597237</v>
      </c>
      <c r="D657" s="20">
        <v>779945</v>
      </c>
      <c r="E657" s="56">
        <v>-23.43</v>
      </c>
      <c r="F657" s="57">
        <v>-2785</v>
      </c>
      <c r="G657" s="57">
        <v>4366</v>
      </c>
      <c r="H657" s="57">
        <v>-5764</v>
      </c>
      <c r="I657" s="57">
        <v>11331</v>
      </c>
      <c r="J657" s="57">
        <v>403</v>
      </c>
      <c r="K657" s="57">
        <v>5604</v>
      </c>
      <c r="L657" s="56">
        <v>-92.81</v>
      </c>
      <c r="M657" s="20">
        <v>658000</v>
      </c>
      <c r="N657" s="56">
        <v>0.01</v>
      </c>
      <c r="O657" s="56">
        <v>0.09</v>
      </c>
      <c r="P657" s="58">
        <v>27.99</v>
      </c>
      <c r="Q657" s="59">
        <v>73.287782431639798</v>
      </c>
      <c r="R657" s="59">
        <v>9.0749350574380898</v>
      </c>
      <c r="S657" s="59">
        <v>4.5810714079547399</v>
      </c>
      <c r="X657" s="2">
        <f t="shared" si="30"/>
        <v>0.26712217568360203</v>
      </c>
      <c r="Y657" s="2">
        <f>SUMIF(收盤價!A:A,A657,收盤價!C:C)</f>
        <v>15</v>
      </c>
      <c r="Z657" s="2">
        <f t="shared" si="31"/>
        <v>1841742</v>
      </c>
      <c r="AA657" s="2">
        <f t="shared" si="32"/>
        <v>987000</v>
      </c>
    </row>
    <row r="658" spans="1:27" ht="14.5" customHeight="1">
      <c r="A658" s="19" t="s">
        <v>5339</v>
      </c>
      <c r="B658" s="3" t="s">
        <v>1642</v>
      </c>
      <c r="C658" s="20">
        <v>4440874</v>
      </c>
      <c r="D658" s="20">
        <v>3830638</v>
      </c>
      <c r="E658" s="56">
        <v>15.93</v>
      </c>
      <c r="F658" s="57">
        <v>-96424</v>
      </c>
      <c r="G658" s="57">
        <v>-1238365</v>
      </c>
      <c r="H658" s="57">
        <v>-86504</v>
      </c>
      <c r="I658" s="57">
        <v>-15392</v>
      </c>
      <c r="J658" s="57">
        <v>-200616</v>
      </c>
      <c r="K658" s="57">
        <v>-1156660</v>
      </c>
      <c r="L658" s="56"/>
      <c r="M658" s="20">
        <v>3790167</v>
      </c>
      <c r="N658" s="56">
        <v>-0.6</v>
      </c>
      <c r="O658" s="56">
        <v>-3.86</v>
      </c>
      <c r="P658" s="58">
        <v>8.51</v>
      </c>
      <c r="Q658" s="59">
        <v>41.069230085355301</v>
      </c>
      <c r="R658" s="59">
        <v>0.44706815125166099</v>
      </c>
      <c r="S658" s="59">
        <v>0.21638304227307301</v>
      </c>
      <c r="X658" s="2">
        <f t="shared" si="30"/>
        <v>0.58930769914644698</v>
      </c>
      <c r="Y658" s="2">
        <f>SUMIF(收盤價!A:A,A658,收盤價!C:C)</f>
        <v>7.6</v>
      </c>
      <c r="Z658" s="2">
        <f t="shared" si="31"/>
        <v>3225432.1169999996</v>
      </c>
      <c r="AA658" s="2">
        <f t="shared" si="32"/>
        <v>2880526.92</v>
      </c>
    </row>
    <row r="659" spans="1:27" ht="14.5" customHeight="1">
      <c r="A659" s="19" t="s">
        <v>5340</v>
      </c>
      <c r="B659" s="3" t="s">
        <v>1650</v>
      </c>
      <c r="C659" s="20">
        <v>119723967</v>
      </c>
      <c r="D659" s="20">
        <v>128443831</v>
      </c>
      <c r="E659" s="56">
        <v>-6.79</v>
      </c>
      <c r="F659" s="57">
        <v>2707095</v>
      </c>
      <c r="G659" s="57">
        <v>4012678</v>
      </c>
      <c r="H659" s="57">
        <v>876147</v>
      </c>
      <c r="I659" s="57">
        <v>859070</v>
      </c>
      <c r="J659" s="57">
        <v>3385400</v>
      </c>
      <c r="K659" s="57">
        <v>3980158</v>
      </c>
      <c r="L659" s="56">
        <v>-14.94</v>
      </c>
      <c r="M659" s="20">
        <v>3394398</v>
      </c>
      <c r="N659" s="56">
        <v>10.02</v>
      </c>
      <c r="O659" s="56">
        <v>11.77</v>
      </c>
      <c r="P659" s="58">
        <v>76.180000000000007</v>
      </c>
      <c r="Q659" s="59">
        <v>34.008955130340198</v>
      </c>
      <c r="R659" s="59">
        <v>1.32417274762399</v>
      </c>
      <c r="S659" s="59">
        <v>1.0342367159789601</v>
      </c>
      <c r="X659" s="2">
        <f t="shared" si="30"/>
        <v>0.65991044869659798</v>
      </c>
      <c r="Y659" s="2">
        <f>SUMIF(收盤價!A:A,A659,收盤價!C:C)</f>
        <v>113</v>
      </c>
      <c r="Z659" s="2">
        <f t="shared" si="31"/>
        <v>25858523.964000002</v>
      </c>
      <c r="AA659" s="2">
        <f t="shared" si="32"/>
        <v>38356697.399999999</v>
      </c>
    </row>
    <row r="660" spans="1:27" ht="14.5" customHeight="1">
      <c r="A660" s="19" t="s">
        <v>5341</v>
      </c>
      <c r="B660" s="3" t="s">
        <v>1654</v>
      </c>
      <c r="C660" s="20">
        <v>1565568</v>
      </c>
      <c r="D660" s="20">
        <v>1795198</v>
      </c>
      <c r="E660" s="56">
        <v>-12.79</v>
      </c>
      <c r="F660" s="57">
        <v>271228</v>
      </c>
      <c r="G660" s="57">
        <v>311166</v>
      </c>
      <c r="H660" s="57">
        <v>-35621</v>
      </c>
      <c r="I660" s="57">
        <v>-51133</v>
      </c>
      <c r="J660" s="57">
        <v>208704</v>
      </c>
      <c r="K660" s="57">
        <v>225966</v>
      </c>
      <c r="L660" s="56">
        <v>-7.64</v>
      </c>
      <c r="M660" s="20">
        <v>944566</v>
      </c>
      <c r="N660" s="56">
        <v>2.21</v>
      </c>
      <c r="O660" s="56">
        <v>2.42</v>
      </c>
      <c r="P660" s="58">
        <v>19.96</v>
      </c>
      <c r="Q660" s="59">
        <v>42.151143747558798</v>
      </c>
      <c r="R660" s="59">
        <v>1.9218568028943599</v>
      </c>
      <c r="S660" s="59">
        <v>0.91936305530260498</v>
      </c>
      <c r="X660" s="2">
        <f t="shared" si="30"/>
        <v>0.57848856252441205</v>
      </c>
      <c r="Y660" s="2">
        <f>SUMIF(收盤價!A:A,A660,收盤價!C:C)</f>
        <v>23.9</v>
      </c>
      <c r="Z660" s="2">
        <f t="shared" si="31"/>
        <v>1885353.736</v>
      </c>
      <c r="AA660" s="2">
        <f t="shared" si="32"/>
        <v>2257512.7399999998</v>
      </c>
    </row>
    <row r="661" spans="1:27" ht="14.5" customHeight="1">
      <c r="A661" s="19" t="s">
        <v>5342</v>
      </c>
      <c r="B661" s="3" t="s">
        <v>1696</v>
      </c>
      <c r="C661" s="20">
        <v>1392749</v>
      </c>
      <c r="D661" s="20">
        <v>1195833</v>
      </c>
      <c r="E661" s="56">
        <v>16.47</v>
      </c>
      <c r="F661" s="57">
        <v>163105</v>
      </c>
      <c r="G661" s="57">
        <v>197985</v>
      </c>
      <c r="H661" s="57">
        <v>-25508</v>
      </c>
      <c r="I661" s="57">
        <v>1794</v>
      </c>
      <c r="J661" s="57">
        <v>119085</v>
      </c>
      <c r="K661" s="57">
        <v>140079</v>
      </c>
      <c r="L661" s="56">
        <v>-14.99</v>
      </c>
      <c r="M661" s="20">
        <v>683923</v>
      </c>
      <c r="N661" s="56">
        <v>1.75</v>
      </c>
      <c r="O661" s="56">
        <v>2.2999999999999998</v>
      </c>
      <c r="P661" s="58">
        <v>26.76</v>
      </c>
      <c r="Q661" s="59">
        <v>51.143274665891802</v>
      </c>
      <c r="R661" s="59">
        <v>1.5217515059070701</v>
      </c>
      <c r="S661" s="59">
        <v>1.2127242707952299</v>
      </c>
      <c r="X661" s="2">
        <f t="shared" si="30"/>
        <v>0.48856725334108198</v>
      </c>
      <c r="Y661" s="2">
        <f>SUMIF(收盤價!A:A,A661,收盤價!C:C)</f>
        <v>90.7</v>
      </c>
      <c r="Z661" s="2">
        <f t="shared" si="31"/>
        <v>1830177.9480000001</v>
      </c>
      <c r="AA661" s="2">
        <f t="shared" si="32"/>
        <v>6203181.6100000003</v>
      </c>
    </row>
    <row r="662" spans="1:27" ht="14.5" customHeight="1">
      <c r="A662" s="19" t="s">
        <v>5343</v>
      </c>
      <c r="B662" s="3" t="s">
        <v>1708</v>
      </c>
      <c r="C662" s="20">
        <v>3717808</v>
      </c>
      <c r="D662" s="20">
        <v>3147612</v>
      </c>
      <c r="E662" s="56">
        <v>18.12</v>
      </c>
      <c r="F662" s="57">
        <v>417680</v>
      </c>
      <c r="G662" s="57">
        <v>244967</v>
      </c>
      <c r="H662" s="57">
        <v>-32774</v>
      </c>
      <c r="I662" s="57">
        <v>103831</v>
      </c>
      <c r="J662" s="57">
        <v>316341</v>
      </c>
      <c r="K662" s="57">
        <v>296517</v>
      </c>
      <c r="L662" s="56">
        <v>6.69</v>
      </c>
      <c r="M662" s="20">
        <v>667449</v>
      </c>
      <c r="N662" s="56">
        <v>5.19</v>
      </c>
      <c r="O662" s="56">
        <v>5.31</v>
      </c>
      <c r="P662" s="58">
        <v>34.659999999999997</v>
      </c>
      <c r="Q662" s="59">
        <v>57.171438943628502</v>
      </c>
      <c r="R662" s="59">
        <v>2.30308416764812</v>
      </c>
      <c r="S662" s="59">
        <v>1.41294295147171</v>
      </c>
      <c r="X662" s="2">
        <f t="shared" si="30"/>
        <v>0.428285610563715</v>
      </c>
      <c r="Y662" s="2">
        <f>SUMIF(收盤價!A:A,A662,收盤價!C:C)</f>
        <v>118</v>
      </c>
      <c r="Z662" s="2">
        <f t="shared" si="31"/>
        <v>2313378.2339999997</v>
      </c>
      <c r="AA662" s="2">
        <f t="shared" si="32"/>
        <v>7875898.2000000002</v>
      </c>
    </row>
    <row r="663" spans="1:27" ht="14.5" customHeight="1">
      <c r="A663" s="19" t="s">
        <v>5344</v>
      </c>
      <c r="B663" s="3" t="s">
        <v>1736</v>
      </c>
      <c r="C663" s="20">
        <v>1672591</v>
      </c>
      <c r="D663" s="20">
        <v>2519944</v>
      </c>
      <c r="E663" s="56">
        <v>-33.630000000000003</v>
      </c>
      <c r="F663" s="57">
        <v>10493</v>
      </c>
      <c r="G663" s="57">
        <v>280863</v>
      </c>
      <c r="H663" s="57">
        <v>68225</v>
      </c>
      <c r="I663" s="57">
        <v>71909</v>
      </c>
      <c r="J663" s="57">
        <v>50926</v>
      </c>
      <c r="K663" s="57">
        <v>340445</v>
      </c>
      <c r="L663" s="56">
        <v>-85.04</v>
      </c>
      <c r="M663" s="20">
        <v>676301</v>
      </c>
      <c r="N663" s="56">
        <v>0.76</v>
      </c>
      <c r="O663" s="56">
        <v>5.66</v>
      </c>
      <c r="P663" s="58">
        <v>27</v>
      </c>
      <c r="Q663" s="59">
        <v>51.846740327507497</v>
      </c>
      <c r="R663" s="59">
        <v>1.2685430645293201</v>
      </c>
      <c r="S663" s="59">
        <v>1.08223604265294</v>
      </c>
      <c r="X663" s="2">
        <f t="shared" si="30"/>
        <v>0.48153259672492504</v>
      </c>
      <c r="Y663" s="2">
        <f>SUMIF(收盤價!A:A,A663,收盤價!C:C)</f>
        <v>57</v>
      </c>
      <c r="Z663" s="2">
        <f t="shared" si="31"/>
        <v>1826012.7</v>
      </c>
      <c r="AA663" s="2">
        <f t="shared" si="32"/>
        <v>3854915.7</v>
      </c>
    </row>
    <row r="664" spans="1:27" ht="14.5" customHeight="1">
      <c r="A664" s="19" t="s">
        <v>5345</v>
      </c>
      <c r="B664" s="3" t="s">
        <v>1738</v>
      </c>
      <c r="C664" s="20">
        <v>8814979</v>
      </c>
      <c r="D664" s="20">
        <v>9887852</v>
      </c>
      <c r="E664" s="56">
        <v>-10.85</v>
      </c>
      <c r="F664" s="57">
        <v>-350039</v>
      </c>
      <c r="G664" s="57">
        <v>1059</v>
      </c>
      <c r="H664" s="57">
        <v>292500</v>
      </c>
      <c r="I664" s="57">
        <v>-39135</v>
      </c>
      <c r="J664" s="57">
        <v>-200902</v>
      </c>
      <c r="K664" s="57">
        <v>-132578</v>
      </c>
      <c r="L664" s="56"/>
      <c r="M664" s="20">
        <v>4415449</v>
      </c>
      <c r="N664" s="56">
        <v>-0.45</v>
      </c>
      <c r="O664" s="56">
        <v>-0.3</v>
      </c>
      <c r="P664" s="58">
        <v>18.32</v>
      </c>
      <c r="Q664" s="59">
        <v>66.256197180006595</v>
      </c>
      <c r="R664" s="59">
        <v>1.6639002015554101</v>
      </c>
      <c r="S664" s="59">
        <v>1.14236849265415</v>
      </c>
      <c r="X664" s="2">
        <f t="shared" si="30"/>
        <v>0.33743802819993407</v>
      </c>
      <c r="Y664" s="2">
        <f>SUMIF(收盤價!A:A,A664,收盤價!C:C)</f>
        <v>14.15</v>
      </c>
      <c r="Z664" s="2">
        <f t="shared" si="31"/>
        <v>8089102.5680000009</v>
      </c>
      <c r="AA664" s="2">
        <f t="shared" si="32"/>
        <v>6247860.335</v>
      </c>
    </row>
    <row r="665" spans="1:27" ht="14.5" customHeight="1">
      <c r="A665" s="19" t="s">
        <v>5346</v>
      </c>
      <c r="B665" s="3" t="s">
        <v>1758</v>
      </c>
      <c r="C665" s="20">
        <v>13942969</v>
      </c>
      <c r="D665" s="20">
        <v>12764171</v>
      </c>
      <c r="E665" s="56">
        <v>9.24</v>
      </c>
      <c r="F665" s="57">
        <v>353857</v>
      </c>
      <c r="G665" s="57">
        <v>439629</v>
      </c>
      <c r="H665" s="57">
        <v>-19364</v>
      </c>
      <c r="I665" s="57">
        <v>-67335</v>
      </c>
      <c r="J665" s="57">
        <v>257124</v>
      </c>
      <c r="K665" s="57">
        <v>328579</v>
      </c>
      <c r="L665" s="56">
        <v>-21.75</v>
      </c>
      <c r="M665" s="20">
        <v>3206745</v>
      </c>
      <c r="N665" s="56">
        <v>0.8</v>
      </c>
      <c r="O665" s="56">
        <v>1.02</v>
      </c>
      <c r="P665" s="58">
        <v>12.88</v>
      </c>
      <c r="Q665" s="59">
        <v>39.998059628844999</v>
      </c>
      <c r="R665" s="59">
        <v>1.1495069898310799</v>
      </c>
      <c r="S665" s="59">
        <v>0.56947306576376799</v>
      </c>
      <c r="X665" s="2">
        <f t="shared" si="30"/>
        <v>0.60001940371155005</v>
      </c>
      <c r="Y665" s="2">
        <f>SUMIF(收盤價!A:A,A665,收盤價!C:C)</f>
        <v>18.7</v>
      </c>
      <c r="Z665" s="2">
        <f t="shared" si="31"/>
        <v>4130287.56</v>
      </c>
      <c r="AA665" s="2">
        <f t="shared" si="32"/>
        <v>5996613.1500000004</v>
      </c>
    </row>
    <row r="666" spans="1:27" ht="14.5" customHeight="1">
      <c r="A666" s="19" t="s">
        <v>5347</v>
      </c>
      <c r="B666" s="3" t="s">
        <v>552</v>
      </c>
      <c r="C666" s="20">
        <v>5798880</v>
      </c>
      <c r="D666" s="20">
        <v>7969155</v>
      </c>
      <c r="E666" s="56">
        <v>-27.23</v>
      </c>
      <c r="F666" s="57">
        <v>12781</v>
      </c>
      <c r="G666" s="57">
        <v>55192</v>
      </c>
      <c r="H666" s="57">
        <v>-2256</v>
      </c>
      <c r="I666" s="57">
        <v>26478</v>
      </c>
      <c r="J666" s="57">
        <v>1684</v>
      </c>
      <c r="K666" s="57">
        <v>52109</v>
      </c>
      <c r="L666" s="56">
        <v>-96.77</v>
      </c>
      <c r="M666" s="20">
        <v>2280283</v>
      </c>
      <c r="N666" s="56">
        <v>0.01</v>
      </c>
      <c r="O666" s="56">
        <v>0.23</v>
      </c>
      <c r="P666" s="58">
        <v>11.65</v>
      </c>
      <c r="Q666" s="59">
        <v>52.853037603418997</v>
      </c>
      <c r="R666" s="59">
        <v>1.82422981233087</v>
      </c>
      <c r="S666" s="59">
        <v>1.29938133157053</v>
      </c>
      <c r="X666" s="2">
        <f t="shared" si="30"/>
        <v>0.47146962396581005</v>
      </c>
      <c r="Y666" s="2">
        <f>SUMIF(收盤價!A:A,A666,收盤價!C:C)</f>
        <v>24.65</v>
      </c>
      <c r="Z666" s="2">
        <f t="shared" si="31"/>
        <v>2656529.6949999998</v>
      </c>
      <c r="AA666" s="2">
        <f t="shared" si="32"/>
        <v>5620897.5949999997</v>
      </c>
    </row>
    <row r="667" spans="1:27" ht="14.5" customHeight="1">
      <c r="A667" s="19" t="s">
        <v>5631</v>
      </c>
      <c r="B667" s="3" t="s">
        <v>557</v>
      </c>
      <c r="C667" s="20">
        <v>1563994</v>
      </c>
      <c r="D667" s="20">
        <v>2428662</v>
      </c>
      <c r="E667" s="56">
        <v>-35.6</v>
      </c>
      <c r="F667" s="57">
        <v>-154572</v>
      </c>
      <c r="G667" s="57">
        <v>-99017</v>
      </c>
      <c r="H667" s="57">
        <v>42098</v>
      </c>
      <c r="I667" s="57">
        <v>47759</v>
      </c>
      <c r="J667" s="57">
        <v>-115393</v>
      </c>
      <c r="K667" s="57">
        <v>-46896</v>
      </c>
      <c r="L667" s="56"/>
      <c r="M667" s="20">
        <v>3153326</v>
      </c>
      <c r="N667" s="56">
        <v>-0.78</v>
      </c>
      <c r="O667" s="56">
        <v>-0.32</v>
      </c>
      <c r="P667" s="58">
        <v>1.1499999999999999</v>
      </c>
      <c r="Q667" s="59">
        <v>16.1442174870628</v>
      </c>
      <c r="R667" s="59">
        <v>1.10701147076736</v>
      </c>
      <c r="S667" s="59">
        <v>0.49946056498045099</v>
      </c>
      <c r="X667" s="2">
        <f t="shared" si="30"/>
        <v>0.83855782512937194</v>
      </c>
      <c r="Y667" s="2">
        <f>SUMIF(收盤價!A:A,A667,收盤價!C:C)</f>
        <v>1.28</v>
      </c>
      <c r="Z667" s="2">
        <f t="shared" si="31"/>
        <v>362632.49</v>
      </c>
      <c r="AA667" s="2">
        <f t="shared" si="32"/>
        <v>403625.728</v>
      </c>
    </row>
    <row r="668" spans="1:27" ht="14.5" customHeight="1">
      <c r="A668" s="19" t="s">
        <v>5348</v>
      </c>
      <c r="B668" s="3" t="s">
        <v>572</v>
      </c>
      <c r="C668" s="20">
        <v>16996048</v>
      </c>
      <c r="D668" s="20">
        <v>19383203</v>
      </c>
      <c r="E668" s="56">
        <v>-12.32</v>
      </c>
      <c r="F668" s="57">
        <v>-384756</v>
      </c>
      <c r="G668" s="57">
        <v>248971</v>
      </c>
      <c r="H668" s="57">
        <v>95203</v>
      </c>
      <c r="I668" s="57">
        <v>48426</v>
      </c>
      <c r="J668" s="57">
        <v>-508327</v>
      </c>
      <c r="K668" s="57">
        <v>106374</v>
      </c>
      <c r="L668" s="56"/>
      <c r="M668" s="20">
        <v>6519961</v>
      </c>
      <c r="N668" s="56">
        <v>-0.78</v>
      </c>
      <c r="O668" s="56">
        <v>0.16</v>
      </c>
      <c r="P668" s="58">
        <v>13</v>
      </c>
      <c r="Q668" s="59">
        <v>53.932968026880502</v>
      </c>
      <c r="R668" s="59">
        <v>1.7114143898445799</v>
      </c>
      <c r="S668" s="59">
        <v>1.1550846748257999</v>
      </c>
      <c r="X668" s="2">
        <f t="shared" si="30"/>
        <v>0.46067031973119499</v>
      </c>
      <c r="Y668" s="2">
        <f>SUMIF(收盤價!A:A,A668,收盤價!C:C)</f>
        <v>13.3</v>
      </c>
      <c r="Z668" s="2">
        <f t="shared" si="31"/>
        <v>8475949.3000000007</v>
      </c>
      <c r="AA668" s="2">
        <f t="shared" si="32"/>
        <v>8671548.1300000008</v>
      </c>
    </row>
    <row r="669" spans="1:27" ht="14.5" customHeight="1">
      <c r="A669" s="19" t="s">
        <v>5349</v>
      </c>
      <c r="B669" s="3" t="s">
        <v>584</v>
      </c>
      <c r="C669" s="20">
        <v>55401047</v>
      </c>
      <c r="D669" s="20">
        <v>43092155</v>
      </c>
      <c r="E669" s="56">
        <v>28.56</v>
      </c>
      <c r="F669" s="57">
        <v>6039983</v>
      </c>
      <c r="G669" s="57">
        <v>3472708</v>
      </c>
      <c r="H669" s="57">
        <v>89662</v>
      </c>
      <c r="I669" s="57">
        <v>225031</v>
      </c>
      <c r="J669" s="57">
        <v>4950495</v>
      </c>
      <c r="K669" s="57">
        <v>2952449</v>
      </c>
      <c r="L669" s="56">
        <v>67.67</v>
      </c>
      <c r="M669" s="20">
        <v>5580514</v>
      </c>
      <c r="N669" s="56">
        <v>8.91</v>
      </c>
      <c r="O669" s="56">
        <v>5.33</v>
      </c>
      <c r="P669" s="58">
        <v>23.03</v>
      </c>
      <c r="Q669" s="59">
        <v>43.3601479511916</v>
      </c>
      <c r="R669" s="59">
        <v>1.7750888445665001</v>
      </c>
      <c r="S669" s="59">
        <v>0.89657817823094199</v>
      </c>
      <c r="X669" s="2">
        <f t="shared" si="30"/>
        <v>0.56639852048808403</v>
      </c>
      <c r="Y669" s="2">
        <f>SUMIF(收盤價!A:A,A669,收盤價!C:C)</f>
        <v>168</v>
      </c>
      <c r="Z669" s="2">
        <f t="shared" si="31"/>
        <v>12851923.742000001</v>
      </c>
      <c r="AA669" s="2">
        <f t="shared" si="32"/>
        <v>93752635.200000003</v>
      </c>
    </row>
    <row r="670" spans="1:27" ht="14.5" customHeight="1">
      <c r="A670" s="19" t="s">
        <v>5350</v>
      </c>
      <c r="B670" s="3" t="s">
        <v>675</v>
      </c>
      <c r="C670" s="20">
        <v>207520061</v>
      </c>
      <c r="D670" s="20">
        <v>215483158</v>
      </c>
      <c r="E670" s="56">
        <v>-3.7</v>
      </c>
      <c r="F670" s="57">
        <v>40645854</v>
      </c>
      <c r="G670" s="57">
        <v>43643659</v>
      </c>
      <c r="H670" s="57">
        <v>1103938</v>
      </c>
      <c r="I670" s="57">
        <v>1335045</v>
      </c>
      <c r="J670" s="57">
        <v>32788546</v>
      </c>
      <c r="K670" s="57">
        <v>35501622</v>
      </c>
      <c r="L670" s="56">
        <v>-7.64</v>
      </c>
      <c r="M670" s="20">
        <v>77574465</v>
      </c>
      <c r="N670" s="56">
        <v>4.2300000000000004</v>
      </c>
      <c r="O670" s="56">
        <v>4.58</v>
      </c>
      <c r="P670" s="58">
        <v>48.48</v>
      </c>
      <c r="Q670" s="59">
        <v>78.773432536313294</v>
      </c>
      <c r="R670" s="59">
        <v>1.46184620742206</v>
      </c>
      <c r="S670" s="59">
        <v>1.00877099376557</v>
      </c>
      <c r="X670" s="2">
        <f t="shared" si="30"/>
        <v>0.21226567463686707</v>
      </c>
      <c r="Y670" s="2">
        <f>SUMIF(收盤價!A:A,A670,收盤價!C:C)</f>
        <v>110</v>
      </c>
      <c r="Z670" s="2">
        <f t="shared" si="31"/>
        <v>376081006.31999999</v>
      </c>
      <c r="AA670" s="2">
        <f t="shared" si="32"/>
        <v>853319115</v>
      </c>
    </row>
    <row r="671" spans="1:27" ht="14.5" customHeight="1">
      <c r="A671" s="19" t="s">
        <v>5351</v>
      </c>
      <c r="B671" s="3" t="s">
        <v>685</v>
      </c>
      <c r="C671" s="20">
        <v>10325500</v>
      </c>
      <c r="D671" s="20">
        <v>10057776</v>
      </c>
      <c r="E671" s="56">
        <v>2.66</v>
      </c>
      <c r="F671" s="57">
        <v>480552</v>
      </c>
      <c r="G671" s="57">
        <v>362263</v>
      </c>
      <c r="H671" s="57">
        <v>-74314</v>
      </c>
      <c r="I671" s="57">
        <v>6369</v>
      </c>
      <c r="J671" s="57">
        <v>219959</v>
      </c>
      <c r="K671" s="57">
        <v>191960</v>
      </c>
      <c r="L671" s="56">
        <v>14.59</v>
      </c>
      <c r="M671" s="20">
        <v>3289862</v>
      </c>
      <c r="N671" s="56">
        <v>0.98</v>
      </c>
      <c r="O671" s="56">
        <v>0.81</v>
      </c>
      <c r="P671" s="58">
        <v>15.4</v>
      </c>
      <c r="Q671" s="59">
        <v>49.894838185750402</v>
      </c>
      <c r="R671" s="59">
        <v>2.3101065731984902</v>
      </c>
      <c r="S671" s="59">
        <v>1.7037502371495701</v>
      </c>
      <c r="X671" s="2">
        <f t="shared" si="30"/>
        <v>0.50105161814249599</v>
      </c>
      <c r="Y671" s="2">
        <f>SUMIF(收盤價!A:A,A671,收盤價!C:C)</f>
        <v>28</v>
      </c>
      <c r="Z671" s="2">
        <f t="shared" si="31"/>
        <v>5066387.4800000004</v>
      </c>
      <c r="AA671" s="2">
        <f t="shared" si="32"/>
        <v>9211613.5999999996</v>
      </c>
    </row>
    <row r="672" spans="1:27" ht="14.5" customHeight="1">
      <c r="A672" s="19" t="s">
        <v>5352</v>
      </c>
      <c r="B672" s="3" t="s">
        <v>717</v>
      </c>
      <c r="C672" s="20">
        <v>36397793</v>
      </c>
      <c r="D672" s="20">
        <v>35494808</v>
      </c>
      <c r="E672" s="56">
        <v>2.54</v>
      </c>
      <c r="F672" s="57">
        <v>2235352</v>
      </c>
      <c r="G672" s="57">
        <v>2303133</v>
      </c>
      <c r="H672" s="57">
        <v>1010845</v>
      </c>
      <c r="I672" s="57">
        <v>423116</v>
      </c>
      <c r="J672" s="57">
        <v>2548612</v>
      </c>
      <c r="K672" s="57">
        <v>2064265</v>
      </c>
      <c r="L672" s="56">
        <v>23.46</v>
      </c>
      <c r="M672" s="20">
        <v>2086684</v>
      </c>
      <c r="N672" s="56">
        <v>12.51</v>
      </c>
      <c r="O672" s="56">
        <v>10.47</v>
      </c>
      <c r="P672" s="58">
        <v>61.5</v>
      </c>
      <c r="Q672" s="59">
        <v>49.7526396974364</v>
      </c>
      <c r="R672" s="59">
        <v>1.68383605289976</v>
      </c>
      <c r="S672" s="59">
        <v>1.3948851735518999</v>
      </c>
      <c r="X672" s="2">
        <f t="shared" si="30"/>
        <v>0.50247360302563604</v>
      </c>
      <c r="Y672" s="2">
        <f>SUMIF(收盤價!A:A,A672,收盤價!C:C)</f>
        <v>167.5</v>
      </c>
      <c r="Z672" s="2">
        <f t="shared" si="31"/>
        <v>12833106.6</v>
      </c>
      <c r="AA672" s="2">
        <f t="shared" si="32"/>
        <v>34951957</v>
      </c>
    </row>
    <row r="673" spans="1:27" ht="14.5" customHeight="1">
      <c r="A673" s="21" t="s">
        <v>5353</v>
      </c>
      <c r="B673" s="22" t="s">
        <v>727</v>
      </c>
      <c r="C673" s="23">
        <v>1575950</v>
      </c>
      <c r="D673" s="23">
        <v>1208068</v>
      </c>
      <c r="E673" s="60">
        <v>30.45</v>
      </c>
      <c r="F673" s="61">
        <v>-17942</v>
      </c>
      <c r="G673" s="61">
        <v>-97751</v>
      </c>
      <c r="H673" s="61">
        <v>-8678</v>
      </c>
      <c r="I673" s="61">
        <v>6996</v>
      </c>
      <c r="J673" s="61">
        <v>-26620</v>
      </c>
      <c r="K673" s="61">
        <v>-99100</v>
      </c>
      <c r="L673" s="60"/>
      <c r="M673" s="23">
        <v>1055576</v>
      </c>
      <c r="N673" s="60">
        <v>-0.26</v>
      </c>
      <c r="O673" s="60">
        <v>-0.96</v>
      </c>
      <c r="P673" s="62">
        <v>9.4700000000000006</v>
      </c>
      <c r="Q673" s="63">
        <v>56.1626910478914</v>
      </c>
      <c r="R673" s="63">
        <v>1.4540034663899299</v>
      </c>
      <c r="S673" s="63">
        <v>0.605425328183676</v>
      </c>
      <c r="X673" s="2">
        <f t="shared" si="30"/>
        <v>0.438373089521086</v>
      </c>
      <c r="Y673" s="2">
        <f>SUMIF(收盤價!A:A,A673,收盤價!C:C)</f>
        <v>22.35</v>
      </c>
      <c r="Z673" s="2">
        <f t="shared" si="31"/>
        <v>999630.47200000007</v>
      </c>
      <c r="AA673" s="2">
        <f t="shared" si="32"/>
        <v>2359212.3600000003</v>
      </c>
    </row>
    <row r="674" spans="1:27" ht="14.5" customHeight="1">
      <c r="A674" s="24" t="s">
        <v>5354</v>
      </c>
      <c r="B674" s="25" t="s">
        <v>733</v>
      </c>
      <c r="C674" s="26">
        <v>28864873</v>
      </c>
      <c r="D674" s="26">
        <v>31240940</v>
      </c>
      <c r="E674" s="64">
        <v>-7.61</v>
      </c>
      <c r="F674" s="65">
        <v>255662</v>
      </c>
      <c r="G674" s="65">
        <v>119028</v>
      </c>
      <c r="H674" s="65">
        <v>224202</v>
      </c>
      <c r="I674" s="65">
        <v>287623</v>
      </c>
      <c r="J674" s="65">
        <v>411231</v>
      </c>
      <c r="K674" s="65">
        <v>405854</v>
      </c>
      <c r="L674" s="64">
        <v>1.32</v>
      </c>
      <c r="M674" s="26">
        <v>2582527</v>
      </c>
      <c r="N674" s="64">
        <v>1.59</v>
      </c>
      <c r="O674" s="64">
        <v>1.59</v>
      </c>
      <c r="P674" s="66">
        <v>22.65</v>
      </c>
      <c r="Q674" s="67">
        <v>58.077738977705998</v>
      </c>
      <c r="R674" s="67">
        <v>1.8664852170138799</v>
      </c>
      <c r="S674" s="67">
        <v>1.31194955165164</v>
      </c>
      <c r="X674" s="2">
        <f t="shared" si="30"/>
        <v>0.41922261022294</v>
      </c>
      <c r="Y674" s="2">
        <f>SUMIF(收盤價!A:A,A674,收盤價!C:C)</f>
        <v>32.1</v>
      </c>
      <c r="Z674" s="2">
        <f t="shared" si="31"/>
        <v>5849423.6549999993</v>
      </c>
      <c r="AA674" s="2">
        <f t="shared" si="32"/>
        <v>8289911.6699999999</v>
      </c>
    </row>
    <row r="675" spans="1:27" ht="14.5" customHeight="1">
      <c r="A675" s="19" t="s">
        <v>5355</v>
      </c>
      <c r="B675" s="3" t="s">
        <v>741</v>
      </c>
      <c r="C675" s="20">
        <v>2530909</v>
      </c>
      <c r="D675" s="20">
        <v>2062120</v>
      </c>
      <c r="E675" s="56">
        <v>22.73</v>
      </c>
      <c r="F675" s="57">
        <v>648983</v>
      </c>
      <c r="G675" s="57">
        <v>463906</v>
      </c>
      <c r="H675" s="57">
        <v>-20380</v>
      </c>
      <c r="I675" s="57">
        <v>25273</v>
      </c>
      <c r="J675" s="57">
        <v>514325</v>
      </c>
      <c r="K675" s="57">
        <v>397170</v>
      </c>
      <c r="L675" s="56">
        <v>29.5</v>
      </c>
      <c r="M675" s="20">
        <v>1849059</v>
      </c>
      <c r="N675" s="56">
        <v>2.79</v>
      </c>
      <c r="O675" s="56">
        <v>2.16</v>
      </c>
      <c r="P675" s="58">
        <v>15.31</v>
      </c>
      <c r="Q675" s="59">
        <v>65.2338043994489</v>
      </c>
      <c r="R675" s="59">
        <v>1.61154919380247</v>
      </c>
      <c r="S675" s="59">
        <v>1.25455999696677</v>
      </c>
      <c r="X675" s="2">
        <f t="shared" si="30"/>
        <v>0.34766195600551097</v>
      </c>
      <c r="Y675" s="2">
        <f>SUMIF(收盤價!A:A,A675,收盤價!C:C)</f>
        <v>118</v>
      </c>
      <c r="Z675" s="2">
        <f t="shared" si="31"/>
        <v>2830909.3289999999</v>
      </c>
      <c r="AA675" s="2">
        <f t="shared" si="32"/>
        <v>21818896.199999999</v>
      </c>
    </row>
    <row r="676" spans="1:27" ht="14.5" customHeight="1">
      <c r="A676" s="19" t="s">
        <v>5356</v>
      </c>
      <c r="B676" s="3" t="s">
        <v>789</v>
      </c>
      <c r="C676" s="20">
        <v>7779711</v>
      </c>
      <c r="D676" s="20">
        <v>7771558</v>
      </c>
      <c r="E676" s="56">
        <v>0.1</v>
      </c>
      <c r="F676" s="57">
        <v>-122116</v>
      </c>
      <c r="G676" s="57">
        <v>-125829</v>
      </c>
      <c r="H676" s="57">
        <v>-26861</v>
      </c>
      <c r="I676" s="57">
        <v>436461</v>
      </c>
      <c r="J676" s="57">
        <v>-116859</v>
      </c>
      <c r="K676" s="57">
        <v>296660</v>
      </c>
      <c r="L676" s="56"/>
      <c r="M676" s="20">
        <v>3176890</v>
      </c>
      <c r="N676" s="56">
        <v>-0.37</v>
      </c>
      <c r="O676" s="56">
        <v>0.93</v>
      </c>
      <c r="P676" s="58">
        <v>20.77</v>
      </c>
      <c r="Q676" s="59">
        <v>78.692039795478294</v>
      </c>
      <c r="R676" s="59">
        <v>3.4897506033174799</v>
      </c>
      <c r="S676" s="59">
        <v>2.7387756219006798</v>
      </c>
      <c r="X676" s="2">
        <f t="shared" si="30"/>
        <v>0.21307960204521706</v>
      </c>
      <c r="Y676" s="2">
        <f>SUMIF(收盤價!A:A,A676,收盤價!C:C)</f>
        <v>20.399999999999999</v>
      </c>
      <c r="Z676" s="2">
        <f t="shared" si="31"/>
        <v>6598400.5299999993</v>
      </c>
      <c r="AA676" s="2">
        <f t="shared" si="32"/>
        <v>6480855.5999999996</v>
      </c>
    </row>
    <row r="677" spans="1:27" ht="14.5" customHeight="1">
      <c r="A677" s="19" t="s">
        <v>5357</v>
      </c>
      <c r="B677" s="3" t="s">
        <v>809</v>
      </c>
      <c r="C677" s="20">
        <v>10014966</v>
      </c>
      <c r="D677" s="20">
        <v>23740610</v>
      </c>
      <c r="E677" s="56">
        <v>-57.82</v>
      </c>
      <c r="F677" s="57">
        <v>-9850256</v>
      </c>
      <c r="G677" s="57">
        <v>-13963613</v>
      </c>
      <c r="H677" s="57">
        <v>430827</v>
      </c>
      <c r="I677" s="57">
        <v>31192095</v>
      </c>
      <c r="J677" s="57">
        <v>-9358078</v>
      </c>
      <c r="K677" s="57">
        <v>12068202</v>
      </c>
      <c r="L677" s="56"/>
      <c r="M677" s="20">
        <v>8188086</v>
      </c>
      <c r="N677" s="56">
        <v>-11.43</v>
      </c>
      <c r="O677" s="56">
        <v>14.72</v>
      </c>
      <c r="P677" s="58">
        <v>42.57</v>
      </c>
      <c r="Q677" s="59">
        <v>66.092508466937801</v>
      </c>
      <c r="R677" s="59">
        <v>2.0646333879966101</v>
      </c>
      <c r="S677" s="59">
        <v>1.66380521358126</v>
      </c>
      <c r="X677" s="2">
        <f t="shared" si="30"/>
        <v>0.33907491533062201</v>
      </c>
      <c r="Y677" s="2">
        <f>SUMIF(收盤價!A:A,A677,收盤價!C:C)</f>
        <v>38.450000000000003</v>
      </c>
      <c r="Z677" s="2">
        <f t="shared" si="31"/>
        <v>34856682.101999998</v>
      </c>
      <c r="AA677" s="2">
        <f t="shared" si="32"/>
        <v>31483190.670000006</v>
      </c>
    </row>
    <row r="678" spans="1:27" ht="14.5" customHeight="1">
      <c r="A678" s="19" t="s">
        <v>5358</v>
      </c>
      <c r="B678" s="3" t="s">
        <v>1071</v>
      </c>
      <c r="C678" s="20">
        <v>544995</v>
      </c>
      <c r="D678" s="20">
        <v>548039</v>
      </c>
      <c r="E678" s="56">
        <v>-0.56000000000000005</v>
      </c>
      <c r="F678" s="57">
        <v>56121</v>
      </c>
      <c r="G678" s="57">
        <v>-5713</v>
      </c>
      <c r="H678" s="57">
        <v>2658</v>
      </c>
      <c r="I678" s="57">
        <v>7581</v>
      </c>
      <c r="J678" s="57">
        <v>49503</v>
      </c>
      <c r="K678" s="57">
        <v>1164</v>
      </c>
      <c r="L678" s="56">
        <v>4152.84</v>
      </c>
      <c r="M678" s="20">
        <v>709206</v>
      </c>
      <c r="N678" s="56">
        <v>0.7</v>
      </c>
      <c r="O678" s="56">
        <v>0.02</v>
      </c>
      <c r="P678" s="58">
        <v>11.42</v>
      </c>
      <c r="Q678" s="59">
        <v>79.709691171504303</v>
      </c>
      <c r="R678" s="59">
        <v>6.3982165893797296</v>
      </c>
      <c r="S678" s="59">
        <v>3.3615459712004498</v>
      </c>
      <c r="X678" s="2">
        <f t="shared" si="30"/>
        <v>0.20290308828495696</v>
      </c>
      <c r="Y678" s="2">
        <f>SUMIF(收盤價!A:A,A678,收盤價!C:C)</f>
        <v>22.8</v>
      </c>
      <c r="Z678" s="2">
        <f t="shared" si="31"/>
        <v>809913.25199999998</v>
      </c>
      <c r="AA678" s="2">
        <f t="shared" si="32"/>
        <v>1616989.6800000002</v>
      </c>
    </row>
    <row r="679" spans="1:27" ht="14.5" customHeight="1">
      <c r="A679" s="19" t="s">
        <v>5359</v>
      </c>
      <c r="B679" s="3" t="s">
        <v>1075</v>
      </c>
      <c r="C679" s="20">
        <v>623090</v>
      </c>
      <c r="D679" s="20">
        <v>792160</v>
      </c>
      <c r="E679" s="56">
        <v>-21.34</v>
      </c>
      <c r="F679" s="57">
        <v>-35784</v>
      </c>
      <c r="G679" s="57">
        <v>-28511</v>
      </c>
      <c r="H679" s="57">
        <v>-8486</v>
      </c>
      <c r="I679" s="57">
        <v>24687</v>
      </c>
      <c r="J679" s="57">
        <v>-18221</v>
      </c>
      <c r="K679" s="57">
        <v>164801</v>
      </c>
      <c r="L679" s="56"/>
      <c r="M679" s="20">
        <v>988563</v>
      </c>
      <c r="N679" s="56">
        <v>-0.18</v>
      </c>
      <c r="O679" s="56">
        <v>1.67</v>
      </c>
      <c r="P679" s="58">
        <v>14.52</v>
      </c>
      <c r="Q679" s="59">
        <v>66.492267613841094</v>
      </c>
      <c r="R679" s="59">
        <v>3.1930733897066501</v>
      </c>
      <c r="S679" s="59">
        <v>2.2669172147405798</v>
      </c>
      <c r="X679" s="2">
        <f t="shared" si="30"/>
        <v>0.33507732386158906</v>
      </c>
      <c r="Y679" s="2">
        <f>SUMIF(收盤價!A:A,A679,收盤價!C:C)</f>
        <v>8.49</v>
      </c>
      <c r="Z679" s="2">
        <f t="shared" si="31"/>
        <v>1435393.476</v>
      </c>
      <c r="AA679" s="2">
        <f t="shared" si="32"/>
        <v>839289.98700000008</v>
      </c>
    </row>
    <row r="680" spans="1:27" ht="14.5" customHeight="1">
      <c r="A680" s="19" t="s">
        <v>5360</v>
      </c>
      <c r="B680" s="3" t="s">
        <v>1109</v>
      </c>
      <c r="C680" s="20">
        <v>124420913</v>
      </c>
      <c r="D680" s="20">
        <v>118732328</v>
      </c>
      <c r="E680" s="56">
        <v>4.79</v>
      </c>
      <c r="F680" s="57">
        <v>17193335</v>
      </c>
      <c r="G680" s="57">
        <v>18162042</v>
      </c>
      <c r="H680" s="57">
        <v>-611525</v>
      </c>
      <c r="I680" s="57">
        <v>-472825</v>
      </c>
      <c r="J680" s="57">
        <v>12481167</v>
      </c>
      <c r="K680" s="57">
        <v>13642172</v>
      </c>
      <c r="L680" s="56">
        <v>-8.51</v>
      </c>
      <c r="M680" s="20">
        <v>35093545</v>
      </c>
      <c r="N680" s="56">
        <v>4.51</v>
      </c>
      <c r="O680" s="56">
        <v>5.01</v>
      </c>
      <c r="P680" s="58">
        <v>24.2</v>
      </c>
      <c r="Q680" s="59">
        <v>44.190039707585903</v>
      </c>
      <c r="R680" s="59">
        <v>0.67169169989521804</v>
      </c>
      <c r="S680" s="59">
        <v>0.510569671070358</v>
      </c>
      <c r="X680" s="2">
        <f t="shared" si="30"/>
        <v>0.55809960292414096</v>
      </c>
      <c r="Y680" s="2">
        <f>SUMIF(收盤價!A:A,A680,收盤價!C:C)</f>
        <v>112</v>
      </c>
      <c r="Z680" s="2">
        <f t="shared" si="31"/>
        <v>84926378.900000006</v>
      </c>
      <c r="AA680" s="2">
        <f t="shared" si="32"/>
        <v>393047704</v>
      </c>
    </row>
    <row r="681" spans="1:27" ht="14.5" customHeight="1">
      <c r="A681" s="19" t="s">
        <v>5361</v>
      </c>
      <c r="B681" s="3" t="s">
        <v>1113</v>
      </c>
      <c r="C681" s="20">
        <v>5488422</v>
      </c>
      <c r="D681" s="20">
        <v>6873561</v>
      </c>
      <c r="E681" s="56">
        <v>-20.149999999999999</v>
      </c>
      <c r="F681" s="57">
        <v>178095</v>
      </c>
      <c r="G681" s="57">
        <v>212082</v>
      </c>
      <c r="H681" s="57">
        <v>56213</v>
      </c>
      <c r="I681" s="57">
        <v>-6347</v>
      </c>
      <c r="J681" s="57">
        <v>60772</v>
      </c>
      <c r="K681" s="57">
        <v>-27127</v>
      </c>
      <c r="L681" s="56"/>
      <c r="M681" s="20">
        <v>1864916</v>
      </c>
      <c r="N681" s="56">
        <v>0.33</v>
      </c>
      <c r="O681" s="56">
        <v>-0.15</v>
      </c>
      <c r="P681" s="58">
        <v>10.88</v>
      </c>
      <c r="Q681" s="59">
        <v>30.838242657042301</v>
      </c>
      <c r="R681" s="59">
        <v>1.5647058240220399</v>
      </c>
      <c r="S681" s="59">
        <v>0.95736672245936305</v>
      </c>
      <c r="X681" s="2">
        <f t="shared" si="30"/>
        <v>0.69161757342957697</v>
      </c>
      <c r="Y681" s="2">
        <f>SUMIF(收盤價!A:A,A681,收盤價!C:C)</f>
        <v>10.7</v>
      </c>
      <c r="Z681" s="2">
        <f t="shared" si="31"/>
        <v>2029028.6080000002</v>
      </c>
      <c r="AA681" s="2">
        <f t="shared" si="32"/>
        <v>1995460.1199999999</v>
      </c>
    </row>
    <row r="682" spans="1:27" ht="14.5" customHeight="1">
      <c r="A682" s="19" t="s">
        <v>5362</v>
      </c>
      <c r="B682" s="3" t="s">
        <v>1139</v>
      </c>
      <c r="C682" s="20">
        <v>5707963</v>
      </c>
      <c r="D682" s="20">
        <v>8598958</v>
      </c>
      <c r="E682" s="56">
        <v>-33.619999999999997</v>
      </c>
      <c r="F682" s="57">
        <v>34156</v>
      </c>
      <c r="G682" s="57">
        <v>80440</v>
      </c>
      <c r="H682" s="57">
        <v>31163</v>
      </c>
      <c r="I682" s="57">
        <v>140905</v>
      </c>
      <c r="J682" s="57">
        <v>51352</v>
      </c>
      <c r="K682" s="57">
        <v>166600</v>
      </c>
      <c r="L682" s="56">
        <v>-69.180000000000007</v>
      </c>
      <c r="M682" s="20">
        <v>3286054</v>
      </c>
      <c r="N682" s="56">
        <v>0.16</v>
      </c>
      <c r="O682" s="56">
        <v>0.51</v>
      </c>
      <c r="P682" s="58">
        <v>16.600000000000001</v>
      </c>
      <c r="Q682" s="59">
        <v>68.443519030561902</v>
      </c>
      <c r="R682" s="59">
        <v>2.7357374978924902</v>
      </c>
      <c r="S682" s="59">
        <v>1.65770986713566</v>
      </c>
      <c r="X682" s="2">
        <f t="shared" si="30"/>
        <v>0.315564809694381</v>
      </c>
      <c r="Y682" s="2">
        <f>SUMIF(收盤價!A:A,A682,收盤價!C:C)</f>
        <v>18.3</v>
      </c>
      <c r="Z682" s="2">
        <f t="shared" si="31"/>
        <v>5454849.6400000006</v>
      </c>
      <c r="AA682" s="2">
        <f t="shared" si="32"/>
        <v>6013478.8200000003</v>
      </c>
    </row>
    <row r="683" spans="1:27" ht="14.5" customHeight="1">
      <c r="A683" s="19" t="s">
        <v>5363</v>
      </c>
      <c r="B683" s="3" t="s">
        <v>1168</v>
      </c>
      <c r="C683" s="20">
        <v>2295774</v>
      </c>
      <c r="D683" s="20">
        <v>2251044</v>
      </c>
      <c r="E683" s="56">
        <v>1.99</v>
      </c>
      <c r="F683" s="57">
        <v>-85663</v>
      </c>
      <c r="G683" s="57">
        <v>-153336</v>
      </c>
      <c r="H683" s="57">
        <v>86744</v>
      </c>
      <c r="I683" s="57">
        <v>196391</v>
      </c>
      <c r="J683" s="57">
        <v>-30495</v>
      </c>
      <c r="K683" s="57">
        <v>-33816</v>
      </c>
      <c r="L683" s="56"/>
      <c r="M683" s="20">
        <v>600000</v>
      </c>
      <c r="N683" s="56">
        <v>-0.24</v>
      </c>
      <c r="O683" s="56">
        <v>-0.19</v>
      </c>
      <c r="P683" s="58">
        <v>42.02</v>
      </c>
      <c r="Q683" s="59">
        <v>75.357319112010302</v>
      </c>
      <c r="R683" s="59">
        <v>3.7289780421474399</v>
      </c>
      <c r="S683" s="59">
        <v>3.25552163889293</v>
      </c>
      <c r="X683" s="2">
        <f t="shared" si="30"/>
        <v>0.24642680887989699</v>
      </c>
      <c r="Y683" s="2">
        <f>SUMIF(收盤價!A:A,A683,收盤價!C:C)</f>
        <v>26.3</v>
      </c>
      <c r="Z683" s="2">
        <f t="shared" si="31"/>
        <v>2521200.0000000005</v>
      </c>
      <c r="AA683" s="2">
        <f t="shared" si="32"/>
        <v>1578000</v>
      </c>
    </row>
    <row r="684" spans="1:27" ht="14.5" customHeight="1">
      <c r="A684" s="19" t="s">
        <v>5364</v>
      </c>
      <c r="B684" s="3" t="s">
        <v>1182</v>
      </c>
      <c r="C684" s="20">
        <v>15825808</v>
      </c>
      <c r="D684" s="20">
        <v>15608222</v>
      </c>
      <c r="E684" s="56">
        <v>1.39</v>
      </c>
      <c r="F684" s="57">
        <v>232105</v>
      </c>
      <c r="G684" s="57">
        <v>-200028</v>
      </c>
      <c r="H684" s="57">
        <v>107688</v>
      </c>
      <c r="I684" s="57">
        <v>115742</v>
      </c>
      <c r="J684" s="57">
        <v>238903</v>
      </c>
      <c r="K684" s="57">
        <v>-88009</v>
      </c>
      <c r="L684" s="56"/>
      <c r="M684" s="20">
        <v>5425901</v>
      </c>
      <c r="N684" s="56">
        <v>0.44</v>
      </c>
      <c r="O684" s="56">
        <v>-0.17</v>
      </c>
      <c r="P684" s="58">
        <v>18.39</v>
      </c>
      <c r="Q684" s="59">
        <v>39.922604339264097</v>
      </c>
      <c r="R684" s="59">
        <v>1.9978387222513401</v>
      </c>
      <c r="S684" s="59">
        <v>1.0757744083013101</v>
      </c>
      <c r="X684" s="2">
        <f t="shared" si="30"/>
        <v>0.60077395660735899</v>
      </c>
      <c r="Y684" s="2">
        <f>SUMIF(收盤價!A:A,A684,收盤價!C:C)</f>
        <v>23.55</v>
      </c>
      <c r="Z684" s="2">
        <f t="shared" si="31"/>
        <v>9978231.9389999993</v>
      </c>
      <c r="AA684" s="2">
        <f t="shared" si="32"/>
        <v>12777996.855</v>
      </c>
    </row>
    <row r="685" spans="1:27" ht="14.5" customHeight="1">
      <c r="A685" s="19" t="s">
        <v>5365</v>
      </c>
      <c r="B685" s="3" t="s">
        <v>1192</v>
      </c>
      <c r="C685" s="20">
        <v>1576277</v>
      </c>
      <c r="D685" s="20">
        <v>1866207</v>
      </c>
      <c r="E685" s="56">
        <v>-15.54</v>
      </c>
      <c r="F685" s="57">
        <v>-110372</v>
      </c>
      <c r="G685" s="57">
        <v>23231</v>
      </c>
      <c r="H685" s="57">
        <v>60304</v>
      </c>
      <c r="I685" s="57">
        <v>40570</v>
      </c>
      <c r="J685" s="57">
        <v>-69757</v>
      </c>
      <c r="K685" s="57">
        <v>71049</v>
      </c>
      <c r="L685" s="56"/>
      <c r="M685" s="20">
        <v>1204804</v>
      </c>
      <c r="N685" s="56">
        <v>-0.57999999999999996</v>
      </c>
      <c r="O685" s="56">
        <v>0.59</v>
      </c>
      <c r="P685" s="58">
        <v>12.11</v>
      </c>
      <c r="Q685" s="59">
        <v>63.198585485375503</v>
      </c>
      <c r="R685" s="59">
        <v>1.9676968706428699</v>
      </c>
      <c r="S685" s="59">
        <v>1.5334791280692599</v>
      </c>
      <c r="X685" s="2">
        <f t="shared" si="30"/>
        <v>0.36801414514624498</v>
      </c>
      <c r="Y685" s="2">
        <f>SUMIF(收盤價!A:A,A685,收盤價!C:C)</f>
        <v>17.95</v>
      </c>
      <c r="Z685" s="2">
        <f t="shared" si="31"/>
        <v>1459017.6439999999</v>
      </c>
      <c r="AA685" s="2">
        <f t="shared" si="32"/>
        <v>2162623.1800000002</v>
      </c>
    </row>
    <row r="686" spans="1:27" ht="14.5" customHeight="1">
      <c r="A686" s="19" t="s">
        <v>5366</v>
      </c>
      <c r="B686" s="3" t="s">
        <v>1245</v>
      </c>
      <c r="C686" s="20">
        <v>32897900</v>
      </c>
      <c r="D686" s="20">
        <v>26621262</v>
      </c>
      <c r="E686" s="56">
        <v>23.58</v>
      </c>
      <c r="F686" s="57">
        <v>1727512</v>
      </c>
      <c r="G686" s="57">
        <v>971443</v>
      </c>
      <c r="H686" s="57">
        <v>-24688</v>
      </c>
      <c r="I686" s="57">
        <v>146581</v>
      </c>
      <c r="J686" s="57">
        <v>1313498</v>
      </c>
      <c r="K686" s="57">
        <v>871519</v>
      </c>
      <c r="L686" s="56">
        <v>50.71</v>
      </c>
      <c r="M686" s="20">
        <v>2085350</v>
      </c>
      <c r="N686" s="56">
        <v>6.85</v>
      </c>
      <c r="O686" s="56">
        <v>4.6100000000000003</v>
      </c>
      <c r="P686" s="58">
        <v>52.29</v>
      </c>
      <c r="Q686" s="59">
        <v>42.711732430221602</v>
      </c>
      <c r="R686" s="59">
        <v>1.6905452637624501</v>
      </c>
      <c r="S686" s="59">
        <v>1.0684815856977901</v>
      </c>
      <c r="X686" s="2">
        <f t="shared" si="30"/>
        <v>0.57288267569778395</v>
      </c>
      <c r="Y686" s="2">
        <f>SUMIF(收盤價!A:A,A686,收盤價!C:C)</f>
        <v>94.1</v>
      </c>
      <c r="Z686" s="2">
        <f t="shared" si="31"/>
        <v>10904295.15</v>
      </c>
      <c r="AA686" s="2">
        <f t="shared" si="32"/>
        <v>19623143.5</v>
      </c>
    </row>
    <row r="687" spans="1:27" ht="14.5" customHeight="1">
      <c r="A687" s="19" t="s">
        <v>5367</v>
      </c>
      <c r="B687" s="3" t="s">
        <v>1268</v>
      </c>
      <c r="C687" s="20">
        <v>14246066</v>
      </c>
      <c r="D687" s="20">
        <v>14565959</v>
      </c>
      <c r="E687" s="56">
        <v>-2.2000000000000002</v>
      </c>
      <c r="F687" s="57">
        <v>-5169652</v>
      </c>
      <c r="G687" s="57">
        <v>-4927164</v>
      </c>
      <c r="H687" s="57">
        <v>24670</v>
      </c>
      <c r="I687" s="57">
        <v>172818</v>
      </c>
      <c r="J687" s="57">
        <v>-5200072</v>
      </c>
      <c r="K687" s="57">
        <v>-3293990</v>
      </c>
      <c r="L687" s="56"/>
      <c r="M687" s="20">
        <v>38171964</v>
      </c>
      <c r="N687" s="56">
        <v>-1.78</v>
      </c>
      <c r="O687" s="56">
        <v>-1.17</v>
      </c>
      <c r="P687" s="58">
        <v>9.32</v>
      </c>
      <c r="Q687" s="59">
        <v>77.741545384504207</v>
      </c>
      <c r="R687" s="59">
        <v>1.4944812380126</v>
      </c>
      <c r="S687" s="59">
        <v>1.37909989621113</v>
      </c>
      <c r="X687" s="2">
        <f t="shared" si="30"/>
        <v>0.22258454615495793</v>
      </c>
      <c r="Y687" s="2">
        <f>SUMIF(收盤價!A:A,A687,收盤價!C:C)</f>
        <v>7.53</v>
      </c>
      <c r="Z687" s="2">
        <f t="shared" si="31"/>
        <v>35576270.447999999</v>
      </c>
      <c r="AA687" s="2">
        <f t="shared" si="32"/>
        <v>28743488.892000001</v>
      </c>
    </row>
    <row r="688" spans="1:27" ht="14.5" customHeight="1">
      <c r="A688" s="19" t="s">
        <v>5368</v>
      </c>
      <c r="B688" s="3" t="s">
        <v>9</v>
      </c>
      <c r="C688" s="20">
        <v>7678552</v>
      </c>
      <c r="D688" s="20">
        <v>6923957</v>
      </c>
      <c r="E688" s="56">
        <v>10.9</v>
      </c>
      <c r="F688" s="57">
        <v>-64253</v>
      </c>
      <c r="G688" s="57">
        <v>-108618</v>
      </c>
      <c r="H688" s="57">
        <v>-50133</v>
      </c>
      <c r="I688" s="57">
        <v>-13077</v>
      </c>
      <c r="J688" s="57">
        <v>-114386</v>
      </c>
      <c r="K688" s="57">
        <v>-118427</v>
      </c>
      <c r="L688" s="56"/>
      <c r="M688" s="20">
        <v>1504958</v>
      </c>
      <c r="N688" s="56">
        <v>-0.76</v>
      </c>
      <c r="O688" s="56">
        <v>-0.81</v>
      </c>
      <c r="P688" s="58">
        <v>10.67</v>
      </c>
      <c r="Q688" s="59">
        <v>32.339101431630297</v>
      </c>
      <c r="R688" s="59">
        <v>1.0094961452164599</v>
      </c>
      <c r="S688" s="59">
        <v>0.67030116007361695</v>
      </c>
      <c r="X688" s="2">
        <f t="shared" si="30"/>
        <v>0.67660898568369698</v>
      </c>
      <c r="Y688" s="2">
        <f>SUMIF(收盤價!A:A,A688,收盤價!C:C)</f>
        <v>17.850000000000001</v>
      </c>
      <c r="Z688" s="2">
        <f t="shared" si="31"/>
        <v>1605790.186</v>
      </c>
      <c r="AA688" s="2">
        <f t="shared" si="32"/>
        <v>2686350.0300000003</v>
      </c>
    </row>
    <row r="689" spans="1:27" ht="14.5" customHeight="1">
      <c r="A689" s="19" t="s">
        <v>5369</v>
      </c>
      <c r="B689" s="3" t="s">
        <v>1281</v>
      </c>
      <c r="C689" s="20">
        <v>24026346</v>
      </c>
      <c r="D689" s="20">
        <v>22222727</v>
      </c>
      <c r="E689" s="56">
        <v>8.1199999999999992</v>
      </c>
      <c r="F689" s="57">
        <v>175810</v>
      </c>
      <c r="G689" s="57">
        <v>-758792</v>
      </c>
      <c r="H689" s="57">
        <v>-213824</v>
      </c>
      <c r="I689" s="57">
        <v>122830</v>
      </c>
      <c r="J689" s="57">
        <v>106753</v>
      </c>
      <c r="K689" s="57">
        <v>-596490</v>
      </c>
      <c r="L689" s="56"/>
      <c r="M689" s="20">
        <v>4411773</v>
      </c>
      <c r="N689" s="56">
        <v>0.25</v>
      </c>
      <c r="O689" s="56">
        <v>-1.38</v>
      </c>
      <c r="P689" s="58">
        <v>16.72</v>
      </c>
      <c r="Q689" s="59">
        <v>46.630976821123603</v>
      </c>
      <c r="R689" s="59">
        <v>1.6111025719512999</v>
      </c>
      <c r="S689" s="59">
        <v>1.04202073994627</v>
      </c>
      <c r="X689" s="2">
        <f t="shared" si="30"/>
        <v>0.53369023178876396</v>
      </c>
      <c r="Y689" s="2">
        <f>SUMIF(收盤價!A:A,A689,收盤價!C:C)</f>
        <v>20.2</v>
      </c>
      <c r="Z689" s="2">
        <f t="shared" si="31"/>
        <v>7376484.4560000002</v>
      </c>
      <c r="AA689" s="2">
        <f t="shared" si="32"/>
        <v>8911781.459999999</v>
      </c>
    </row>
    <row r="690" spans="1:27" ht="14.5" customHeight="1">
      <c r="A690" s="19" t="s">
        <v>5370</v>
      </c>
      <c r="B690" s="3" t="s">
        <v>1385</v>
      </c>
      <c r="C690" s="20">
        <v>83865872</v>
      </c>
      <c r="D690" s="20">
        <v>86634971</v>
      </c>
      <c r="E690" s="56">
        <v>-3.2</v>
      </c>
      <c r="F690" s="57">
        <v>11925478</v>
      </c>
      <c r="G690" s="57">
        <v>12373173</v>
      </c>
      <c r="H690" s="57">
        <v>-913959</v>
      </c>
      <c r="I690" s="57">
        <v>-503743</v>
      </c>
      <c r="J690" s="57">
        <v>8734984</v>
      </c>
      <c r="K690" s="57">
        <v>9381351</v>
      </c>
      <c r="L690" s="56">
        <v>-6.89</v>
      </c>
      <c r="M690" s="20">
        <v>32585008</v>
      </c>
      <c r="N690" s="56">
        <v>2.68</v>
      </c>
      <c r="O690" s="56">
        <v>2.88</v>
      </c>
      <c r="P690" s="58">
        <v>21.41</v>
      </c>
      <c r="Q690" s="59">
        <v>51.999424788974501</v>
      </c>
      <c r="R690" s="59">
        <v>1.2315629953892999</v>
      </c>
      <c r="S690" s="59">
        <v>0.95356013846784005</v>
      </c>
      <c r="X690" s="2">
        <f t="shared" si="30"/>
        <v>0.48000575211025498</v>
      </c>
      <c r="Y690" s="2">
        <f>SUMIF(收盤價!A:A,A690,收盤價!C:C)</f>
        <v>72.099999999999994</v>
      </c>
      <c r="Z690" s="2">
        <f t="shared" si="31"/>
        <v>69764502.127999991</v>
      </c>
      <c r="AA690" s="2">
        <f t="shared" si="32"/>
        <v>234937907.67999998</v>
      </c>
    </row>
    <row r="691" spans="1:27" ht="14.5" customHeight="1">
      <c r="A691" s="19" t="s">
        <v>5371</v>
      </c>
      <c r="B691" s="3" t="s">
        <v>1387</v>
      </c>
      <c r="C691" s="20">
        <v>18057131</v>
      </c>
      <c r="D691" s="20">
        <v>17333751</v>
      </c>
      <c r="E691" s="56">
        <v>4.17</v>
      </c>
      <c r="F691" s="57">
        <v>51499</v>
      </c>
      <c r="G691" s="57">
        <v>-58779</v>
      </c>
      <c r="H691" s="57">
        <v>231056</v>
      </c>
      <c r="I691" s="57">
        <v>86088</v>
      </c>
      <c r="J691" s="57">
        <v>201193</v>
      </c>
      <c r="K691" s="57">
        <v>-22804</v>
      </c>
      <c r="L691" s="56"/>
      <c r="M691" s="20">
        <v>3568835</v>
      </c>
      <c r="N691" s="56">
        <v>0.56999999999999995</v>
      </c>
      <c r="O691" s="56">
        <v>-7.0000000000000007E-2</v>
      </c>
      <c r="P691" s="58">
        <v>23.59</v>
      </c>
      <c r="Q691" s="59">
        <v>57.263062411461</v>
      </c>
      <c r="R691" s="59">
        <v>2.0694605195055198</v>
      </c>
      <c r="S691" s="59">
        <v>1.5139469397274099</v>
      </c>
      <c r="X691" s="2">
        <f t="shared" si="30"/>
        <v>0.42736937588538998</v>
      </c>
      <c r="Y691" s="2">
        <f>SUMIF(收盤價!A:A,A691,收盤價!C:C)</f>
        <v>25.8</v>
      </c>
      <c r="Z691" s="2">
        <f t="shared" si="31"/>
        <v>8418881.7650000006</v>
      </c>
      <c r="AA691" s="2">
        <f t="shared" si="32"/>
        <v>9207594.3000000007</v>
      </c>
    </row>
    <row r="692" spans="1:27" ht="14.5" customHeight="1">
      <c r="A692" s="19" t="s">
        <v>5372</v>
      </c>
      <c r="B692" s="3" t="s">
        <v>1426</v>
      </c>
      <c r="C692" s="20">
        <v>2534015</v>
      </c>
      <c r="D692" s="20">
        <v>1930806</v>
      </c>
      <c r="E692" s="56">
        <v>31.24</v>
      </c>
      <c r="F692" s="57">
        <v>324359</v>
      </c>
      <c r="G692" s="57">
        <v>247619</v>
      </c>
      <c r="H692" s="57">
        <v>-67553</v>
      </c>
      <c r="I692" s="57">
        <v>8436</v>
      </c>
      <c r="J692" s="57">
        <v>266970</v>
      </c>
      <c r="K692" s="57">
        <v>264063</v>
      </c>
      <c r="L692" s="56">
        <v>1.1000000000000001</v>
      </c>
      <c r="M692" s="20">
        <v>680200</v>
      </c>
      <c r="N692" s="56">
        <v>4.22</v>
      </c>
      <c r="O692" s="56">
        <v>4.37</v>
      </c>
      <c r="P692" s="58">
        <v>32.51</v>
      </c>
      <c r="Q692" s="59">
        <v>74.293497351923904</v>
      </c>
      <c r="R692" s="59">
        <v>2.9638575644013399</v>
      </c>
      <c r="S692" s="59">
        <v>1.69035281664291</v>
      </c>
      <c r="X692" s="2">
        <f t="shared" si="30"/>
        <v>0.25706502648076096</v>
      </c>
      <c r="Y692" s="2">
        <f>SUMIF(收盤價!A:A,A692,收盤價!C:C)</f>
        <v>101.5</v>
      </c>
      <c r="Z692" s="2">
        <f t="shared" si="31"/>
        <v>2211330.2000000002</v>
      </c>
      <c r="AA692" s="2">
        <f t="shared" si="32"/>
        <v>6904030</v>
      </c>
    </row>
    <row r="693" spans="1:27" ht="14.5" customHeight="1">
      <c r="A693" s="19" t="s">
        <v>5373</v>
      </c>
      <c r="B693" s="3" t="s">
        <v>1462</v>
      </c>
      <c r="C693" s="20">
        <v>31797130</v>
      </c>
      <c r="D693" s="20">
        <v>33384941</v>
      </c>
      <c r="E693" s="56">
        <v>-4.76</v>
      </c>
      <c r="F693" s="57">
        <v>986902</v>
      </c>
      <c r="G693" s="57">
        <v>900461</v>
      </c>
      <c r="H693" s="57">
        <v>291000</v>
      </c>
      <c r="I693" s="57">
        <v>129959</v>
      </c>
      <c r="J693" s="57">
        <v>1032953</v>
      </c>
      <c r="K693" s="57">
        <v>807586</v>
      </c>
      <c r="L693" s="56">
        <v>27.91</v>
      </c>
      <c r="M693" s="20">
        <v>2490548</v>
      </c>
      <c r="N693" s="56">
        <v>4.21</v>
      </c>
      <c r="O693" s="56">
        <v>3.32</v>
      </c>
      <c r="P693" s="58">
        <v>30.82</v>
      </c>
      <c r="Q693" s="59">
        <v>29.318422834021199</v>
      </c>
      <c r="R693" s="59">
        <v>1.3684334035568899</v>
      </c>
      <c r="S693" s="59">
        <v>0.94168695842902805</v>
      </c>
      <c r="X693" s="2">
        <f t="shared" si="30"/>
        <v>0.70681577165978804</v>
      </c>
      <c r="Y693" s="2">
        <f>SUMIF(收盤價!A:A,A693,收盤價!C:C)</f>
        <v>77.7</v>
      </c>
      <c r="Z693" s="2">
        <f t="shared" si="31"/>
        <v>7675868.9359999998</v>
      </c>
      <c r="AA693" s="2">
        <f t="shared" si="32"/>
        <v>19351557.960000001</v>
      </c>
    </row>
    <row r="694" spans="1:27" ht="14.5" customHeight="1">
      <c r="A694" s="19" t="s">
        <v>5374</v>
      </c>
      <c r="B694" s="3" t="s">
        <v>1528</v>
      </c>
      <c r="C694" s="20">
        <v>852656</v>
      </c>
      <c r="D694" s="20">
        <v>638436</v>
      </c>
      <c r="E694" s="56">
        <v>33.549999999999997</v>
      </c>
      <c r="F694" s="57">
        <v>-29806</v>
      </c>
      <c r="G694" s="57">
        <v>-26648</v>
      </c>
      <c r="H694" s="57">
        <v>115067</v>
      </c>
      <c r="I694" s="57">
        <v>122124</v>
      </c>
      <c r="J694" s="57">
        <v>78962</v>
      </c>
      <c r="K694" s="57">
        <v>86434</v>
      </c>
      <c r="L694" s="56">
        <v>-8.64</v>
      </c>
      <c r="M694" s="20">
        <v>1155364</v>
      </c>
      <c r="N694" s="56">
        <v>0.68</v>
      </c>
      <c r="O694" s="56">
        <v>0.75</v>
      </c>
      <c r="P694" s="58">
        <v>22.45</v>
      </c>
      <c r="Q694" s="59">
        <v>94.654183996274497</v>
      </c>
      <c r="R694" s="59">
        <v>9.85523532783807</v>
      </c>
      <c r="S694" s="59">
        <v>6.7696732491253</v>
      </c>
      <c r="X694" s="2">
        <f t="shared" si="30"/>
        <v>5.345816003725503E-2</v>
      </c>
      <c r="Y694" s="2">
        <f>SUMIF(收盤價!A:A,A694,收盤價!C:C)</f>
        <v>20</v>
      </c>
      <c r="Z694" s="2">
        <f t="shared" si="31"/>
        <v>2593792.1800000002</v>
      </c>
      <c r="AA694" s="2">
        <f t="shared" si="32"/>
        <v>2310728</v>
      </c>
    </row>
    <row r="695" spans="1:27" ht="14.5" customHeight="1">
      <c r="A695" s="19" t="s">
        <v>5375</v>
      </c>
      <c r="B695" s="3" t="s">
        <v>1534</v>
      </c>
      <c r="C695" s="20">
        <v>3393006</v>
      </c>
      <c r="D695" s="20">
        <v>3202178</v>
      </c>
      <c r="E695" s="56">
        <v>5.96</v>
      </c>
      <c r="F695" s="57">
        <v>-381431</v>
      </c>
      <c r="G695" s="57">
        <v>-318365</v>
      </c>
      <c r="H695" s="57">
        <v>42248</v>
      </c>
      <c r="I695" s="57">
        <v>98781</v>
      </c>
      <c r="J695" s="57">
        <v>-339135</v>
      </c>
      <c r="K695" s="57">
        <v>-220698</v>
      </c>
      <c r="L695" s="56"/>
      <c r="M695" s="20">
        <v>2682357</v>
      </c>
      <c r="N695" s="56">
        <v>-1.26</v>
      </c>
      <c r="O695" s="56">
        <v>-0.82</v>
      </c>
      <c r="P695" s="58">
        <v>8.59</v>
      </c>
      <c r="Q695" s="59">
        <v>48.481273954275203</v>
      </c>
      <c r="R695" s="59">
        <v>1.55720302670953</v>
      </c>
      <c r="S695" s="59">
        <v>1.1346559167678001</v>
      </c>
      <c r="X695" s="2">
        <f t="shared" si="30"/>
        <v>0.51518726045724794</v>
      </c>
      <c r="Y695" s="2">
        <f>SUMIF(收盤價!A:A,A695,收盤價!C:C)</f>
        <v>7.73</v>
      </c>
      <c r="Z695" s="2">
        <f t="shared" si="31"/>
        <v>2304144.6629999997</v>
      </c>
      <c r="AA695" s="2">
        <f t="shared" si="32"/>
        <v>2073461.9609999999</v>
      </c>
    </row>
    <row r="696" spans="1:27" ht="14.5" customHeight="1">
      <c r="A696" s="19" t="s">
        <v>5376</v>
      </c>
      <c r="B696" s="3" t="s">
        <v>1536</v>
      </c>
      <c r="C696" s="20">
        <v>4535742</v>
      </c>
      <c r="D696" s="20">
        <v>6342483</v>
      </c>
      <c r="E696" s="56">
        <v>-28.49</v>
      </c>
      <c r="F696" s="57">
        <v>-16490</v>
      </c>
      <c r="G696" s="57">
        <v>-557384</v>
      </c>
      <c r="H696" s="57">
        <v>29358</v>
      </c>
      <c r="I696" s="57">
        <v>-43392</v>
      </c>
      <c r="J696" s="57">
        <v>14073</v>
      </c>
      <c r="K696" s="57">
        <v>-592388</v>
      </c>
      <c r="L696" s="56"/>
      <c r="M696" s="20">
        <v>1677385</v>
      </c>
      <c r="N696" s="56">
        <v>0.08</v>
      </c>
      <c r="O696" s="56">
        <v>-3.54</v>
      </c>
      <c r="P696" s="58">
        <v>8.0399999999999991</v>
      </c>
      <c r="Q696" s="59">
        <v>37.222251370345298</v>
      </c>
      <c r="R696" s="59">
        <v>1.2666574202496499</v>
      </c>
      <c r="S696" s="59">
        <v>0.99693989828941298</v>
      </c>
      <c r="X696" s="2">
        <f t="shared" si="30"/>
        <v>0.62777748629654706</v>
      </c>
      <c r="Y696" s="2">
        <f>SUMIF(收盤價!A:A,A696,收盤價!C:C)</f>
        <v>7.56</v>
      </c>
      <c r="Z696" s="2">
        <f t="shared" si="31"/>
        <v>1348617.5399999998</v>
      </c>
      <c r="AA696" s="2">
        <f t="shared" si="32"/>
        <v>1268103.06</v>
      </c>
    </row>
    <row r="697" spans="1:27" ht="14.5" customHeight="1">
      <c r="A697" s="19" t="s">
        <v>5377</v>
      </c>
      <c r="B697" s="3" t="s">
        <v>1586</v>
      </c>
      <c r="C697" s="20">
        <v>921333</v>
      </c>
      <c r="D697" s="20">
        <v>986143</v>
      </c>
      <c r="E697" s="56">
        <v>-6.57</v>
      </c>
      <c r="F697" s="57">
        <v>181315</v>
      </c>
      <c r="G697" s="57">
        <v>198741</v>
      </c>
      <c r="H697" s="57">
        <v>1037</v>
      </c>
      <c r="I697" s="57">
        <v>29058</v>
      </c>
      <c r="J697" s="57">
        <v>151577</v>
      </c>
      <c r="K697" s="57">
        <v>187734</v>
      </c>
      <c r="L697" s="56">
        <v>-19.260000000000002</v>
      </c>
      <c r="M697" s="20">
        <v>849976</v>
      </c>
      <c r="N697" s="56">
        <v>1.8</v>
      </c>
      <c r="O697" s="56">
        <v>2.2799999999999998</v>
      </c>
      <c r="P697" s="58">
        <v>17.88</v>
      </c>
      <c r="Q697" s="59">
        <v>88.964523347789694</v>
      </c>
      <c r="R697" s="59">
        <v>8.2891343552750207</v>
      </c>
      <c r="S697" s="59">
        <v>3.53077096483318</v>
      </c>
      <c r="X697" s="2">
        <f t="shared" si="30"/>
        <v>0.11035476652210306</v>
      </c>
      <c r="Y697" s="2">
        <f>SUMIF(收盤價!A:A,A697,收盤價!C:C)</f>
        <v>28</v>
      </c>
      <c r="Z697" s="2">
        <f t="shared" si="31"/>
        <v>1519757.088</v>
      </c>
      <c r="AA697" s="2">
        <f t="shared" si="32"/>
        <v>2379932.7999999998</v>
      </c>
    </row>
    <row r="698" spans="1:27" ht="14.5" customHeight="1">
      <c r="A698" s="19" t="s">
        <v>5378</v>
      </c>
      <c r="B698" s="3" t="s">
        <v>1620</v>
      </c>
      <c r="C698" s="20">
        <v>62239582</v>
      </c>
      <c r="D698" s="20">
        <v>56049676</v>
      </c>
      <c r="E698" s="56">
        <v>11.04</v>
      </c>
      <c r="F698" s="57">
        <v>1595299</v>
      </c>
      <c r="G698" s="57">
        <v>2016073</v>
      </c>
      <c r="H698" s="57">
        <v>288426</v>
      </c>
      <c r="I698" s="57">
        <v>209513</v>
      </c>
      <c r="J698" s="57">
        <v>1461173</v>
      </c>
      <c r="K698" s="57">
        <v>1929345</v>
      </c>
      <c r="L698" s="56">
        <v>-24.27</v>
      </c>
      <c r="M698" s="20">
        <v>3902323</v>
      </c>
      <c r="N698" s="56">
        <v>3.76</v>
      </c>
      <c r="O698" s="56">
        <v>5.21</v>
      </c>
      <c r="P698" s="58">
        <v>41.43</v>
      </c>
      <c r="Q698" s="59">
        <v>46.942318298716401</v>
      </c>
      <c r="R698" s="59">
        <v>1.5210097802318601</v>
      </c>
      <c r="S698" s="59">
        <v>0.99741331943859701</v>
      </c>
      <c r="X698" s="2">
        <f t="shared" si="30"/>
        <v>0.53057681701283599</v>
      </c>
      <c r="Y698" s="2">
        <f>SUMIF(收盤價!A:A,A698,收盤價!C:C)</f>
        <v>75.5</v>
      </c>
      <c r="Z698" s="2">
        <f t="shared" si="31"/>
        <v>16167324.188999999</v>
      </c>
      <c r="AA698" s="2">
        <f t="shared" si="32"/>
        <v>29462538.649999999</v>
      </c>
    </row>
    <row r="699" spans="1:27" ht="14.5" customHeight="1">
      <c r="A699" s="19" t="s">
        <v>5379</v>
      </c>
      <c r="B699" s="3" t="s">
        <v>1636</v>
      </c>
      <c r="C699" s="20">
        <v>4431795</v>
      </c>
      <c r="D699" s="20">
        <v>4247762</v>
      </c>
      <c r="E699" s="56">
        <v>4.33</v>
      </c>
      <c r="F699" s="57">
        <v>428183</v>
      </c>
      <c r="G699" s="57">
        <v>427700</v>
      </c>
      <c r="H699" s="57">
        <v>-3821</v>
      </c>
      <c r="I699" s="57">
        <v>33151</v>
      </c>
      <c r="J699" s="57">
        <v>288980</v>
      </c>
      <c r="K699" s="57">
        <v>356144</v>
      </c>
      <c r="L699" s="56">
        <v>-18.86</v>
      </c>
      <c r="M699" s="20">
        <v>680357</v>
      </c>
      <c r="N699" s="56">
        <v>4.28</v>
      </c>
      <c r="O699" s="56">
        <v>5.42</v>
      </c>
      <c r="P699" s="58">
        <v>37.229999999999997</v>
      </c>
      <c r="Q699" s="59">
        <v>60.556728935747401</v>
      </c>
      <c r="R699" s="59">
        <v>2.6777718927980301</v>
      </c>
      <c r="S699" s="59">
        <v>1.3461599772567201</v>
      </c>
      <c r="X699" s="2">
        <f t="shared" si="30"/>
        <v>0.394432710642526</v>
      </c>
      <c r="Y699" s="2">
        <f>SUMIF(收盤價!A:A,A699,收盤價!C:C)</f>
        <v>96.1</v>
      </c>
      <c r="Z699" s="2">
        <f t="shared" si="31"/>
        <v>2532969.111</v>
      </c>
      <c r="AA699" s="2">
        <f t="shared" si="32"/>
        <v>6538230.7699999996</v>
      </c>
    </row>
    <row r="700" spans="1:27" ht="14.5" customHeight="1">
      <c r="A700" s="19" t="s">
        <v>5380</v>
      </c>
      <c r="B700" s="3" t="s">
        <v>1640</v>
      </c>
      <c r="C700" s="20">
        <v>2424158</v>
      </c>
      <c r="D700" s="20">
        <v>2805106</v>
      </c>
      <c r="E700" s="56">
        <v>-13.58</v>
      </c>
      <c r="F700" s="57">
        <v>-19485</v>
      </c>
      <c r="G700" s="57">
        <v>129627</v>
      </c>
      <c r="H700" s="57">
        <v>13271</v>
      </c>
      <c r="I700" s="57">
        <v>76265</v>
      </c>
      <c r="J700" s="57">
        <v>-19278</v>
      </c>
      <c r="K700" s="57">
        <v>154395</v>
      </c>
      <c r="L700" s="56"/>
      <c r="M700" s="20">
        <v>693000</v>
      </c>
      <c r="N700" s="56">
        <v>-0.28000000000000003</v>
      </c>
      <c r="O700" s="56">
        <v>2.23</v>
      </c>
      <c r="P700" s="58">
        <v>28.21</v>
      </c>
      <c r="Q700" s="59">
        <v>65.402187025983196</v>
      </c>
      <c r="R700" s="59">
        <v>2.3904663331868199</v>
      </c>
      <c r="S700" s="59">
        <v>1.7845687793711</v>
      </c>
      <c r="X700" s="2">
        <f t="shared" si="30"/>
        <v>0.34597812974016806</v>
      </c>
      <c r="Y700" s="2">
        <f>SUMIF(收盤價!A:A,A700,收盤價!C:C)</f>
        <v>38</v>
      </c>
      <c r="Z700" s="2">
        <f t="shared" si="31"/>
        <v>1954953</v>
      </c>
      <c r="AA700" s="2">
        <f t="shared" si="32"/>
        <v>2633400</v>
      </c>
    </row>
    <row r="701" spans="1:27" ht="14.5" customHeight="1">
      <c r="A701" s="19" t="s">
        <v>5381</v>
      </c>
      <c r="B701" s="3" t="s">
        <v>12</v>
      </c>
      <c r="C701" s="20">
        <v>2832098</v>
      </c>
      <c r="D701" s="20">
        <v>5316086</v>
      </c>
      <c r="E701" s="56">
        <v>-46.73</v>
      </c>
      <c r="F701" s="57">
        <v>763</v>
      </c>
      <c r="G701" s="57">
        <v>205010</v>
      </c>
      <c r="H701" s="57">
        <v>5482</v>
      </c>
      <c r="I701" s="57">
        <v>13186</v>
      </c>
      <c r="J701" s="57">
        <v>10514</v>
      </c>
      <c r="K701" s="57">
        <v>184370</v>
      </c>
      <c r="L701" s="56">
        <v>-94.3</v>
      </c>
      <c r="M701" s="20">
        <v>668871</v>
      </c>
      <c r="N701" s="56">
        <v>0.16</v>
      </c>
      <c r="O701" s="56">
        <v>3.02</v>
      </c>
      <c r="P701" s="58">
        <v>25.49</v>
      </c>
      <c r="Q701" s="59">
        <v>64.764401366291295</v>
      </c>
      <c r="R701" s="59">
        <v>2.6515687017243401</v>
      </c>
      <c r="S701" s="59">
        <v>1.77508852253825</v>
      </c>
      <c r="X701" s="2">
        <f t="shared" si="30"/>
        <v>0.35235598633708703</v>
      </c>
      <c r="Y701" s="2">
        <f>SUMIF(收盤價!A:A,A701,收盤價!C:C)</f>
        <v>29.1</v>
      </c>
      <c r="Z701" s="2">
        <f t="shared" si="31"/>
        <v>1704952.179</v>
      </c>
      <c r="AA701" s="2">
        <f t="shared" si="32"/>
        <v>1946414.61</v>
      </c>
    </row>
    <row r="702" spans="1:27" ht="14.5" customHeight="1">
      <c r="A702" s="19" t="s">
        <v>5382</v>
      </c>
      <c r="B702" s="3" t="s">
        <v>1712</v>
      </c>
      <c r="C702" s="20">
        <v>1512335</v>
      </c>
      <c r="D702" s="20">
        <v>1931793</v>
      </c>
      <c r="E702" s="56">
        <v>-21.71</v>
      </c>
      <c r="F702" s="57">
        <v>-77130</v>
      </c>
      <c r="G702" s="57">
        <v>-30868</v>
      </c>
      <c r="H702" s="57">
        <v>-22772</v>
      </c>
      <c r="I702" s="57">
        <v>-15747</v>
      </c>
      <c r="J702" s="57">
        <v>-60694</v>
      </c>
      <c r="K702" s="57">
        <v>1204</v>
      </c>
      <c r="L702" s="56"/>
      <c r="M702" s="20">
        <v>1186204</v>
      </c>
      <c r="N702" s="56">
        <v>-0.51</v>
      </c>
      <c r="O702" s="56">
        <v>0.01</v>
      </c>
      <c r="P702" s="58">
        <v>22.07</v>
      </c>
      <c r="Q702" s="59">
        <v>37.898958846934804</v>
      </c>
      <c r="R702" s="59">
        <v>1.94737578203404</v>
      </c>
      <c r="S702" s="59">
        <v>0.81916917558132096</v>
      </c>
      <c r="X702" s="2">
        <f t="shared" si="30"/>
        <v>0.62101041153065195</v>
      </c>
      <c r="Y702" s="2">
        <f>SUMIF(收盤價!A:A,A702,收盤價!C:C)</f>
        <v>18.149999999999999</v>
      </c>
      <c r="Z702" s="2">
        <f t="shared" si="31"/>
        <v>2617952.2280000001</v>
      </c>
      <c r="AA702" s="2">
        <f t="shared" si="32"/>
        <v>2152960.2599999998</v>
      </c>
    </row>
    <row r="703" spans="1:27" ht="14.5" customHeight="1">
      <c r="A703" s="19" t="s">
        <v>5383</v>
      </c>
      <c r="B703" s="3" t="s">
        <v>1732</v>
      </c>
      <c r="C703" s="20">
        <v>2443687</v>
      </c>
      <c r="D703" s="20">
        <v>8179964</v>
      </c>
      <c r="E703" s="56">
        <v>-70.13</v>
      </c>
      <c r="F703" s="57">
        <v>-570814</v>
      </c>
      <c r="G703" s="57">
        <v>-1037823</v>
      </c>
      <c r="H703" s="57">
        <v>517937</v>
      </c>
      <c r="I703" s="57">
        <v>323596</v>
      </c>
      <c r="J703" s="57">
        <v>-47010</v>
      </c>
      <c r="K703" s="57">
        <v>-708858</v>
      </c>
      <c r="L703" s="56"/>
      <c r="M703" s="20">
        <v>2080888</v>
      </c>
      <c r="N703" s="56">
        <v>-0.23</v>
      </c>
      <c r="O703" s="56">
        <v>-3.41</v>
      </c>
      <c r="P703" s="58">
        <v>5.0199999999999996</v>
      </c>
      <c r="Q703" s="59">
        <v>33.1466265595989</v>
      </c>
      <c r="R703" s="59">
        <v>0.97354404429656205</v>
      </c>
      <c r="S703" s="59">
        <v>0.67838051870916605</v>
      </c>
      <c r="X703" s="2">
        <f t="shared" si="30"/>
        <v>0.66853373440401098</v>
      </c>
      <c r="Y703" s="2">
        <f>SUMIF(收盤價!A:A,A703,收盤價!C:C)</f>
        <v>6.8</v>
      </c>
      <c r="Z703" s="2">
        <f t="shared" si="31"/>
        <v>1044605.776</v>
      </c>
      <c r="AA703" s="2">
        <f t="shared" si="32"/>
        <v>1415003.84</v>
      </c>
    </row>
    <row r="704" spans="1:27" ht="14.5" customHeight="1">
      <c r="A704" s="19" t="s">
        <v>5626</v>
      </c>
      <c r="B704" s="3" t="s">
        <v>214</v>
      </c>
      <c r="C704" s="20">
        <v>930189</v>
      </c>
      <c r="D704" s="20">
        <v>1282302</v>
      </c>
      <c r="E704" s="56">
        <v>-27.46</v>
      </c>
      <c r="F704" s="57">
        <v>-316397</v>
      </c>
      <c r="G704" s="57">
        <v>-332445</v>
      </c>
      <c r="H704" s="57">
        <v>-42338</v>
      </c>
      <c r="I704" s="57">
        <v>3824</v>
      </c>
      <c r="J704" s="57">
        <v>-356524</v>
      </c>
      <c r="K704" s="57">
        <v>-319739</v>
      </c>
      <c r="L704" s="56"/>
      <c r="M704" s="20">
        <v>1504145</v>
      </c>
      <c r="N704" s="56">
        <v>-2.37</v>
      </c>
      <c r="O704" s="56">
        <v>-2.13</v>
      </c>
      <c r="P704" s="58">
        <v>4.3099999999999996</v>
      </c>
      <c r="Q704" s="59">
        <v>51.252178336864503</v>
      </c>
      <c r="R704" s="59">
        <v>0.97482409074075704</v>
      </c>
      <c r="S704" s="59">
        <v>0.77580418737242796</v>
      </c>
      <c r="X704" s="2">
        <f t="shared" si="30"/>
        <v>0.48747821663135499</v>
      </c>
      <c r="Y704" s="2">
        <f>SUMIF(收盤價!A:A,A704,收盤價!C:C)</f>
        <v>2.64</v>
      </c>
      <c r="Z704" s="2">
        <f t="shared" si="31"/>
        <v>648286.49499999988</v>
      </c>
      <c r="AA704" s="2">
        <f t="shared" si="32"/>
        <v>397094.28</v>
      </c>
    </row>
    <row r="705" spans="1:27" ht="14.5" customHeight="1">
      <c r="A705" s="19" t="s">
        <v>5384</v>
      </c>
      <c r="B705" s="3" t="s">
        <v>294</v>
      </c>
      <c r="C705" s="20">
        <v>8582344</v>
      </c>
      <c r="D705" s="20">
        <v>8808885</v>
      </c>
      <c r="E705" s="56">
        <v>-2.57</v>
      </c>
      <c r="F705" s="57">
        <v>1277995</v>
      </c>
      <c r="G705" s="57">
        <v>1147221</v>
      </c>
      <c r="H705" s="57">
        <v>166995</v>
      </c>
      <c r="I705" s="57">
        <v>218327</v>
      </c>
      <c r="J705" s="57">
        <v>941542</v>
      </c>
      <c r="K705" s="57">
        <v>889961</v>
      </c>
      <c r="L705" s="56">
        <v>5.8</v>
      </c>
      <c r="M705" s="20">
        <v>1237242</v>
      </c>
      <c r="N705" s="56">
        <v>7.61</v>
      </c>
      <c r="O705" s="56">
        <v>5.88</v>
      </c>
      <c r="P705" s="58">
        <v>44.38</v>
      </c>
      <c r="Q705" s="59">
        <v>54.764036941761603</v>
      </c>
      <c r="R705" s="59">
        <v>2.0207643755858098</v>
      </c>
      <c r="S705" s="59">
        <v>1.7092641446299</v>
      </c>
      <c r="X705" s="2">
        <f t="shared" si="30"/>
        <v>0.45235963058238399</v>
      </c>
      <c r="Y705" s="2">
        <f>SUMIF(收盤價!A:A,A705,收盤價!C:C)</f>
        <v>91</v>
      </c>
      <c r="Z705" s="2">
        <f t="shared" si="31"/>
        <v>5490879.9960000003</v>
      </c>
      <c r="AA705" s="2">
        <f t="shared" si="32"/>
        <v>11258902.199999999</v>
      </c>
    </row>
    <row r="706" spans="1:27" ht="14.5" customHeight="1">
      <c r="A706" s="19" t="s">
        <v>5385</v>
      </c>
      <c r="B706" s="3" t="s">
        <v>486</v>
      </c>
      <c r="C706" s="20">
        <v>4868807</v>
      </c>
      <c r="D706" s="20">
        <v>4435607</v>
      </c>
      <c r="E706" s="56">
        <v>9.77</v>
      </c>
      <c r="F706" s="57">
        <v>2015151</v>
      </c>
      <c r="G706" s="57">
        <v>1738196</v>
      </c>
      <c r="H706" s="57">
        <v>9502</v>
      </c>
      <c r="I706" s="57">
        <v>433682</v>
      </c>
      <c r="J706" s="57">
        <v>1558250</v>
      </c>
      <c r="K706" s="57">
        <v>1775964</v>
      </c>
      <c r="L706" s="56">
        <v>-12.26</v>
      </c>
      <c r="M706" s="20">
        <v>952971</v>
      </c>
      <c r="N706" s="56">
        <v>16.350000000000001</v>
      </c>
      <c r="O706" s="56">
        <v>18.64</v>
      </c>
      <c r="P706" s="58">
        <v>112.5</v>
      </c>
      <c r="Q706" s="59">
        <v>84.321938879567</v>
      </c>
      <c r="R706" s="59">
        <v>8.2918701538530009</v>
      </c>
      <c r="S706" s="59">
        <v>7.8915138493127399</v>
      </c>
      <c r="X706" s="2">
        <f t="shared" si="30"/>
        <v>0.15678061120433001</v>
      </c>
      <c r="Y706" s="2">
        <f>SUMIF(收盤價!A:A,A706,收盤價!C:C)</f>
        <v>362</v>
      </c>
      <c r="Z706" s="2">
        <f t="shared" si="31"/>
        <v>10720923.75</v>
      </c>
      <c r="AA706" s="2">
        <f t="shared" si="32"/>
        <v>34497550.200000003</v>
      </c>
    </row>
    <row r="707" spans="1:27" ht="14.5" customHeight="1">
      <c r="A707" s="19" t="s">
        <v>5386</v>
      </c>
      <c r="B707" s="3" t="s">
        <v>546</v>
      </c>
      <c r="C707" s="20">
        <v>268131397</v>
      </c>
      <c r="D707" s="20">
        <v>237017809</v>
      </c>
      <c r="E707" s="56">
        <v>13.13</v>
      </c>
      <c r="F707" s="57">
        <v>19408790</v>
      </c>
      <c r="G707" s="57">
        <v>18166723</v>
      </c>
      <c r="H707" s="57">
        <v>9745619</v>
      </c>
      <c r="I707" s="57">
        <v>4634305</v>
      </c>
      <c r="J707" s="57">
        <v>23117797</v>
      </c>
      <c r="K707" s="57">
        <v>18193093</v>
      </c>
      <c r="L707" s="56">
        <v>27.07</v>
      </c>
      <c r="M707" s="20">
        <v>25975433</v>
      </c>
      <c r="N707" s="56">
        <v>8.9</v>
      </c>
      <c r="O707" s="56">
        <v>7</v>
      </c>
      <c r="P707" s="58">
        <v>53.96</v>
      </c>
      <c r="Q707" s="59">
        <v>45.061116948389</v>
      </c>
      <c r="R707" s="59">
        <v>1.7212737745397699</v>
      </c>
      <c r="S707" s="59">
        <v>1.2211614634319301</v>
      </c>
      <c r="X707" s="2">
        <f t="shared" si="30"/>
        <v>0.54938883051610998</v>
      </c>
      <c r="Y707" s="2">
        <f>SUMIF(收盤價!A:A,A707,收盤價!C:C)</f>
        <v>151.5</v>
      </c>
      <c r="Z707" s="2">
        <f t="shared" si="31"/>
        <v>140163436.46799999</v>
      </c>
      <c r="AA707" s="2">
        <f t="shared" si="32"/>
        <v>393527809.94999999</v>
      </c>
    </row>
    <row r="708" spans="1:27" ht="14.5" customHeight="1">
      <c r="A708" s="19" t="s">
        <v>5387</v>
      </c>
      <c r="B708" s="3" t="s">
        <v>550</v>
      </c>
      <c r="C708" s="20">
        <v>56174889</v>
      </c>
      <c r="D708" s="20">
        <v>50828101</v>
      </c>
      <c r="E708" s="56">
        <v>10.52</v>
      </c>
      <c r="F708" s="57">
        <v>6143891</v>
      </c>
      <c r="G708" s="57">
        <v>4621060</v>
      </c>
      <c r="H708" s="57">
        <v>-577084</v>
      </c>
      <c r="I708" s="57">
        <v>-702420</v>
      </c>
      <c r="J708" s="57">
        <v>3822418</v>
      </c>
      <c r="K708" s="57">
        <v>2399731</v>
      </c>
      <c r="L708" s="56">
        <v>59.29</v>
      </c>
      <c r="M708" s="20">
        <v>11918206</v>
      </c>
      <c r="N708" s="56">
        <v>3.21</v>
      </c>
      <c r="O708" s="56">
        <v>2.0099999999999998</v>
      </c>
      <c r="P708" s="58">
        <v>21.61</v>
      </c>
      <c r="Q708" s="59">
        <v>42.0478598496261</v>
      </c>
      <c r="R708" s="59">
        <v>1.8727539120951999</v>
      </c>
      <c r="S708" s="59">
        <v>1.3359323666509899</v>
      </c>
      <c r="X708" s="2">
        <f t="shared" si="30"/>
        <v>0.57952140150373899</v>
      </c>
      <c r="Y708" s="2">
        <f>SUMIF(收盤價!A:A,A708,收盤價!C:C)</f>
        <v>45.1</v>
      </c>
      <c r="Z708" s="2">
        <f t="shared" si="31"/>
        <v>25755243.166000001</v>
      </c>
      <c r="AA708" s="2">
        <f t="shared" si="32"/>
        <v>53751109.060000002</v>
      </c>
    </row>
    <row r="709" spans="1:27" ht="14.5" customHeight="1">
      <c r="A709" s="19" t="s">
        <v>5388</v>
      </c>
      <c r="B709" s="3" t="s">
        <v>554</v>
      </c>
      <c r="C709" s="20">
        <v>5094456</v>
      </c>
      <c r="D709" s="20">
        <v>5523819</v>
      </c>
      <c r="E709" s="56">
        <v>-7.77</v>
      </c>
      <c r="F709" s="57">
        <v>-91205</v>
      </c>
      <c r="G709" s="57">
        <v>-82131</v>
      </c>
      <c r="H709" s="57">
        <v>740142</v>
      </c>
      <c r="I709" s="57">
        <v>550057</v>
      </c>
      <c r="J709" s="57">
        <v>550432</v>
      </c>
      <c r="K709" s="57">
        <v>300563</v>
      </c>
      <c r="L709" s="56">
        <v>83.13</v>
      </c>
      <c r="M709" s="20">
        <v>2030450</v>
      </c>
      <c r="N709" s="56">
        <v>2.5499999999999998</v>
      </c>
      <c r="O709" s="56">
        <v>1.34</v>
      </c>
      <c r="P709" s="58">
        <v>36.020000000000003</v>
      </c>
      <c r="Q709" s="59">
        <v>58.683583360877698</v>
      </c>
      <c r="R709" s="59">
        <v>3.4495323115129799</v>
      </c>
      <c r="S709" s="59">
        <v>1.65908639142754</v>
      </c>
      <c r="X709" s="2">
        <f t="shared" ref="X709:X772" si="33">IF(W709&lt;&gt;"",ROUND(W709/U709,2),(100-Q709)/100)</f>
        <v>0.413164166391223</v>
      </c>
      <c r="Y709" s="2">
        <f>SUMIF(收盤價!A:A,A709,收盤價!C:C)</f>
        <v>35.049999999999997</v>
      </c>
      <c r="Z709" s="2">
        <f t="shared" ref="Z709:Z772" si="34">IF(W709&lt;&gt;"",U709-W709,M709*P709/10)</f>
        <v>7313680.9000000004</v>
      </c>
      <c r="AA709" s="2">
        <f t="shared" ref="AA709:AA772" si="35">Y709*M709/10</f>
        <v>7116727.25</v>
      </c>
    </row>
    <row r="710" spans="1:27" ht="14.5" customHeight="1">
      <c r="A710" s="19" t="s">
        <v>5389</v>
      </c>
      <c r="B710" s="3" t="s">
        <v>562</v>
      </c>
      <c r="C710" s="20">
        <v>41306656</v>
      </c>
      <c r="D710" s="20">
        <v>77155611</v>
      </c>
      <c r="E710" s="56">
        <v>-46.46</v>
      </c>
      <c r="F710" s="57">
        <v>8031323</v>
      </c>
      <c r="G710" s="57">
        <v>36907968</v>
      </c>
      <c r="H710" s="57">
        <v>991757</v>
      </c>
      <c r="I710" s="57">
        <v>2987393</v>
      </c>
      <c r="J710" s="57">
        <v>6944793</v>
      </c>
      <c r="K710" s="57">
        <v>33839293</v>
      </c>
      <c r="L710" s="56">
        <v>-79.48</v>
      </c>
      <c r="M710" s="20">
        <v>4302571</v>
      </c>
      <c r="N710" s="56">
        <v>16.350000000000001</v>
      </c>
      <c r="O710" s="56">
        <v>80.3</v>
      </c>
      <c r="P710" s="58">
        <v>108.23</v>
      </c>
      <c r="Q710" s="59">
        <v>47.982678574557902</v>
      </c>
      <c r="R710" s="59">
        <v>1.06915579761044</v>
      </c>
      <c r="S710" s="59">
        <v>0.76833979200936198</v>
      </c>
      <c r="X710" s="2">
        <f t="shared" si="33"/>
        <v>0.52017321425442098</v>
      </c>
      <c r="Y710" s="2">
        <f>SUMIF(收盤價!A:A,A710,收盤價!C:C)</f>
        <v>437</v>
      </c>
      <c r="Z710" s="2">
        <f t="shared" si="34"/>
        <v>46566725.933000006</v>
      </c>
      <c r="AA710" s="2">
        <f t="shared" si="35"/>
        <v>188022352.69999999</v>
      </c>
    </row>
    <row r="711" spans="1:27" ht="14.5" customHeight="1">
      <c r="A711" s="21" t="s">
        <v>5390</v>
      </c>
      <c r="B711" s="22" t="s">
        <v>564</v>
      </c>
      <c r="C711" s="23">
        <v>25600708</v>
      </c>
      <c r="D711" s="23">
        <v>27160517</v>
      </c>
      <c r="E711" s="60">
        <v>-5.74</v>
      </c>
      <c r="F711" s="61">
        <v>1194408</v>
      </c>
      <c r="G711" s="61">
        <v>1211575</v>
      </c>
      <c r="H711" s="61">
        <v>335702</v>
      </c>
      <c r="I711" s="61">
        <v>548429</v>
      </c>
      <c r="J711" s="61">
        <v>1029323</v>
      </c>
      <c r="K711" s="61">
        <v>1185379</v>
      </c>
      <c r="L711" s="60">
        <v>-13.17</v>
      </c>
      <c r="M711" s="23">
        <v>5183462</v>
      </c>
      <c r="N711" s="60">
        <v>1.99</v>
      </c>
      <c r="O711" s="60">
        <v>2.29</v>
      </c>
      <c r="P711" s="62">
        <v>21.14</v>
      </c>
      <c r="Q711" s="63">
        <v>50.529888210790801</v>
      </c>
      <c r="R711" s="63">
        <v>1.84422020217897</v>
      </c>
      <c r="S711" s="63">
        <v>1.5286617358982599</v>
      </c>
      <c r="X711" s="2">
        <f t="shared" si="33"/>
        <v>0.49470111789209198</v>
      </c>
      <c r="Y711" s="2">
        <f>SUMIF(收盤價!A:A,A711,收盤價!C:C)</f>
        <v>23.3</v>
      </c>
      <c r="Z711" s="2">
        <f t="shared" si="34"/>
        <v>10957838.668000001</v>
      </c>
      <c r="AA711" s="2">
        <f t="shared" si="35"/>
        <v>12077466.460000001</v>
      </c>
    </row>
    <row r="712" spans="1:27" ht="14.5" customHeight="1">
      <c r="A712" s="24" t="s">
        <v>5391</v>
      </c>
      <c r="B712" s="25" t="s">
        <v>600</v>
      </c>
      <c r="C712" s="26">
        <v>17848498</v>
      </c>
      <c r="D712" s="26">
        <v>20173888</v>
      </c>
      <c r="E712" s="64">
        <v>-11.53</v>
      </c>
      <c r="F712" s="65">
        <v>298142</v>
      </c>
      <c r="G712" s="65">
        <v>895053</v>
      </c>
      <c r="H712" s="65">
        <v>534212</v>
      </c>
      <c r="I712" s="65">
        <v>-519984</v>
      </c>
      <c r="J712" s="65">
        <v>660825</v>
      </c>
      <c r="K712" s="65">
        <v>163311</v>
      </c>
      <c r="L712" s="64">
        <v>304.64</v>
      </c>
      <c r="M712" s="26">
        <v>3974954</v>
      </c>
      <c r="N712" s="64">
        <v>1.66</v>
      </c>
      <c r="O712" s="64">
        <v>0.41</v>
      </c>
      <c r="P712" s="66">
        <v>39.590000000000003</v>
      </c>
      <c r="Q712" s="67">
        <v>68.107081815965401</v>
      </c>
      <c r="R712" s="67">
        <v>2.04024742743912</v>
      </c>
      <c r="S712" s="67">
        <v>1.40014701477024</v>
      </c>
      <c r="X712" s="2">
        <f t="shared" si="33"/>
        <v>0.31892918184034597</v>
      </c>
      <c r="Y712" s="2">
        <f>SUMIF(收盤價!A:A,A712,收盤價!C:C)</f>
        <v>31.95</v>
      </c>
      <c r="Z712" s="2">
        <f t="shared" si="34"/>
        <v>15736842.886000002</v>
      </c>
      <c r="AA712" s="2">
        <f t="shared" si="35"/>
        <v>12699978.029999999</v>
      </c>
    </row>
    <row r="713" spans="1:27" ht="14.5" customHeight="1">
      <c r="A713" s="19" t="s">
        <v>5392</v>
      </c>
      <c r="B713" s="3" t="s">
        <v>619</v>
      </c>
      <c r="C713" s="20">
        <v>22418326</v>
      </c>
      <c r="D713" s="20">
        <v>19539609</v>
      </c>
      <c r="E713" s="56">
        <v>14.73</v>
      </c>
      <c r="F713" s="57">
        <v>2429229</v>
      </c>
      <c r="G713" s="57">
        <v>811573</v>
      </c>
      <c r="H713" s="57">
        <v>-153044</v>
      </c>
      <c r="I713" s="57">
        <v>-80298</v>
      </c>
      <c r="J713" s="57">
        <v>1735300</v>
      </c>
      <c r="K713" s="57">
        <v>656651</v>
      </c>
      <c r="L713" s="56">
        <v>164.27</v>
      </c>
      <c r="M713" s="20">
        <v>6194072</v>
      </c>
      <c r="N713" s="56">
        <v>2.8</v>
      </c>
      <c r="O713" s="56">
        <v>1.06</v>
      </c>
      <c r="P713" s="58">
        <v>18.27</v>
      </c>
      <c r="Q713" s="59">
        <v>45.236920811043397</v>
      </c>
      <c r="R713" s="59">
        <v>1.18701072117618</v>
      </c>
      <c r="S713" s="59">
        <v>0.86853601373834799</v>
      </c>
      <c r="X713" s="2">
        <f t="shared" si="33"/>
        <v>0.54763079188956598</v>
      </c>
      <c r="Y713" s="2">
        <f>SUMIF(收盤價!A:A,A713,收盤價!C:C)</f>
        <v>33.65</v>
      </c>
      <c r="Z713" s="2">
        <f t="shared" si="34"/>
        <v>11316569.544</v>
      </c>
      <c r="AA713" s="2">
        <f t="shared" si="35"/>
        <v>20843052.279999997</v>
      </c>
    </row>
    <row r="714" spans="1:27" ht="14.5" customHeight="1">
      <c r="A714" s="19" t="s">
        <v>5393</v>
      </c>
      <c r="B714" s="3" t="s">
        <v>621</v>
      </c>
      <c r="C714" s="20">
        <v>18990719</v>
      </c>
      <c r="D714" s="20">
        <v>20596419</v>
      </c>
      <c r="E714" s="56">
        <v>-7.8</v>
      </c>
      <c r="F714" s="57">
        <v>669405</v>
      </c>
      <c r="G714" s="57">
        <v>773866</v>
      </c>
      <c r="H714" s="57">
        <v>-399205</v>
      </c>
      <c r="I714" s="57">
        <v>-453459</v>
      </c>
      <c r="J714" s="57">
        <v>129726</v>
      </c>
      <c r="K714" s="57">
        <v>228870</v>
      </c>
      <c r="L714" s="56">
        <v>-43.32</v>
      </c>
      <c r="M714" s="20">
        <v>5464879</v>
      </c>
      <c r="N714" s="56">
        <v>0.24</v>
      </c>
      <c r="O714" s="56">
        <v>0.42</v>
      </c>
      <c r="P714" s="58">
        <v>13.25</v>
      </c>
      <c r="Q714" s="59">
        <v>34.273189166604197</v>
      </c>
      <c r="R714" s="59">
        <v>1.2670737407072501</v>
      </c>
      <c r="S714" s="59">
        <v>0.98593757603202803</v>
      </c>
      <c r="X714" s="2">
        <f t="shared" si="33"/>
        <v>0.65726810833395799</v>
      </c>
      <c r="Y714" s="2">
        <f>SUMIF(收盤價!A:A,A714,收盤價!C:C)</f>
        <v>16.649999999999999</v>
      </c>
      <c r="Z714" s="2">
        <f t="shared" si="34"/>
        <v>7240964.6749999998</v>
      </c>
      <c r="AA714" s="2">
        <f t="shared" si="35"/>
        <v>9099023.5350000001</v>
      </c>
    </row>
    <row r="715" spans="1:27" ht="14.5" customHeight="1">
      <c r="A715" s="19" t="s">
        <v>5394</v>
      </c>
      <c r="B715" s="3" t="s">
        <v>631</v>
      </c>
      <c r="C715" s="20">
        <v>4547218</v>
      </c>
      <c r="D715" s="20">
        <v>2972450</v>
      </c>
      <c r="E715" s="56">
        <v>52.98</v>
      </c>
      <c r="F715" s="57">
        <v>440277</v>
      </c>
      <c r="G715" s="57">
        <v>-231257</v>
      </c>
      <c r="H715" s="57">
        <v>461560</v>
      </c>
      <c r="I715" s="57">
        <v>3143399</v>
      </c>
      <c r="J715" s="57">
        <v>330361</v>
      </c>
      <c r="K715" s="57">
        <v>1749115</v>
      </c>
      <c r="L715" s="56">
        <v>-81.11</v>
      </c>
      <c r="M715" s="20">
        <v>1940631</v>
      </c>
      <c r="N715" s="56">
        <v>2.83</v>
      </c>
      <c r="O715" s="56">
        <v>19.11</v>
      </c>
      <c r="P715" s="58">
        <v>37.299999999999997</v>
      </c>
      <c r="Q715" s="59">
        <v>58.062265851678703</v>
      </c>
      <c r="R715" s="59">
        <v>1.8509277049741799</v>
      </c>
      <c r="S715" s="59">
        <v>0.71773918031333195</v>
      </c>
      <c r="X715" s="2">
        <f t="shared" si="33"/>
        <v>0.41937734148321298</v>
      </c>
      <c r="Y715" s="2">
        <f>SUMIF(收盤價!A:A,A715,收盤價!C:C)</f>
        <v>45.2</v>
      </c>
      <c r="Z715" s="2">
        <f t="shared" si="34"/>
        <v>7238553.6299999999</v>
      </c>
      <c r="AA715" s="2">
        <f t="shared" si="35"/>
        <v>8771652.120000001</v>
      </c>
    </row>
    <row r="716" spans="1:27" ht="14.5" customHeight="1">
      <c r="A716" s="19" t="s">
        <v>5395</v>
      </c>
      <c r="B716" s="3" t="s">
        <v>641</v>
      </c>
      <c r="C716" s="20">
        <v>24865522</v>
      </c>
      <c r="D716" s="20">
        <v>22890928</v>
      </c>
      <c r="E716" s="56">
        <v>8.6300000000000008</v>
      </c>
      <c r="F716" s="57">
        <v>4079550</v>
      </c>
      <c r="G716" s="57">
        <v>2755333</v>
      </c>
      <c r="H716" s="57">
        <v>124276</v>
      </c>
      <c r="I716" s="57">
        <v>71537</v>
      </c>
      <c r="J716" s="57">
        <v>3240845</v>
      </c>
      <c r="K716" s="57">
        <v>1751378</v>
      </c>
      <c r="L716" s="56">
        <v>85.05</v>
      </c>
      <c r="M716" s="20">
        <v>3197080</v>
      </c>
      <c r="N716" s="56">
        <v>10.14</v>
      </c>
      <c r="O716" s="56">
        <v>5.48</v>
      </c>
      <c r="P716" s="58">
        <v>42.29</v>
      </c>
      <c r="Q716" s="59">
        <v>52.5978715415702</v>
      </c>
      <c r="R716" s="59">
        <v>1.82467508623562</v>
      </c>
      <c r="S716" s="59">
        <v>1.5118396857955101</v>
      </c>
      <c r="X716" s="2">
        <f t="shared" si="33"/>
        <v>0.47402128458429799</v>
      </c>
      <c r="Y716" s="2">
        <f>SUMIF(收盤價!A:A,A716,收盤價!C:C)</f>
        <v>137</v>
      </c>
      <c r="Z716" s="2">
        <f t="shared" si="34"/>
        <v>13520451.319999998</v>
      </c>
      <c r="AA716" s="2">
        <f t="shared" si="35"/>
        <v>43799996</v>
      </c>
    </row>
    <row r="717" spans="1:27" ht="14.5" customHeight="1">
      <c r="A717" s="19" t="s">
        <v>5396</v>
      </c>
      <c r="B717" s="3" t="s">
        <v>643</v>
      </c>
      <c r="C717" s="20">
        <v>92552325</v>
      </c>
      <c r="D717" s="20">
        <v>87260406</v>
      </c>
      <c r="E717" s="56">
        <v>6.06</v>
      </c>
      <c r="F717" s="57">
        <v>6269465</v>
      </c>
      <c r="G717" s="57">
        <v>4649536</v>
      </c>
      <c r="H717" s="57">
        <v>1919271</v>
      </c>
      <c r="I717" s="57">
        <v>385936</v>
      </c>
      <c r="J717" s="57">
        <v>5838817</v>
      </c>
      <c r="K717" s="57">
        <v>3590711</v>
      </c>
      <c r="L717" s="56">
        <v>62.61</v>
      </c>
      <c r="M717" s="20">
        <v>7344975</v>
      </c>
      <c r="N717" s="56">
        <v>8.4499999999999993</v>
      </c>
      <c r="O717" s="56">
        <v>5.22</v>
      </c>
      <c r="P717" s="58">
        <v>39.11</v>
      </c>
      <c r="Q717" s="59">
        <v>38.167343527695998</v>
      </c>
      <c r="R717" s="59">
        <v>1.2337109858608999</v>
      </c>
      <c r="S717" s="59">
        <v>0.75541013825945202</v>
      </c>
      <c r="X717" s="2">
        <f t="shared" si="33"/>
        <v>0.61832656472304004</v>
      </c>
      <c r="Y717" s="2">
        <f>SUMIF(收盤價!A:A,A717,收盤價!C:C)</f>
        <v>89</v>
      </c>
      <c r="Z717" s="2">
        <f t="shared" si="34"/>
        <v>28726197.225000001</v>
      </c>
      <c r="AA717" s="2">
        <f t="shared" si="35"/>
        <v>65370277.5</v>
      </c>
    </row>
    <row r="718" spans="1:27" ht="14.5" customHeight="1">
      <c r="A718" s="19" t="s">
        <v>5397</v>
      </c>
      <c r="B718" s="3" t="s">
        <v>651</v>
      </c>
      <c r="C718" s="20">
        <v>97820336</v>
      </c>
      <c r="D718" s="20">
        <v>87910961</v>
      </c>
      <c r="E718" s="56">
        <v>11.27</v>
      </c>
      <c r="F718" s="57">
        <v>2281690</v>
      </c>
      <c r="G718" s="57">
        <v>126524</v>
      </c>
      <c r="H718" s="57">
        <v>103124</v>
      </c>
      <c r="I718" s="57">
        <v>756514</v>
      </c>
      <c r="J718" s="57">
        <v>1987361</v>
      </c>
      <c r="K718" s="57">
        <v>608100</v>
      </c>
      <c r="L718" s="56">
        <v>226.81</v>
      </c>
      <c r="M718" s="20">
        <v>5123269</v>
      </c>
      <c r="N718" s="56">
        <v>4.0999999999999996</v>
      </c>
      <c r="O718" s="56">
        <v>1.2</v>
      </c>
      <c r="P718" s="58">
        <v>46.27</v>
      </c>
      <c r="Q718" s="59">
        <v>30.604336332789298</v>
      </c>
      <c r="R718" s="59">
        <v>1.42485447406474</v>
      </c>
      <c r="S718" s="59">
        <v>0.86817583973752999</v>
      </c>
      <c r="X718" s="2">
        <f t="shared" si="33"/>
        <v>0.69395663667210694</v>
      </c>
      <c r="Y718" s="2">
        <f>SUMIF(收盤價!A:A,A718,收盤價!C:C)</f>
        <v>45.8</v>
      </c>
      <c r="Z718" s="2">
        <f t="shared" si="34"/>
        <v>23705365.663000003</v>
      </c>
      <c r="AA718" s="2">
        <f t="shared" si="35"/>
        <v>23464572.02</v>
      </c>
    </row>
    <row r="719" spans="1:27" ht="14.5" customHeight="1">
      <c r="A719" s="19" t="s">
        <v>5398</v>
      </c>
      <c r="B719" s="3" t="s">
        <v>663</v>
      </c>
      <c r="C719" s="20">
        <v>6148946</v>
      </c>
      <c r="D719" s="20">
        <v>7231688</v>
      </c>
      <c r="E719" s="56">
        <v>-14.97</v>
      </c>
      <c r="F719" s="57">
        <v>280795</v>
      </c>
      <c r="G719" s="57">
        <v>82618</v>
      </c>
      <c r="H719" s="57">
        <v>244</v>
      </c>
      <c r="I719" s="57">
        <v>97854</v>
      </c>
      <c r="J719" s="57">
        <v>226792</v>
      </c>
      <c r="K719" s="57">
        <v>145110</v>
      </c>
      <c r="L719" s="56">
        <v>56.29</v>
      </c>
      <c r="M719" s="20">
        <v>3075366</v>
      </c>
      <c r="N719" s="56">
        <v>0.74</v>
      </c>
      <c r="O719" s="56">
        <v>0.47</v>
      </c>
      <c r="P719" s="58">
        <v>19.05</v>
      </c>
      <c r="Q719" s="59">
        <v>69.008423000604907</v>
      </c>
      <c r="R719" s="59">
        <v>2.1322057820429801</v>
      </c>
      <c r="S719" s="59">
        <v>1.7746324554592201</v>
      </c>
      <c r="X719" s="2">
        <f t="shared" si="33"/>
        <v>0.30991576999395093</v>
      </c>
      <c r="Y719" s="2">
        <f>SUMIF(收盤價!A:A,A719,收盤價!C:C)</f>
        <v>16.55</v>
      </c>
      <c r="Z719" s="2">
        <f t="shared" si="34"/>
        <v>5858572.2300000004</v>
      </c>
      <c r="AA719" s="2">
        <f t="shared" si="35"/>
        <v>5089730.7300000004</v>
      </c>
    </row>
    <row r="720" spans="1:27" ht="14.5" customHeight="1">
      <c r="A720" s="19" t="s">
        <v>5399</v>
      </c>
      <c r="B720" s="3" t="s">
        <v>677</v>
      </c>
      <c r="C720" s="20">
        <v>3636647</v>
      </c>
      <c r="D720" s="20">
        <v>3832372</v>
      </c>
      <c r="E720" s="56">
        <v>-5.1100000000000003</v>
      </c>
      <c r="F720" s="57">
        <v>-113625</v>
      </c>
      <c r="G720" s="57">
        <v>12329</v>
      </c>
      <c r="H720" s="57">
        <v>-63559</v>
      </c>
      <c r="I720" s="57">
        <v>20145</v>
      </c>
      <c r="J720" s="57">
        <v>-188856</v>
      </c>
      <c r="K720" s="57">
        <v>6815</v>
      </c>
      <c r="L720" s="56"/>
      <c r="M720" s="20">
        <v>1273592</v>
      </c>
      <c r="N720" s="56">
        <v>-1.48</v>
      </c>
      <c r="O720" s="56">
        <v>0.05</v>
      </c>
      <c r="P720" s="58">
        <v>12.25</v>
      </c>
      <c r="Q720" s="59">
        <v>32.672413052906798</v>
      </c>
      <c r="R720" s="59">
        <v>1.1496573694130401</v>
      </c>
      <c r="S720" s="59">
        <v>0.53652114635269399</v>
      </c>
      <c r="X720" s="2">
        <f t="shared" si="33"/>
        <v>0.6732758694709321</v>
      </c>
      <c r="Y720" s="2">
        <f>SUMIF(收盤價!A:A,A720,收盤價!C:C)</f>
        <v>17.149999999999999</v>
      </c>
      <c r="Z720" s="2">
        <f t="shared" si="34"/>
        <v>1560150.2</v>
      </c>
      <c r="AA720" s="2">
        <f t="shared" si="35"/>
        <v>2184210.2799999998</v>
      </c>
    </row>
    <row r="721" spans="1:27" ht="14.5" customHeight="1">
      <c r="A721" s="19" t="s">
        <v>5400</v>
      </c>
      <c r="B721" s="3" t="s">
        <v>681</v>
      </c>
      <c r="C721" s="20">
        <v>2189264</v>
      </c>
      <c r="D721" s="20">
        <v>2197370</v>
      </c>
      <c r="E721" s="56">
        <v>-0.37</v>
      </c>
      <c r="F721" s="57">
        <v>176792</v>
      </c>
      <c r="G721" s="57">
        <v>212533</v>
      </c>
      <c r="H721" s="57">
        <v>-62631</v>
      </c>
      <c r="I721" s="57">
        <v>-52975</v>
      </c>
      <c r="J721" s="57">
        <v>49948</v>
      </c>
      <c r="K721" s="57">
        <v>100532</v>
      </c>
      <c r="L721" s="56">
        <v>-50.32</v>
      </c>
      <c r="M721" s="20">
        <v>800000</v>
      </c>
      <c r="N721" s="56">
        <v>0.62</v>
      </c>
      <c r="O721" s="56">
        <v>1.26</v>
      </c>
      <c r="P721" s="58">
        <v>18.23</v>
      </c>
      <c r="Q721" s="59">
        <v>29.1532190843531</v>
      </c>
      <c r="R721" s="59">
        <v>1.3964285582692899</v>
      </c>
      <c r="S721" s="59">
        <v>0.50312556420435794</v>
      </c>
      <c r="X721" s="2">
        <f t="shared" si="33"/>
        <v>0.70846780915646901</v>
      </c>
      <c r="Y721" s="2">
        <f>SUMIF(收盤價!A:A,A721,收盤價!C:C)</f>
        <v>18.8</v>
      </c>
      <c r="Z721" s="2">
        <f t="shared" si="34"/>
        <v>1458400</v>
      </c>
      <c r="AA721" s="2">
        <f t="shared" si="35"/>
        <v>1504000</v>
      </c>
    </row>
    <row r="722" spans="1:27" ht="14.5" customHeight="1">
      <c r="A722" s="19" t="s">
        <v>5401</v>
      </c>
      <c r="B722" s="3" t="s">
        <v>687</v>
      </c>
      <c r="C722" s="20">
        <v>2669131</v>
      </c>
      <c r="D722" s="20">
        <v>2820470</v>
      </c>
      <c r="E722" s="56">
        <v>-5.37</v>
      </c>
      <c r="F722" s="57">
        <v>543295</v>
      </c>
      <c r="G722" s="57">
        <v>545495</v>
      </c>
      <c r="H722" s="57">
        <v>69046</v>
      </c>
      <c r="I722" s="57">
        <v>86349</v>
      </c>
      <c r="J722" s="57">
        <v>486389</v>
      </c>
      <c r="K722" s="57">
        <v>497133</v>
      </c>
      <c r="L722" s="56">
        <v>-2.16</v>
      </c>
      <c r="M722" s="20">
        <v>1526487</v>
      </c>
      <c r="N722" s="56">
        <v>3.19</v>
      </c>
      <c r="O722" s="56">
        <v>3.26</v>
      </c>
      <c r="P722" s="58">
        <v>20.23</v>
      </c>
      <c r="Q722" s="59">
        <v>52.555588608896102</v>
      </c>
      <c r="R722" s="59">
        <v>1.61038103557759</v>
      </c>
      <c r="S722" s="59">
        <v>1.1162121674577901</v>
      </c>
      <c r="X722" s="2">
        <f t="shared" si="33"/>
        <v>0.47444411391103897</v>
      </c>
      <c r="Y722" s="2">
        <f>SUMIF(收盤價!A:A,A722,收盤價!C:C)</f>
        <v>35.950000000000003</v>
      </c>
      <c r="Z722" s="2">
        <f t="shared" si="34"/>
        <v>3088083.2010000004</v>
      </c>
      <c r="AA722" s="2">
        <f t="shared" si="35"/>
        <v>5487720.7650000006</v>
      </c>
    </row>
    <row r="723" spans="1:27" ht="14.5" customHeight="1">
      <c r="A723" s="19" t="s">
        <v>5402</v>
      </c>
      <c r="B723" s="3" t="s">
        <v>689</v>
      </c>
      <c r="C723" s="20">
        <v>11659915</v>
      </c>
      <c r="D723" s="20">
        <v>11965298</v>
      </c>
      <c r="E723" s="56">
        <v>-2.5499999999999998</v>
      </c>
      <c r="F723" s="57">
        <v>787252</v>
      </c>
      <c r="G723" s="57">
        <v>601549</v>
      </c>
      <c r="H723" s="57">
        <v>122472</v>
      </c>
      <c r="I723" s="57">
        <v>182276</v>
      </c>
      <c r="J723" s="57">
        <v>680801</v>
      </c>
      <c r="K723" s="57">
        <v>605120</v>
      </c>
      <c r="L723" s="56">
        <v>12.51</v>
      </c>
      <c r="M723" s="20">
        <v>2509297</v>
      </c>
      <c r="N723" s="56">
        <v>2.71</v>
      </c>
      <c r="O723" s="56">
        <v>2.41</v>
      </c>
      <c r="P723" s="58">
        <v>16.850000000000001</v>
      </c>
      <c r="Q723" s="59">
        <v>44.799708622399699</v>
      </c>
      <c r="R723" s="59">
        <v>1.4272041407122</v>
      </c>
      <c r="S723" s="59">
        <v>1.0886133220568099</v>
      </c>
      <c r="X723" s="2">
        <f t="shared" si="33"/>
        <v>0.55200291377600297</v>
      </c>
      <c r="Y723" s="2">
        <f>SUMIF(收盤價!A:A,A723,收盤價!C:C)</f>
        <v>47.35</v>
      </c>
      <c r="Z723" s="2">
        <f t="shared" si="34"/>
        <v>4228165.4450000003</v>
      </c>
      <c r="AA723" s="2">
        <f t="shared" si="35"/>
        <v>11881521.295</v>
      </c>
    </row>
    <row r="724" spans="1:27" ht="14.5" customHeight="1">
      <c r="A724" s="19" t="s">
        <v>5403</v>
      </c>
      <c r="B724" s="3" t="s">
        <v>701</v>
      </c>
      <c r="C724" s="20">
        <v>5814232</v>
      </c>
      <c r="D724" s="20">
        <v>6019949</v>
      </c>
      <c r="E724" s="56">
        <v>-3.42</v>
      </c>
      <c r="F724" s="57">
        <v>1448901</v>
      </c>
      <c r="G724" s="57">
        <v>1385035</v>
      </c>
      <c r="H724" s="57">
        <v>64786</v>
      </c>
      <c r="I724" s="57">
        <v>124043</v>
      </c>
      <c r="J724" s="57">
        <v>1115990</v>
      </c>
      <c r="K724" s="57">
        <v>982766</v>
      </c>
      <c r="L724" s="56">
        <v>13.56</v>
      </c>
      <c r="M724" s="20">
        <v>1281127</v>
      </c>
      <c r="N724" s="56">
        <v>8.7100000000000009</v>
      </c>
      <c r="O724" s="56">
        <v>7.67</v>
      </c>
      <c r="P724" s="58">
        <v>49.73</v>
      </c>
      <c r="Q724" s="59">
        <v>72.811634515225705</v>
      </c>
      <c r="R724" s="59">
        <v>4.8359248479361403</v>
      </c>
      <c r="S724" s="59">
        <v>4.0509142959156303</v>
      </c>
      <c r="X724" s="2">
        <f t="shared" si="33"/>
        <v>0.27188365484774296</v>
      </c>
      <c r="Y724" s="2">
        <f>SUMIF(收盤價!A:A,A724,收盤價!C:C)</f>
        <v>97.3</v>
      </c>
      <c r="Z724" s="2">
        <f t="shared" si="34"/>
        <v>6371044.5709999995</v>
      </c>
      <c r="AA724" s="2">
        <f t="shared" si="35"/>
        <v>12465365.709999999</v>
      </c>
    </row>
    <row r="725" spans="1:27" ht="14.5" customHeight="1">
      <c r="A725" s="19" t="s">
        <v>5633</v>
      </c>
      <c r="B725" s="3" t="s">
        <v>703</v>
      </c>
      <c r="C725" s="20">
        <v>972295</v>
      </c>
      <c r="D725" s="20">
        <v>905136</v>
      </c>
      <c r="E725" s="56">
        <v>7.42</v>
      </c>
      <c r="F725" s="57">
        <v>-44797</v>
      </c>
      <c r="G725" s="57">
        <v>517</v>
      </c>
      <c r="H725" s="57">
        <v>-51572</v>
      </c>
      <c r="I725" s="57">
        <v>-12327</v>
      </c>
      <c r="J725" s="57">
        <v>-126199</v>
      </c>
      <c r="K725" s="57">
        <v>-12048</v>
      </c>
      <c r="L725" s="56"/>
      <c r="M725" s="20">
        <v>367362</v>
      </c>
      <c r="N725" s="56">
        <v>-3.95</v>
      </c>
      <c r="O725" s="56">
        <v>-0.45</v>
      </c>
      <c r="P725" s="58">
        <v>7.12</v>
      </c>
      <c r="Q725" s="59">
        <v>30.875332942319101</v>
      </c>
      <c r="R725" s="59">
        <v>1.1217218729446601</v>
      </c>
      <c r="S725" s="59">
        <v>0.82576490827993698</v>
      </c>
      <c r="X725" s="2">
        <f t="shared" si="33"/>
        <v>0.691246670576809</v>
      </c>
      <c r="Y725" s="2">
        <f>SUMIF(收盤價!A:A,A725,收盤價!C:C)</f>
        <v>26.5</v>
      </c>
      <c r="Z725" s="2">
        <f t="shared" si="34"/>
        <v>261561.74400000001</v>
      </c>
      <c r="AA725" s="2">
        <f t="shared" si="35"/>
        <v>973509.3</v>
      </c>
    </row>
    <row r="726" spans="1:27" ht="14.5" customHeight="1">
      <c r="A726" s="19" t="s">
        <v>5404</v>
      </c>
      <c r="B726" s="3" t="s">
        <v>707</v>
      </c>
      <c r="C726" s="20">
        <v>2967216</v>
      </c>
      <c r="D726" s="20">
        <v>2428431</v>
      </c>
      <c r="E726" s="56">
        <v>22.19</v>
      </c>
      <c r="F726" s="57">
        <v>-23117</v>
      </c>
      <c r="G726" s="57">
        <v>-252874</v>
      </c>
      <c r="H726" s="57">
        <v>52904</v>
      </c>
      <c r="I726" s="57">
        <v>83251</v>
      </c>
      <c r="J726" s="57">
        <v>8872</v>
      </c>
      <c r="K726" s="57">
        <v>-189823</v>
      </c>
      <c r="L726" s="56"/>
      <c r="M726" s="20">
        <v>1109270</v>
      </c>
      <c r="N726" s="56">
        <v>0.08</v>
      </c>
      <c r="O726" s="56">
        <v>-1.71</v>
      </c>
      <c r="P726" s="58">
        <v>11.87</v>
      </c>
      <c r="Q726" s="59">
        <v>59.569608486909402</v>
      </c>
      <c r="R726" s="59">
        <v>1.88278134438619</v>
      </c>
      <c r="S726" s="59">
        <v>1.2526961538873</v>
      </c>
      <c r="X726" s="2">
        <f t="shared" si="33"/>
        <v>0.40430391513090597</v>
      </c>
      <c r="Y726" s="2">
        <f>SUMIF(收盤價!A:A,A726,收盤價!C:C)</f>
        <v>11.4</v>
      </c>
      <c r="Z726" s="2">
        <f t="shared" si="34"/>
        <v>1316703.4899999998</v>
      </c>
      <c r="AA726" s="2">
        <f t="shared" si="35"/>
        <v>1264567.8</v>
      </c>
    </row>
    <row r="727" spans="1:27" ht="14.5" customHeight="1">
      <c r="A727" s="19" t="s">
        <v>5405</v>
      </c>
      <c r="B727" s="3" t="s">
        <v>719</v>
      </c>
      <c r="C727" s="20">
        <v>2766521</v>
      </c>
      <c r="D727" s="20">
        <v>3385891</v>
      </c>
      <c r="E727" s="56">
        <v>-18.29</v>
      </c>
      <c r="F727" s="57">
        <v>10610</v>
      </c>
      <c r="G727" s="57">
        <v>12418</v>
      </c>
      <c r="H727" s="57">
        <v>-44862</v>
      </c>
      <c r="I727" s="57">
        <v>-58752</v>
      </c>
      <c r="J727" s="57">
        <v>-36875</v>
      </c>
      <c r="K727" s="57">
        <v>-57959</v>
      </c>
      <c r="L727" s="56"/>
      <c r="M727" s="20">
        <v>1391173</v>
      </c>
      <c r="N727" s="56">
        <v>-0.27</v>
      </c>
      <c r="O727" s="56">
        <v>-0.42</v>
      </c>
      <c r="P727" s="58">
        <v>7.52</v>
      </c>
      <c r="Q727" s="59">
        <v>44.690476759918504</v>
      </c>
      <c r="R727" s="59">
        <v>1.19686839247957</v>
      </c>
      <c r="S727" s="59">
        <v>0.90561231265529096</v>
      </c>
      <c r="X727" s="2">
        <f t="shared" si="33"/>
        <v>0.55309523240081493</v>
      </c>
      <c r="Y727" s="2">
        <f>SUMIF(收盤價!A:A,A727,收盤價!C:C)</f>
        <v>9.5</v>
      </c>
      <c r="Z727" s="2">
        <f t="shared" si="34"/>
        <v>1046162.0959999999</v>
      </c>
      <c r="AA727" s="2">
        <f t="shared" si="35"/>
        <v>1321614.3500000001</v>
      </c>
    </row>
    <row r="728" spans="1:27" ht="14.5" customHeight="1">
      <c r="A728" s="19" t="s">
        <v>5406</v>
      </c>
      <c r="B728" s="3" t="s">
        <v>743</v>
      </c>
      <c r="C728" s="20">
        <v>15870564</v>
      </c>
      <c r="D728" s="20">
        <v>17553007</v>
      </c>
      <c r="E728" s="56">
        <v>-9.58</v>
      </c>
      <c r="F728" s="57">
        <v>1224432</v>
      </c>
      <c r="G728" s="57">
        <v>3823356</v>
      </c>
      <c r="H728" s="57">
        <v>154942</v>
      </c>
      <c r="I728" s="57">
        <v>-287200</v>
      </c>
      <c r="J728" s="57">
        <v>1147305</v>
      </c>
      <c r="K728" s="57">
        <v>2882536</v>
      </c>
      <c r="L728" s="56">
        <v>-60.2</v>
      </c>
      <c r="M728" s="20">
        <v>2469782</v>
      </c>
      <c r="N728" s="56">
        <v>4.71</v>
      </c>
      <c r="O728" s="56">
        <v>11.54</v>
      </c>
      <c r="P728" s="58">
        <v>95.33</v>
      </c>
      <c r="Q728" s="59">
        <v>58.511913495785201</v>
      </c>
      <c r="R728" s="59">
        <v>1.4523616972806801</v>
      </c>
      <c r="S728" s="59">
        <v>0.84423765559327102</v>
      </c>
      <c r="X728" s="2">
        <f t="shared" si="33"/>
        <v>0.41488086504214799</v>
      </c>
      <c r="Y728" s="2">
        <f>SUMIF(收盤價!A:A,A728,收盤價!C:C)</f>
        <v>128</v>
      </c>
      <c r="Z728" s="2">
        <f t="shared" si="34"/>
        <v>23544431.806000002</v>
      </c>
      <c r="AA728" s="2">
        <f t="shared" si="35"/>
        <v>31613209.600000001</v>
      </c>
    </row>
    <row r="729" spans="1:27" ht="14.5" customHeight="1">
      <c r="A729" s="19" t="s">
        <v>5407</v>
      </c>
      <c r="B729" s="3" t="s">
        <v>745</v>
      </c>
      <c r="C729" s="20">
        <v>10694604</v>
      </c>
      <c r="D729" s="20">
        <v>12138723</v>
      </c>
      <c r="E729" s="56">
        <v>-11.9</v>
      </c>
      <c r="F729" s="57">
        <v>-78450</v>
      </c>
      <c r="G729" s="57">
        <v>-360701</v>
      </c>
      <c r="H729" s="57">
        <v>36311</v>
      </c>
      <c r="I729" s="57">
        <v>180580</v>
      </c>
      <c r="J729" s="57">
        <v>-38136</v>
      </c>
      <c r="K729" s="57">
        <v>-246595</v>
      </c>
      <c r="L729" s="56"/>
      <c r="M729" s="20">
        <v>3376884</v>
      </c>
      <c r="N729" s="56">
        <v>-0.11</v>
      </c>
      <c r="O729" s="56">
        <v>-0.73</v>
      </c>
      <c r="P729" s="58">
        <v>14.58</v>
      </c>
      <c r="Q729" s="59">
        <v>51.653190205468299</v>
      </c>
      <c r="R729" s="59">
        <v>1.91811197070449</v>
      </c>
      <c r="S729" s="59">
        <v>1.4667089690287201</v>
      </c>
      <c r="X729" s="2">
        <f t="shared" si="33"/>
        <v>0.48346809794531703</v>
      </c>
      <c r="Y729" s="2">
        <f>SUMIF(收盤價!A:A,A729,收盤價!C:C)</f>
        <v>10.199999999999999</v>
      </c>
      <c r="Z729" s="2">
        <f t="shared" si="34"/>
        <v>4923496.8719999995</v>
      </c>
      <c r="AA729" s="2">
        <f t="shared" si="35"/>
        <v>3444421.6799999997</v>
      </c>
    </row>
    <row r="730" spans="1:27" ht="14.5" customHeight="1">
      <c r="A730" s="19" t="s">
        <v>5408</v>
      </c>
      <c r="B730" s="3" t="s">
        <v>751</v>
      </c>
      <c r="C730" s="20">
        <v>3443022</v>
      </c>
      <c r="D730" s="20">
        <v>3950854</v>
      </c>
      <c r="E730" s="56">
        <v>-12.85</v>
      </c>
      <c r="F730" s="57">
        <v>-52364</v>
      </c>
      <c r="G730" s="57">
        <v>-99955</v>
      </c>
      <c r="H730" s="57">
        <v>-37842</v>
      </c>
      <c r="I730" s="57">
        <v>-13271</v>
      </c>
      <c r="J730" s="57">
        <v>-191576</v>
      </c>
      <c r="K730" s="57">
        <v>-89247</v>
      </c>
      <c r="L730" s="56"/>
      <c r="M730" s="20">
        <v>1692000</v>
      </c>
      <c r="N730" s="56">
        <v>-1.1299999999999999</v>
      </c>
      <c r="O730" s="56">
        <v>-0.53</v>
      </c>
      <c r="P730" s="58">
        <v>13.28</v>
      </c>
      <c r="Q730" s="59">
        <v>39.9715447038785</v>
      </c>
      <c r="R730" s="59">
        <v>1.3579197476188101</v>
      </c>
      <c r="S730" s="59">
        <v>0.87454759613453104</v>
      </c>
      <c r="X730" s="2">
        <f t="shared" si="33"/>
        <v>0.60028455296121497</v>
      </c>
      <c r="Y730" s="2">
        <f>SUMIF(收盤價!A:A,A730,收盤價!C:C)</f>
        <v>9.9</v>
      </c>
      <c r="Z730" s="2">
        <f t="shared" si="34"/>
        <v>2246976</v>
      </c>
      <c r="AA730" s="2">
        <f t="shared" si="35"/>
        <v>1675080</v>
      </c>
    </row>
    <row r="731" spans="1:27" ht="14.5" customHeight="1">
      <c r="A731" s="19" t="s">
        <v>5409</v>
      </c>
      <c r="B731" s="3" t="s">
        <v>755</v>
      </c>
      <c r="C731" s="20">
        <v>4709422</v>
      </c>
      <c r="D731" s="20">
        <v>4481851</v>
      </c>
      <c r="E731" s="56">
        <v>5.08</v>
      </c>
      <c r="F731" s="57">
        <v>159568</v>
      </c>
      <c r="G731" s="57">
        <v>-44251</v>
      </c>
      <c r="H731" s="57">
        <v>3538</v>
      </c>
      <c r="I731" s="57">
        <v>105439</v>
      </c>
      <c r="J731" s="57">
        <v>132724</v>
      </c>
      <c r="K731" s="57">
        <v>11266</v>
      </c>
      <c r="L731" s="56">
        <v>1078.0899999999999</v>
      </c>
      <c r="M731" s="20">
        <v>1424846</v>
      </c>
      <c r="N731" s="56">
        <v>0.93</v>
      </c>
      <c r="O731" s="56">
        <v>0.08</v>
      </c>
      <c r="P731" s="58">
        <v>18.04</v>
      </c>
      <c r="Q731" s="59">
        <v>54.266695664659302</v>
      </c>
      <c r="R731" s="59">
        <v>1.69111506712799</v>
      </c>
      <c r="S731" s="59">
        <v>1.2705526425868501</v>
      </c>
      <c r="X731" s="2">
        <f t="shared" si="33"/>
        <v>0.45733304335340697</v>
      </c>
      <c r="Y731" s="2">
        <f>SUMIF(收盤價!A:A,A731,收盤價!C:C)</f>
        <v>29.1</v>
      </c>
      <c r="Z731" s="2">
        <f t="shared" si="34"/>
        <v>2570422.1839999999</v>
      </c>
      <c r="AA731" s="2">
        <f t="shared" si="35"/>
        <v>4146301.8600000003</v>
      </c>
    </row>
    <row r="732" spans="1:27" ht="14.5" customHeight="1">
      <c r="A732" s="19" t="s">
        <v>5410</v>
      </c>
      <c r="B732" s="3" t="s">
        <v>763</v>
      </c>
      <c r="C732" s="20">
        <v>4438288</v>
      </c>
      <c r="D732" s="20">
        <v>5699786</v>
      </c>
      <c r="E732" s="56">
        <v>-22.13</v>
      </c>
      <c r="F732" s="57">
        <v>314114</v>
      </c>
      <c r="G732" s="57">
        <v>679197</v>
      </c>
      <c r="H732" s="57">
        <v>104020</v>
      </c>
      <c r="I732" s="57">
        <v>105806</v>
      </c>
      <c r="J732" s="57">
        <v>312390</v>
      </c>
      <c r="K732" s="57">
        <v>556388</v>
      </c>
      <c r="L732" s="56">
        <v>-43.85</v>
      </c>
      <c r="M732" s="20">
        <v>1492055</v>
      </c>
      <c r="N732" s="56">
        <v>2.09</v>
      </c>
      <c r="O732" s="56">
        <v>3.73</v>
      </c>
      <c r="P732" s="58">
        <v>16.84</v>
      </c>
      <c r="Q732" s="59">
        <v>39.193767957531698</v>
      </c>
      <c r="R732" s="59">
        <v>1.5440532900122399</v>
      </c>
      <c r="S732" s="59">
        <v>1.3116985593883701</v>
      </c>
      <c r="X732" s="2">
        <f t="shared" si="33"/>
        <v>0.608062320424683</v>
      </c>
      <c r="Y732" s="2">
        <f>SUMIF(收盤價!A:A,A732,收盤價!C:C)</f>
        <v>26.7</v>
      </c>
      <c r="Z732" s="2">
        <f t="shared" si="34"/>
        <v>2512620.62</v>
      </c>
      <c r="AA732" s="2">
        <f t="shared" si="35"/>
        <v>3983786.85</v>
      </c>
    </row>
    <row r="733" spans="1:27" ht="14.5" customHeight="1">
      <c r="A733" s="19" t="s">
        <v>5411</v>
      </c>
      <c r="B733" s="3" t="s">
        <v>769</v>
      </c>
      <c r="C733" s="20">
        <v>7038472</v>
      </c>
      <c r="D733" s="20">
        <v>8048055</v>
      </c>
      <c r="E733" s="56">
        <v>-12.54</v>
      </c>
      <c r="F733" s="57">
        <v>856662</v>
      </c>
      <c r="G733" s="57">
        <v>1153472</v>
      </c>
      <c r="H733" s="57">
        <v>-68098</v>
      </c>
      <c r="I733" s="57">
        <v>33211</v>
      </c>
      <c r="J733" s="57">
        <v>432991</v>
      </c>
      <c r="K733" s="57">
        <v>570746</v>
      </c>
      <c r="L733" s="56">
        <v>-24.14</v>
      </c>
      <c r="M733" s="20">
        <v>1292198</v>
      </c>
      <c r="N733" s="56">
        <v>3.35</v>
      </c>
      <c r="O733" s="56">
        <v>4.42</v>
      </c>
      <c r="P733" s="58">
        <v>26.08</v>
      </c>
      <c r="Q733" s="59">
        <v>32.7190013714524</v>
      </c>
      <c r="R733" s="59">
        <v>1.76513997943756</v>
      </c>
      <c r="S733" s="59">
        <v>1.33170856979295</v>
      </c>
      <c r="X733" s="2">
        <f t="shared" si="33"/>
        <v>0.67280998628547595</v>
      </c>
      <c r="Y733" s="2">
        <f>SUMIF(收盤價!A:A,A733,收盤價!C:C)</f>
        <v>43.95</v>
      </c>
      <c r="Z733" s="2">
        <f t="shared" si="34"/>
        <v>3370052.3839999996</v>
      </c>
      <c r="AA733" s="2">
        <f t="shared" si="35"/>
        <v>5679210.21</v>
      </c>
    </row>
    <row r="734" spans="1:27" ht="14.5" customHeight="1">
      <c r="A734" s="19" t="s">
        <v>5412</v>
      </c>
      <c r="B734" s="3" t="s">
        <v>773</v>
      </c>
      <c r="C734" s="20">
        <v>4994778</v>
      </c>
      <c r="D734" s="20">
        <v>5126570</v>
      </c>
      <c r="E734" s="56">
        <v>-2.57</v>
      </c>
      <c r="F734" s="57">
        <v>443542</v>
      </c>
      <c r="G734" s="57">
        <v>510600</v>
      </c>
      <c r="H734" s="57">
        <v>102994</v>
      </c>
      <c r="I734" s="57">
        <v>110105</v>
      </c>
      <c r="J734" s="57">
        <v>331508</v>
      </c>
      <c r="K734" s="57">
        <v>291394</v>
      </c>
      <c r="L734" s="56">
        <v>13.77</v>
      </c>
      <c r="M734" s="20">
        <v>1849683</v>
      </c>
      <c r="N734" s="56">
        <v>1.79</v>
      </c>
      <c r="O734" s="56">
        <v>1.58</v>
      </c>
      <c r="P734" s="58">
        <v>25.06</v>
      </c>
      <c r="Q734" s="59">
        <v>59.538833164762799</v>
      </c>
      <c r="R734" s="59">
        <v>3.1552855103610802</v>
      </c>
      <c r="S734" s="59">
        <v>2.5576311576283</v>
      </c>
      <c r="X734" s="2">
        <f t="shared" si="33"/>
        <v>0.404611668352372</v>
      </c>
      <c r="Y734" s="2">
        <f>SUMIF(收盤價!A:A,A734,收盤價!C:C)</f>
        <v>23.65</v>
      </c>
      <c r="Z734" s="2">
        <f t="shared" si="34"/>
        <v>4635305.5979999993</v>
      </c>
      <c r="AA734" s="2">
        <f t="shared" si="35"/>
        <v>4374500.2949999999</v>
      </c>
    </row>
    <row r="735" spans="1:27" ht="14.5" customHeight="1">
      <c r="A735" s="19" t="s">
        <v>5413</v>
      </c>
      <c r="B735" s="3" t="s">
        <v>777</v>
      </c>
      <c r="C735" s="20">
        <v>4509466</v>
      </c>
      <c r="D735" s="20">
        <v>6020511</v>
      </c>
      <c r="E735" s="56">
        <v>-25.1</v>
      </c>
      <c r="F735" s="57">
        <v>551503</v>
      </c>
      <c r="G735" s="57">
        <v>1587913</v>
      </c>
      <c r="H735" s="57">
        <v>67170</v>
      </c>
      <c r="I735" s="57">
        <v>-12939</v>
      </c>
      <c r="J735" s="57">
        <v>387280</v>
      </c>
      <c r="K735" s="57">
        <v>1354623</v>
      </c>
      <c r="L735" s="56">
        <v>-71.41</v>
      </c>
      <c r="M735" s="20">
        <v>1452490</v>
      </c>
      <c r="N735" s="56">
        <v>2.2999999999999998</v>
      </c>
      <c r="O735" s="56">
        <v>7.26</v>
      </c>
      <c r="P735" s="58">
        <v>36.74</v>
      </c>
      <c r="Q735" s="59">
        <v>67.631183085726505</v>
      </c>
      <c r="R735" s="59">
        <v>2.1563655818323899</v>
      </c>
      <c r="S735" s="59">
        <v>1.2816905080607801</v>
      </c>
      <c r="X735" s="2">
        <f t="shared" si="33"/>
        <v>0.32368816914273496</v>
      </c>
      <c r="Y735" s="2">
        <f>SUMIF(收盤價!A:A,A735,收盤價!C:C)</f>
        <v>53</v>
      </c>
      <c r="Z735" s="2">
        <f t="shared" si="34"/>
        <v>5336448.26</v>
      </c>
      <c r="AA735" s="2">
        <f t="shared" si="35"/>
        <v>7698197</v>
      </c>
    </row>
    <row r="736" spans="1:27" ht="14.5" customHeight="1">
      <c r="A736" s="19" t="s">
        <v>5414</v>
      </c>
      <c r="B736" s="3" t="s">
        <v>785</v>
      </c>
      <c r="C736" s="20">
        <v>1788578</v>
      </c>
      <c r="D736" s="20">
        <v>2037314</v>
      </c>
      <c r="E736" s="56">
        <v>-12.21</v>
      </c>
      <c r="F736" s="57">
        <v>18256</v>
      </c>
      <c r="G736" s="57">
        <v>85443</v>
      </c>
      <c r="H736" s="57">
        <v>155480</v>
      </c>
      <c r="I736" s="57">
        <v>101478</v>
      </c>
      <c r="J736" s="57">
        <v>158551</v>
      </c>
      <c r="K736" s="57">
        <v>166140</v>
      </c>
      <c r="L736" s="56">
        <v>-4.57</v>
      </c>
      <c r="M736" s="20">
        <v>1106188</v>
      </c>
      <c r="N736" s="56">
        <v>1.44</v>
      </c>
      <c r="O736" s="56">
        <v>1.5</v>
      </c>
      <c r="P736" s="58">
        <v>21.77</v>
      </c>
      <c r="Q736" s="59">
        <v>64.552459797431496</v>
      </c>
      <c r="R736" s="59">
        <v>1.4414022988505699</v>
      </c>
      <c r="S736" s="59">
        <v>1.12481655172414</v>
      </c>
      <c r="X736" s="2">
        <f t="shared" si="33"/>
        <v>0.35447540202568506</v>
      </c>
      <c r="Y736" s="2">
        <f>SUMIF(收盤價!A:A,A736,收盤價!C:C)</f>
        <v>20.55</v>
      </c>
      <c r="Z736" s="2">
        <f t="shared" si="34"/>
        <v>2408171.2759999996</v>
      </c>
      <c r="AA736" s="2">
        <f t="shared" si="35"/>
        <v>2273216.3400000003</v>
      </c>
    </row>
    <row r="737" spans="1:27" ht="14.5" customHeight="1">
      <c r="A737" s="19" t="s">
        <v>5415</v>
      </c>
      <c r="B737" s="3" t="s">
        <v>787</v>
      </c>
      <c r="C737" s="20">
        <v>2298489</v>
      </c>
      <c r="D737" s="20">
        <v>2691882</v>
      </c>
      <c r="E737" s="56">
        <v>-14.61</v>
      </c>
      <c r="F737" s="57">
        <v>137031</v>
      </c>
      <c r="G737" s="57">
        <v>217489</v>
      </c>
      <c r="H737" s="57">
        <v>15123</v>
      </c>
      <c r="I737" s="57">
        <v>80875</v>
      </c>
      <c r="J737" s="57">
        <v>121377</v>
      </c>
      <c r="K737" s="57">
        <v>260453</v>
      </c>
      <c r="L737" s="56">
        <v>-53.4</v>
      </c>
      <c r="M737" s="20">
        <v>1594210</v>
      </c>
      <c r="N737" s="56">
        <v>0.76</v>
      </c>
      <c r="O737" s="56">
        <v>1.63</v>
      </c>
      <c r="P737" s="58">
        <v>18.39</v>
      </c>
      <c r="Q737" s="59">
        <v>74.5673857113579</v>
      </c>
      <c r="R737" s="59">
        <v>4.1568575136680002</v>
      </c>
      <c r="S737" s="59">
        <v>2.9466891564957498</v>
      </c>
      <c r="X737" s="2">
        <f t="shared" si="33"/>
        <v>0.25432614288642097</v>
      </c>
      <c r="Y737" s="2">
        <f>SUMIF(收盤價!A:A,A737,收盤價!C:C)</f>
        <v>21.2</v>
      </c>
      <c r="Z737" s="2">
        <f t="shared" si="34"/>
        <v>2931752.1900000004</v>
      </c>
      <c r="AA737" s="2">
        <f t="shared" si="35"/>
        <v>3379725.2</v>
      </c>
    </row>
    <row r="738" spans="1:27" ht="14.5" customHeight="1">
      <c r="A738" s="19" t="s">
        <v>5416</v>
      </c>
      <c r="B738" s="3" t="s">
        <v>799</v>
      </c>
      <c r="C738" s="20">
        <v>30134180</v>
      </c>
      <c r="D738" s="20">
        <v>47755334</v>
      </c>
      <c r="E738" s="56">
        <v>-36.9</v>
      </c>
      <c r="F738" s="57">
        <v>7693709</v>
      </c>
      <c r="G738" s="57">
        <v>25201277</v>
      </c>
      <c r="H738" s="57">
        <v>1272859</v>
      </c>
      <c r="I738" s="57">
        <v>406626</v>
      </c>
      <c r="J738" s="57">
        <v>6648906</v>
      </c>
      <c r="K738" s="57">
        <v>19704564</v>
      </c>
      <c r="L738" s="56">
        <v>-66.260000000000005</v>
      </c>
      <c r="M738" s="20">
        <v>4858000</v>
      </c>
      <c r="N738" s="56">
        <v>13.72</v>
      </c>
      <c r="O738" s="56">
        <v>40.75</v>
      </c>
      <c r="P738" s="58">
        <v>69.77</v>
      </c>
      <c r="Q738" s="59">
        <v>56.239340121852102</v>
      </c>
      <c r="R738" s="59">
        <v>1.78169918279608</v>
      </c>
      <c r="S738" s="59">
        <v>1.29987313587914</v>
      </c>
      <c r="X738" s="2">
        <f t="shared" si="33"/>
        <v>0.43760659878147901</v>
      </c>
      <c r="Y738" s="2">
        <f>SUMIF(收盤價!A:A,A738,收盤價!C:C)</f>
        <v>239</v>
      </c>
      <c r="Z738" s="2">
        <f t="shared" si="34"/>
        <v>33894266</v>
      </c>
      <c r="AA738" s="2">
        <f t="shared" si="35"/>
        <v>116106200</v>
      </c>
    </row>
    <row r="739" spans="1:27" ht="14.5" customHeight="1">
      <c r="A739" s="19" t="s">
        <v>5417</v>
      </c>
      <c r="B739" s="3" t="s">
        <v>801</v>
      </c>
      <c r="C739" s="20">
        <v>2482446</v>
      </c>
      <c r="D739" s="20">
        <v>2400520</v>
      </c>
      <c r="E739" s="56">
        <v>3.41</v>
      </c>
      <c r="F739" s="57">
        <v>354944</v>
      </c>
      <c r="G739" s="57">
        <v>423229</v>
      </c>
      <c r="H739" s="57">
        <v>-44834</v>
      </c>
      <c r="I739" s="57">
        <v>5115</v>
      </c>
      <c r="J739" s="57">
        <v>228519</v>
      </c>
      <c r="K739" s="57">
        <v>342985</v>
      </c>
      <c r="L739" s="56">
        <v>-33.369999999999997</v>
      </c>
      <c r="M739" s="20">
        <v>1144373</v>
      </c>
      <c r="N739" s="56">
        <v>2</v>
      </c>
      <c r="O739" s="56">
        <v>3</v>
      </c>
      <c r="P739" s="58">
        <v>20.53</v>
      </c>
      <c r="Q739" s="59">
        <v>69.757839950886407</v>
      </c>
      <c r="R739" s="59">
        <v>2.9805384911000301</v>
      </c>
      <c r="S739" s="59">
        <v>2.1406830687113398</v>
      </c>
      <c r="X739" s="2">
        <f t="shared" si="33"/>
        <v>0.30242160049113592</v>
      </c>
      <c r="Y739" s="2">
        <f>SUMIF(收盤價!A:A,A739,收盤價!C:C)</f>
        <v>27.75</v>
      </c>
      <c r="Z739" s="2">
        <f t="shared" si="34"/>
        <v>2349397.7690000003</v>
      </c>
      <c r="AA739" s="2">
        <f t="shared" si="35"/>
        <v>3175635.0750000002</v>
      </c>
    </row>
    <row r="740" spans="1:27" ht="14.5" customHeight="1">
      <c r="A740" s="19" t="s">
        <v>5418</v>
      </c>
      <c r="B740" s="3" t="s">
        <v>1035</v>
      </c>
      <c r="C740" s="20">
        <v>3502493</v>
      </c>
      <c r="D740" s="20">
        <v>3534677</v>
      </c>
      <c r="E740" s="56">
        <v>-0.91</v>
      </c>
      <c r="F740" s="57">
        <v>578079</v>
      </c>
      <c r="G740" s="57">
        <v>655758</v>
      </c>
      <c r="H740" s="57">
        <v>1408</v>
      </c>
      <c r="I740" s="57">
        <v>88934</v>
      </c>
      <c r="J740" s="57">
        <v>422113</v>
      </c>
      <c r="K740" s="57">
        <v>478912</v>
      </c>
      <c r="L740" s="56">
        <v>-11.86</v>
      </c>
      <c r="M740" s="20">
        <v>1556549</v>
      </c>
      <c r="N740" s="56">
        <v>2.71</v>
      </c>
      <c r="O740" s="56">
        <v>3.08</v>
      </c>
      <c r="P740" s="58">
        <v>29.15</v>
      </c>
      <c r="Q740" s="59">
        <v>69.965090856604803</v>
      </c>
      <c r="R740" s="59">
        <v>3.4582185373330501</v>
      </c>
      <c r="S740" s="59">
        <v>2.4206018414455799</v>
      </c>
      <c r="X740" s="2">
        <f t="shared" si="33"/>
        <v>0.30034909143395194</v>
      </c>
      <c r="Y740" s="2">
        <f>SUMIF(收盤價!A:A,A740,收盤價!C:C)</f>
        <v>49.5</v>
      </c>
      <c r="Z740" s="2">
        <f t="shared" si="34"/>
        <v>4537340.335</v>
      </c>
      <c r="AA740" s="2">
        <f t="shared" si="35"/>
        <v>7704917.5499999998</v>
      </c>
    </row>
    <row r="741" spans="1:27" ht="14.5" customHeight="1">
      <c r="A741" s="19" t="s">
        <v>5419</v>
      </c>
      <c r="B741" s="3" t="s">
        <v>1047</v>
      </c>
      <c r="C741" s="20">
        <v>1349993</v>
      </c>
      <c r="D741" s="20">
        <v>1493314</v>
      </c>
      <c r="E741" s="56">
        <v>-9.6</v>
      </c>
      <c r="F741" s="57">
        <v>-104465</v>
      </c>
      <c r="G741" s="57">
        <v>-64034</v>
      </c>
      <c r="H741" s="57">
        <v>18895</v>
      </c>
      <c r="I741" s="57">
        <v>37561</v>
      </c>
      <c r="J741" s="57">
        <v>-87984</v>
      </c>
      <c r="K741" s="57">
        <v>-33314</v>
      </c>
      <c r="L741" s="56"/>
      <c r="M741" s="20">
        <v>1127192</v>
      </c>
      <c r="N741" s="56">
        <v>-0.78</v>
      </c>
      <c r="O741" s="56">
        <v>-0.3</v>
      </c>
      <c r="P741" s="58">
        <v>9.31</v>
      </c>
      <c r="Q741" s="59">
        <v>59.200901378190103</v>
      </c>
      <c r="R741" s="59">
        <v>1.81406445493641</v>
      </c>
      <c r="S741" s="59">
        <v>1.10825684212571</v>
      </c>
      <c r="X741" s="2">
        <f t="shared" si="33"/>
        <v>0.40799098621809898</v>
      </c>
      <c r="Y741" s="2">
        <f>SUMIF(收盤價!A:A,A741,收盤價!C:C)</f>
        <v>6.6</v>
      </c>
      <c r="Z741" s="2">
        <f t="shared" si="34"/>
        <v>1049415.7520000001</v>
      </c>
      <c r="AA741" s="2">
        <f t="shared" si="35"/>
        <v>743946.72</v>
      </c>
    </row>
    <row r="742" spans="1:27" ht="14.5" customHeight="1">
      <c r="A742" s="19" t="s">
        <v>5420</v>
      </c>
      <c r="B742" s="3" t="s">
        <v>1053</v>
      </c>
      <c r="C742" s="20">
        <v>14259326</v>
      </c>
      <c r="D742" s="20">
        <v>14522062</v>
      </c>
      <c r="E742" s="56">
        <v>-1.81</v>
      </c>
      <c r="F742" s="57">
        <v>-31559</v>
      </c>
      <c r="G742" s="57">
        <v>-246117</v>
      </c>
      <c r="H742" s="57">
        <v>225348</v>
      </c>
      <c r="I742" s="57">
        <v>331530</v>
      </c>
      <c r="J742" s="57">
        <v>135390</v>
      </c>
      <c r="K742" s="57">
        <v>77585</v>
      </c>
      <c r="L742" s="56">
        <v>74.510000000000005</v>
      </c>
      <c r="M742" s="20">
        <v>1922620</v>
      </c>
      <c r="N742" s="56">
        <v>0.7</v>
      </c>
      <c r="O742" s="56">
        <v>0.4</v>
      </c>
      <c r="P742" s="58">
        <v>45.69</v>
      </c>
      <c r="Q742" s="59">
        <v>55.781631200238103</v>
      </c>
      <c r="R742" s="59">
        <v>1.63019035670891</v>
      </c>
      <c r="S742" s="59">
        <v>1.250209422015</v>
      </c>
      <c r="X742" s="2">
        <f t="shared" si="33"/>
        <v>0.44218368799761898</v>
      </c>
      <c r="Y742" s="2">
        <f>SUMIF(收盤價!A:A,A742,收盤價!C:C)</f>
        <v>22</v>
      </c>
      <c r="Z742" s="2">
        <f t="shared" si="34"/>
        <v>8784450.7799999993</v>
      </c>
      <c r="AA742" s="2">
        <f t="shared" si="35"/>
        <v>4229764</v>
      </c>
    </row>
    <row r="743" spans="1:27" ht="14.5" customHeight="1">
      <c r="A743" s="19" t="s">
        <v>5421</v>
      </c>
      <c r="B743" s="3" t="s">
        <v>1063</v>
      </c>
      <c r="C743" s="20">
        <v>2510517</v>
      </c>
      <c r="D743" s="20">
        <v>2373890</v>
      </c>
      <c r="E743" s="56">
        <v>5.76</v>
      </c>
      <c r="F743" s="57">
        <v>181541</v>
      </c>
      <c r="G743" s="57">
        <v>161532</v>
      </c>
      <c r="H743" s="57">
        <v>7701</v>
      </c>
      <c r="I743" s="57">
        <v>15654</v>
      </c>
      <c r="J743" s="57">
        <v>136418</v>
      </c>
      <c r="K743" s="57">
        <v>124640</v>
      </c>
      <c r="L743" s="56">
        <v>9.4499999999999993</v>
      </c>
      <c r="M743" s="20">
        <v>958135</v>
      </c>
      <c r="N743" s="56">
        <v>1.44</v>
      </c>
      <c r="O743" s="56">
        <v>1.3</v>
      </c>
      <c r="P743" s="58">
        <v>12.87</v>
      </c>
      <c r="Q743" s="59">
        <v>50.166986851584397</v>
      </c>
      <c r="R743" s="59">
        <v>1.6685702382779</v>
      </c>
      <c r="S743" s="59">
        <v>1.0752705131842799</v>
      </c>
      <c r="X743" s="2">
        <f t="shared" si="33"/>
        <v>0.498330131484156</v>
      </c>
      <c r="Y743" s="2">
        <f>SUMIF(收盤價!A:A,A743,收盤價!C:C)</f>
        <v>15.75</v>
      </c>
      <c r="Z743" s="2">
        <f t="shared" si="34"/>
        <v>1233119.7449999999</v>
      </c>
      <c r="AA743" s="2">
        <f t="shared" si="35"/>
        <v>1509062.625</v>
      </c>
    </row>
    <row r="744" spans="1:27" ht="14.5" customHeight="1">
      <c r="A744" s="19" t="s">
        <v>5422</v>
      </c>
      <c r="B744" s="3" t="s">
        <v>1067</v>
      </c>
      <c r="C744" s="20">
        <v>17886170</v>
      </c>
      <c r="D744" s="20">
        <v>15645253</v>
      </c>
      <c r="E744" s="56">
        <v>14.32</v>
      </c>
      <c r="F744" s="57">
        <v>1892758</v>
      </c>
      <c r="G744" s="57">
        <v>1631689</v>
      </c>
      <c r="H744" s="57">
        <v>276405</v>
      </c>
      <c r="I744" s="57">
        <v>288379</v>
      </c>
      <c r="J744" s="57">
        <v>1718511</v>
      </c>
      <c r="K744" s="57">
        <v>1413477</v>
      </c>
      <c r="L744" s="56">
        <v>21.58</v>
      </c>
      <c r="M744" s="20">
        <v>2326694</v>
      </c>
      <c r="N744" s="56">
        <v>7.47</v>
      </c>
      <c r="O744" s="56">
        <v>6.26</v>
      </c>
      <c r="P744" s="58">
        <v>32.33</v>
      </c>
      <c r="Q744" s="59">
        <v>43.744087492283199</v>
      </c>
      <c r="R744" s="59">
        <v>1.53785410534908</v>
      </c>
      <c r="S744" s="59">
        <v>0.99937132059057099</v>
      </c>
      <c r="X744" s="2">
        <f t="shared" si="33"/>
        <v>0.56255912507716799</v>
      </c>
      <c r="Y744" s="2">
        <f>SUMIF(收盤價!A:A,A744,收盤價!C:C)</f>
        <v>124</v>
      </c>
      <c r="Z744" s="2">
        <f t="shared" si="34"/>
        <v>7522201.7019999996</v>
      </c>
      <c r="AA744" s="2">
        <f t="shared" si="35"/>
        <v>28851005.600000001</v>
      </c>
    </row>
    <row r="745" spans="1:27" ht="14.5" customHeight="1">
      <c r="A745" s="19" t="s">
        <v>5423</v>
      </c>
      <c r="B745" s="3" t="s">
        <v>1073</v>
      </c>
      <c r="C745" s="20">
        <v>14601179</v>
      </c>
      <c r="D745" s="20">
        <v>16350840</v>
      </c>
      <c r="E745" s="56">
        <v>-10.7</v>
      </c>
      <c r="F745" s="57">
        <v>862438</v>
      </c>
      <c r="G745" s="57">
        <v>3602120</v>
      </c>
      <c r="H745" s="57">
        <v>85632</v>
      </c>
      <c r="I745" s="57">
        <v>-80256</v>
      </c>
      <c r="J745" s="57">
        <v>792800</v>
      </c>
      <c r="K745" s="57">
        <v>2781612</v>
      </c>
      <c r="L745" s="56">
        <v>-71.5</v>
      </c>
      <c r="M745" s="20">
        <v>1579908</v>
      </c>
      <c r="N745" s="56">
        <v>5.0199999999999996</v>
      </c>
      <c r="O745" s="56">
        <v>17.61</v>
      </c>
      <c r="P745" s="58">
        <v>56.95</v>
      </c>
      <c r="Q745" s="59">
        <v>63.606303957640698</v>
      </c>
      <c r="R745" s="59">
        <v>2.3756631277976998</v>
      </c>
      <c r="S745" s="59">
        <v>1.7786179662049699</v>
      </c>
      <c r="X745" s="2">
        <f t="shared" si="33"/>
        <v>0.36393696042359303</v>
      </c>
      <c r="Y745" s="2">
        <f>SUMIF(收盤價!A:A,A745,收盤價!C:C)</f>
        <v>116</v>
      </c>
      <c r="Z745" s="2">
        <f t="shared" si="34"/>
        <v>8997576.0600000005</v>
      </c>
      <c r="AA745" s="2">
        <f t="shared" si="35"/>
        <v>18326932.800000001</v>
      </c>
    </row>
    <row r="746" spans="1:27" ht="14.5" customHeight="1">
      <c r="A746" s="19" t="s">
        <v>5424</v>
      </c>
      <c r="B746" s="3" t="s">
        <v>1085</v>
      </c>
      <c r="C746" s="20">
        <v>7689600</v>
      </c>
      <c r="D746" s="20">
        <v>7432967</v>
      </c>
      <c r="E746" s="56">
        <v>3.45</v>
      </c>
      <c r="F746" s="57">
        <v>316820</v>
      </c>
      <c r="G746" s="57">
        <v>493159</v>
      </c>
      <c r="H746" s="57">
        <v>131910</v>
      </c>
      <c r="I746" s="57">
        <v>171524</v>
      </c>
      <c r="J746" s="57">
        <v>280860</v>
      </c>
      <c r="K746" s="57">
        <v>418885</v>
      </c>
      <c r="L746" s="56">
        <v>-32.950000000000003</v>
      </c>
      <c r="M746" s="20">
        <v>1132856</v>
      </c>
      <c r="N746" s="56">
        <v>2.5</v>
      </c>
      <c r="O746" s="56">
        <v>3.7</v>
      </c>
      <c r="P746" s="58">
        <v>19.739999999999998</v>
      </c>
      <c r="Q746" s="59">
        <v>26.887504819584901</v>
      </c>
      <c r="R746" s="59">
        <v>1.3814489958696701</v>
      </c>
      <c r="S746" s="59">
        <v>1.01999500750521</v>
      </c>
      <c r="X746" s="2">
        <f t="shared" si="33"/>
        <v>0.73112495180415094</v>
      </c>
      <c r="Y746" s="2">
        <f>SUMIF(收盤價!A:A,A746,收盤價!C:C)</f>
        <v>28.25</v>
      </c>
      <c r="Z746" s="2">
        <f t="shared" si="34"/>
        <v>2236257.7439999999</v>
      </c>
      <c r="AA746" s="2">
        <f t="shared" si="35"/>
        <v>3200318.2</v>
      </c>
    </row>
    <row r="747" spans="1:27" ht="14.5" customHeight="1">
      <c r="A747" s="19" t="s">
        <v>5425</v>
      </c>
      <c r="B747" s="3" t="s">
        <v>1095</v>
      </c>
      <c r="C747" s="20">
        <v>82535553</v>
      </c>
      <c r="D747" s="20">
        <v>75732780</v>
      </c>
      <c r="E747" s="56">
        <v>8.98</v>
      </c>
      <c r="F747" s="57">
        <v>3493162</v>
      </c>
      <c r="G747" s="57">
        <v>1389562</v>
      </c>
      <c r="H747" s="57">
        <v>545322</v>
      </c>
      <c r="I747" s="57">
        <v>892253</v>
      </c>
      <c r="J747" s="57">
        <v>3259882</v>
      </c>
      <c r="K747" s="57">
        <v>1705306</v>
      </c>
      <c r="L747" s="56">
        <v>91.16</v>
      </c>
      <c r="M747" s="20">
        <v>15047323</v>
      </c>
      <c r="N747" s="56">
        <v>2.2400000000000002</v>
      </c>
      <c r="O747" s="56">
        <v>1.1499999999999999</v>
      </c>
      <c r="P747" s="58">
        <v>30.15</v>
      </c>
      <c r="Q747" s="59">
        <v>39.8284878120472</v>
      </c>
      <c r="R747" s="59">
        <v>1.37992254979701</v>
      </c>
      <c r="S747" s="59">
        <v>1.0905700055432099</v>
      </c>
      <c r="X747" s="2">
        <f t="shared" si="33"/>
        <v>0.60171512187952803</v>
      </c>
      <c r="Y747" s="2">
        <f>SUMIF(收盤價!A:A,A747,收盤價!C:C)</f>
        <v>42</v>
      </c>
      <c r="Z747" s="2">
        <f t="shared" si="34"/>
        <v>45367678.844999999</v>
      </c>
      <c r="AA747" s="2">
        <f t="shared" si="35"/>
        <v>63198756.600000001</v>
      </c>
    </row>
    <row r="748" spans="1:27" ht="14.5" customHeight="1">
      <c r="A748" s="19" t="s">
        <v>5426</v>
      </c>
      <c r="B748" s="3" t="s">
        <v>1103</v>
      </c>
      <c r="C748" s="20">
        <v>8430970</v>
      </c>
      <c r="D748" s="20">
        <v>8156268</v>
      </c>
      <c r="E748" s="56">
        <v>3.37</v>
      </c>
      <c r="F748" s="57">
        <v>632138</v>
      </c>
      <c r="G748" s="57">
        <v>533301</v>
      </c>
      <c r="H748" s="57">
        <v>132439</v>
      </c>
      <c r="I748" s="57">
        <v>200196</v>
      </c>
      <c r="J748" s="57">
        <v>671782</v>
      </c>
      <c r="K748" s="57">
        <v>644350</v>
      </c>
      <c r="L748" s="56">
        <v>4.26</v>
      </c>
      <c r="M748" s="20">
        <v>3097570</v>
      </c>
      <c r="N748" s="56">
        <v>2.17</v>
      </c>
      <c r="O748" s="56">
        <v>2.08</v>
      </c>
      <c r="P748" s="58">
        <v>28.08</v>
      </c>
      <c r="Q748" s="59">
        <v>65.060218703740105</v>
      </c>
      <c r="R748" s="59">
        <v>2.8410448847299099</v>
      </c>
      <c r="S748" s="59">
        <v>2.0293715150871501</v>
      </c>
      <c r="X748" s="2">
        <f t="shared" si="33"/>
        <v>0.34939781296259897</v>
      </c>
      <c r="Y748" s="2">
        <f>SUMIF(收盤價!A:A,A748,收盤價!C:C)</f>
        <v>47.3</v>
      </c>
      <c r="Z748" s="2">
        <f t="shared" si="34"/>
        <v>8697976.5599999987</v>
      </c>
      <c r="AA748" s="2">
        <f t="shared" si="35"/>
        <v>14651506.1</v>
      </c>
    </row>
    <row r="749" spans="1:27" ht="14.5" customHeight="1">
      <c r="A749" s="19" t="s">
        <v>5427</v>
      </c>
      <c r="B749" s="3" t="s">
        <v>1107</v>
      </c>
      <c r="C749" s="20">
        <v>54450944</v>
      </c>
      <c r="D749" s="20">
        <v>52105683</v>
      </c>
      <c r="E749" s="56">
        <v>4.5</v>
      </c>
      <c r="F749" s="57">
        <v>6770584</v>
      </c>
      <c r="G749" s="57">
        <v>5421885</v>
      </c>
      <c r="H749" s="57">
        <v>1027707</v>
      </c>
      <c r="I749" s="57">
        <v>1103388</v>
      </c>
      <c r="J749" s="57">
        <v>6037254</v>
      </c>
      <c r="K749" s="57">
        <v>4938398</v>
      </c>
      <c r="L749" s="56">
        <v>22.25</v>
      </c>
      <c r="M749" s="20">
        <v>5256059</v>
      </c>
      <c r="N749" s="56">
        <v>11.49</v>
      </c>
      <c r="O749" s="56">
        <v>9.4</v>
      </c>
      <c r="P749" s="58">
        <v>64.959999999999994</v>
      </c>
      <c r="Q749" s="59">
        <v>47.6799032783059</v>
      </c>
      <c r="R749" s="59">
        <v>1.5188726080533701</v>
      </c>
      <c r="S749" s="59">
        <v>1.29234258953723</v>
      </c>
      <c r="X749" s="2">
        <f t="shared" si="33"/>
        <v>0.52320096721694098</v>
      </c>
      <c r="Y749" s="2">
        <f>SUMIF(收盤價!A:A,A749,收盤價!C:C)</f>
        <v>125.5</v>
      </c>
      <c r="Z749" s="2">
        <f t="shared" si="34"/>
        <v>34143359.263999999</v>
      </c>
      <c r="AA749" s="2">
        <f t="shared" si="35"/>
        <v>65963540.450000003</v>
      </c>
    </row>
    <row r="750" spans="1:27" ht="14.5" customHeight="1">
      <c r="A750" s="19" t="s">
        <v>5428</v>
      </c>
      <c r="B750" s="3" t="s">
        <v>1133</v>
      </c>
      <c r="C750" s="20">
        <v>4522339</v>
      </c>
      <c r="D750" s="20">
        <v>4867659</v>
      </c>
      <c r="E750" s="56">
        <v>-7.09</v>
      </c>
      <c r="F750" s="57">
        <v>-65547</v>
      </c>
      <c r="G750" s="57">
        <v>-180554</v>
      </c>
      <c r="H750" s="57">
        <v>59671</v>
      </c>
      <c r="I750" s="57">
        <v>29676</v>
      </c>
      <c r="J750" s="57">
        <v>-15592</v>
      </c>
      <c r="K750" s="57">
        <v>-158416</v>
      </c>
      <c r="L750" s="56"/>
      <c r="M750" s="20">
        <v>1649374</v>
      </c>
      <c r="N750" s="56">
        <v>-0.1</v>
      </c>
      <c r="O750" s="56">
        <v>-0.94</v>
      </c>
      <c r="P750" s="58">
        <v>12.91</v>
      </c>
      <c r="Q750" s="59">
        <v>42.149400976644102</v>
      </c>
      <c r="R750" s="59">
        <v>1.26930574838324</v>
      </c>
      <c r="S750" s="59">
        <v>0.90328115736953896</v>
      </c>
      <c r="X750" s="2">
        <f t="shared" si="33"/>
        <v>0.57850599023355898</v>
      </c>
      <c r="Y750" s="2">
        <f>SUMIF(收盤價!A:A,A750,收盤價!C:C)</f>
        <v>7.15</v>
      </c>
      <c r="Z750" s="2">
        <f t="shared" si="34"/>
        <v>2129341.8339999998</v>
      </c>
      <c r="AA750" s="2">
        <f t="shared" si="35"/>
        <v>1179302.4100000001</v>
      </c>
    </row>
    <row r="751" spans="1:27" ht="14.5" customHeight="1">
      <c r="A751" s="19" t="s">
        <v>5429</v>
      </c>
      <c r="B751" s="3" t="s">
        <v>1141</v>
      </c>
      <c r="C751" s="20">
        <v>8820029</v>
      </c>
      <c r="D751" s="20">
        <v>10679189</v>
      </c>
      <c r="E751" s="56">
        <v>-17.41</v>
      </c>
      <c r="F751" s="57">
        <v>790026</v>
      </c>
      <c r="G751" s="57">
        <v>1852284</v>
      </c>
      <c r="H751" s="57">
        <v>28589</v>
      </c>
      <c r="I751" s="57">
        <v>119123</v>
      </c>
      <c r="J751" s="57">
        <v>593240</v>
      </c>
      <c r="K751" s="57">
        <v>1529066</v>
      </c>
      <c r="L751" s="56">
        <v>-61.2</v>
      </c>
      <c r="M751" s="20">
        <v>1786572</v>
      </c>
      <c r="N751" s="56">
        <v>3.32</v>
      </c>
      <c r="O751" s="56">
        <v>8.56</v>
      </c>
      <c r="P751" s="58">
        <v>23.45</v>
      </c>
      <c r="Q751" s="59">
        <v>57.296223593898098</v>
      </c>
      <c r="R751" s="59">
        <v>2.1609635966374099</v>
      </c>
      <c r="S751" s="59">
        <v>1.2959634840863701</v>
      </c>
      <c r="X751" s="2">
        <f t="shared" si="33"/>
        <v>0.42703776406101901</v>
      </c>
      <c r="Y751" s="2">
        <f>SUMIF(收盤價!A:A,A751,收盤價!C:C)</f>
        <v>53.1</v>
      </c>
      <c r="Z751" s="2">
        <f t="shared" si="34"/>
        <v>4189511.34</v>
      </c>
      <c r="AA751" s="2">
        <f t="shared" si="35"/>
        <v>9486697.3200000003</v>
      </c>
    </row>
    <row r="752" spans="1:27" ht="14.5" customHeight="1">
      <c r="A752" s="21" t="s">
        <v>5430</v>
      </c>
      <c r="B752" s="22" t="s">
        <v>1156</v>
      </c>
      <c r="C752" s="23">
        <v>563837</v>
      </c>
      <c r="D752" s="23">
        <v>459443</v>
      </c>
      <c r="E752" s="60">
        <v>22.72</v>
      </c>
      <c r="F752" s="61">
        <v>-135659</v>
      </c>
      <c r="G752" s="61">
        <v>-83591</v>
      </c>
      <c r="H752" s="61">
        <v>-25547</v>
      </c>
      <c r="I752" s="61">
        <v>11188</v>
      </c>
      <c r="J752" s="61">
        <v>-152692</v>
      </c>
      <c r="K752" s="61">
        <v>-71925</v>
      </c>
      <c r="L752" s="60"/>
      <c r="M752" s="23">
        <v>935159</v>
      </c>
      <c r="N752" s="60">
        <v>-1.63</v>
      </c>
      <c r="O752" s="60">
        <v>-0.77</v>
      </c>
      <c r="P752" s="62">
        <v>5.98</v>
      </c>
      <c r="Q752" s="63">
        <v>63.078624627102897</v>
      </c>
      <c r="R752" s="63">
        <v>2.2377926535050499</v>
      </c>
      <c r="S752" s="63">
        <v>1.8210899841264401</v>
      </c>
      <c r="X752" s="2">
        <f t="shared" si="33"/>
        <v>0.36921375372897103</v>
      </c>
      <c r="Y752" s="2">
        <f>SUMIF(收盤價!A:A,A752,收盤價!C:C)</f>
        <v>12.65</v>
      </c>
      <c r="Z752" s="2">
        <f t="shared" si="34"/>
        <v>559225.08200000005</v>
      </c>
      <c r="AA752" s="2">
        <f t="shared" si="35"/>
        <v>1182976.135</v>
      </c>
    </row>
    <row r="753" spans="1:27" ht="14.5" customHeight="1">
      <c r="A753" s="24" t="s">
        <v>5431</v>
      </c>
      <c r="B753" s="25" t="s">
        <v>1163</v>
      </c>
      <c r="C753" s="26">
        <v>2813327</v>
      </c>
      <c r="D753" s="26">
        <v>3140740</v>
      </c>
      <c r="E753" s="64">
        <v>-10.42</v>
      </c>
      <c r="F753" s="65">
        <v>85243</v>
      </c>
      <c r="G753" s="65">
        <v>62347</v>
      </c>
      <c r="H753" s="65">
        <v>-49341</v>
      </c>
      <c r="I753" s="65">
        <v>48439</v>
      </c>
      <c r="J753" s="65">
        <v>26037</v>
      </c>
      <c r="K753" s="65">
        <v>99160</v>
      </c>
      <c r="L753" s="64">
        <v>-73.739999999999995</v>
      </c>
      <c r="M753" s="26">
        <v>982244</v>
      </c>
      <c r="N753" s="64">
        <v>0.27</v>
      </c>
      <c r="O753" s="64">
        <v>1.01</v>
      </c>
      <c r="P753" s="66">
        <v>15.19</v>
      </c>
      <c r="Q753" s="67">
        <v>68.012021564079305</v>
      </c>
      <c r="R753" s="67">
        <v>2.8389547952235299</v>
      </c>
      <c r="S753" s="67">
        <v>2.3327921444584199</v>
      </c>
      <c r="X753" s="2">
        <f t="shared" si="33"/>
        <v>0.31987978435920694</v>
      </c>
      <c r="Y753" s="2">
        <f>SUMIF(收盤價!A:A,A753,收盤價!C:C)</f>
        <v>14.75</v>
      </c>
      <c r="Z753" s="2">
        <f t="shared" si="34"/>
        <v>1492028.6359999999</v>
      </c>
      <c r="AA753" s="2">
        <f t="shared" si="35"/>
        <v>1448809.9</v>
      </c>
    </row>
    <row r="754" spans="1:27" ht="14.5" customHeight="1">
      <c r="A754" s="19" t="s">
        <v>5432</v>
      </c>
      <c r="B754" s="3" t="s">
        <v>1167</v>
      </c>
      <c r="C754" s="20">
        <v>603756</v>
      </c>
      <c r="D754" s="20">
        <v>751682</v>
      </c>
      <c r="E754" s="56">
        <v>-19.68</v>
      </c>
      <c r="F754" s="57">
        <v>-97942</v>
      </c>
      <c r="G754" s="57">
        <v>-167986</v>
      </c>
      <c r="H754" s="57">
        <v>3893</v>
      </c>
      <c r="I754" s="57">
        <v>18314</v>
      </c>
      <c r="J754" s="57">
        <v>-93425</v>
      </c>
      <c r="K754" s="57">
        <v>-154500</v>
      </c>
      <c r="L754" s="56"/>
      <c r="M754" s="20">
        <v>985696</v>
      </c>
      <c r="N754" s="56">
        <v>-0.95</v>
      </c>
      <c r="O754" s="56">
        <v>-1.57</v>
      </c>
      <c r="P754" s="58">
        <v>7.93</v>
      </c>
      <c r="Q754" s="59">
        <v>46.521696419800499</v>
      </c>
      <c r="R754" s="59">
        <v>1.3600521149489999</v>
      </c>
      <c r="S754" s="59">
        <v>1.03103208326548</v>
      </c>
      <c r="X754" s="2">
        <f t="shared" si="33"/>
        <v>0.53478303580199504</v>
      </c>
      <c r="Y754" s="2">
        <f>SUMIF(收盤價!A:A,A754,收盤價!C:C)</f>
        <v>5.91</v>
      </c>
      <c r="Z754" s="2">
        <f t="shared" si="34"/>
        <v>781656.92799999996</v>
      </c>
      <c r="AA754" s="2">
        <f t="shared" si="35"/>
        <v>582546.33600000001</v>
      </c>
    </row>
    <row r="755" spans="1:27" ht="14.5" customHeight="1">
      <c r="A755" s="19" t="s">
        <v>5433</v>
      </c>
      <c r="B755" s="3" t="s">
        <v>1172</v>
      </c>
      <c r="C755" s="20">
        <v>2279609</v>
      </c>
      <c r="D755" s="20">
        <v>2413285</v>
      </c>
      <c r="E755" s="56">
        <v>-5.54</v>
      </c>
      <c r="F755" s="57">
        <v>-346980</v>
      </c>
      <c r="G755" s="57">
        <v>-382096</v>
      </c>
      <c r="H755" s="57">
        <v>-51479</v>
      </c>
      <c r="I755" s="57">
        <v>29939</v>
      </c>
      <c r="J755" s="57">
        <v>-393298</v>
      </c>
      <c r="K755" s="57">
        <v>-338170</v>
      </c>
      <c r="L755" s="56"/>
      <c r="M755" s="20">
        <v>1262185</v>
      </c>
      <c r="N755" s="56">
        <v>-4.22</v>
      </c>
      <c r="O755" s="56">
        <v>-4.8499999999999996</v>
      </c>
      <c r="P755" s="58">
        <v>6.82</v>
      </c>
      <c r="Q755" s="59">
        <v>31.3501074922284</v>
      </c>
      <c r="R755" s="59">
        <v>0.735959958078934</v>
      </c>
      <c r="S755" s="59">
        <v>0.59298307188983201</v>
      </c>
      <c r="X755" s="2">
        <f t="shared" si="33"/>
        <v>0.68649892507771593</v>
      </c>
      <c r="Y755" s="2">
        <f>SUMIF(收盤價!A:A,A755,收盤價!C:C)</f>
        <v>16.05</v>
      </c>
      <c r="Z755" s="2">
        <f t="shared" si="34"/>
        <v>860810.17000000016</v>
      </c>
      <c r="AA755" s="2">
        <f t="shared" si="35"/>
        <v>2025806.925</v>
      </c>
    </row>
    <row r="756" spans="1:27" ht="14.5" customHeight="1">
      <c r="A756" s="19" t="s">
        <v>5434</v>
      </c>
      <c r="B756" s="3" t="s">
        <v>1174</v>
      </c>
      <c r="C756" s="20">
        <v>4669367</v>
      </c>
      <c r="D756" s="20">
        <v>3459839</v>
      </c>
      <c r="E756" s="56">
        <v>34.96</v>
      </c>
      <c r="F756" s="57">
        <v>442613</v>
      </c>
      <c r="G756" s="57">
        <v>138649</v>
      </c>
      <c r="H756" s="57">
        <v>-24816</v>
      </c>
      <c r="I756" s="57">
        <v>25757</v>
      </c>
      <c r="J756" s="57">
        <v>292582</v>
      </c>
      <c r="K756" s="57">
        <v>136896</v>
      </c>
      <c r="L756" s="56">
        <v>113.73</v>
      </c>
      <c r="M756" s="20">
        <v>872090</v>
      </c>
      <c r="N756" s="56">
        <v>3.38</v>
      </c>
      <c r="O756" s="56">
        <v>1.8</v>
      </c>
      <c r="P756" s="58">
        <v>18.41</v>
      </c>
      <c r="Q756" s="59">
        <v>37.058288971128498</v>
      </c>
      <c r="R756" s="59">
        <v>1.5680752258811299</v>
      </c>
      <c r="S756" s="59">
        <v>1.2560513300894001</v>
      </c>
      <c r="X756" s="2">
        <f t="shared" si="33"/>
        <v>0.62941711028871505</v>
      </c>
      <c r="Y756" s="2">
        <f>SUMIF(收盤價!A:A,A756,收盤價!C:C)</f>
        <v>94.7</v>
      </c>
      <c r="Z756" s="2">
        <f t="shared" si="34"/>
        <v>1605517.69</v>
      </c>
      <c r="AA756" s="2">
        <f t="shared" si="35"/>
        <v>8258692.2999999998</v>
      </c>
    </row>
    <row r="757" spans="1:27" ht="14.5" customHeight="1">
      <c r="A757" s="19" t="s">
        <v>5435</v>
      </c>
      <c r="B757" s="3" t="s">
        <v>1180</v>
      </c>
      <c r="C757" s="20">
        <v>11818610</v>
      </c>
      <c r="D757" s="20">
        <v>9644924</v>
      </c>
      <c r="E757" s="56">
        <v>22.54</v>
      </c>
      <c r="F757" s="57">
        <v>1928026</v>
      </c>
      <c r="G757" s="57">
        <v>1507370</v>
      </c>
      <c r="H757" s="57">
        <v>83351</v>
      </c>
      <c r="I757" s="57">
        <v>215020</v>
      </c>
      <c r="J757" s="57">
        <v>1297956</v>
      </c>
      <c r="K757" s="57">
        <v>1191456</v>
      </c>
      <c r="L757" s="56">
        <v>8.94</v>
      </c>
      <c r="M757" s="20">
        <v>1812543</v>
      </c>
      <c r="N757" s="56">
        <v>7.25</v>
      </c>
      <c r="O757" s="56">
        <v>6.67</v>
      </c>
      <c r="P757" s="58">
        <v>74.180000000000007</v>
      </c>
      <c r="Q757" s="59">
        <v>68.855307231757806</v>
      </c>
      <c r="R757" s="59">
        <v>2.3615862863202599</v>
      </c>
      <c r="S757" s="59">
        <v>1.2749917759001601</v>
      </c>
      <c r="X757" s="2">
        <f t="shared" si="33"/>
        <v>0.31144692768242194</v>
      </c>
      <c r="Y757" s="2">
        <f>SUMIF(收盤價!A:A,A757,收盤價!C:C)</f>
        <v>129</v>
      </c>
      <c r="Z757" s="2">
        <f t="shared" si="34"/>
        <v>13445443.974000001</v>
      </c>
      <c r="AA757" s="2">
        <f t="shared" si="35"/>
        <v>23381804.699999999</v>
      </c>
    </row>
    <row r="758" spans="1:27" ht="14.5" customHeight="1">
      <c r="A758" s="19" t="s">
        <v>5436</v>
      </c>
      <c r="B758" s="3" t="s">
        <v>1194</v>
      </c>
      <c r="C758" s="20">
        <v>53254</v>
      </c>
      <c r="D758" s="20">
        <v>114022</v>
      </c>
      <c r="E758" s="56">
        <v>-53.29</v>
      </c>
      <c r="F758" s="57">
        <v>-19759</v>
      </c>
      <c r="G758" s="57">
        <v>-36922</v>
      </c>
      <c r="H758" s="57">
        <v>96228</v>
      </c>
      <c r="I758" s="57">
        <v>393394</v>
      </c>
      <c r="J758" s="57">
        <v>45350</v>
      </c>
      <c r="K758" s="57">
        <v>279623</v>
      </c>
      <c r="L758" s="56">
        <v>-83.78</v>
      </c>
      <c r="M758" s="20">
        <v>665860</v>
      </c>
      <c r="N758" s="56">
        <v>0.68</v>
      </c>
      <c r="O758" s="56">
        <v>4.2</v>
      </c>
      <c r="P758" s="58">
        <v>22.7</v>
      </c>
      <c r="Q758" s="59">
        <v>75.697132132666098</v>
      </c>
      <c r="R758" s="59">
        <v>5.6918193317955197</v>
      </c>
      <c r="S758" s="59">
        <v>4.9630508222338001</v>
      </c>
      <c r="X758" s="2">
        <f t="shared" si="33"/>
        <v>0.24302867867333902</v>
      </c>
      <c r="Y758" s="2">
        <f>SUMIF(收盤價!A:A,A758,收盤價!C:C)</f>
        <v>13.4</v>
      </c>
      <c r="Z758" s="2">
        <f t="shared" si="34"/>
        <v>1511502.2</v>
      </c>
      <c r="AA758" s="2">
        <f t="shared" si="35"/>
        <v>892252.4</v>
      </c>
    </row>
    <row r="759" spans="1:27" ht="14.5" customHeight="1">
      <c r="A759" s="19" t="s">
        <v>5437</v>
      </c>
      <c r="B759" s="3" t="s">
        <v>1208</v>
      </c>
      <c r="C759" s="20">
        <v>4861898</v>
      </c>
      <c r="D759" s="20">
        <v>5522112</v>
      </c>
      <c r="E759" s="56">
        <v>-11.96</v>
      </c>
      <c r="F759" s="57">
        <v>613886</v>
      </c>
      <c r="G759" s="57">
        <v>767313</v>
      </c>
      <c r="H759" s="57">
        <v>100395</v>
      </c>
      <c r="I759" s="57">
        <v>170446</v>
      </c>
      <c r="J759" s="57">
        <v>520487</v>
      </c>
      <c r="K759" s="57">
        <v>707876</v>
      </c>
      <c r="L759" s="56">
        <v>-26.47</v>
      </c>
      <c r="M759" s="20">
        <v>1182579</v>
      </c>
      <c r="N759" s="56">
        <v>4.4000000000000004</v>
      </c>
      <c r="O759" s="56">
        <v>5.99</v>
      </c>
      <c r="P759" s="58">
        <v>49.32</v>
      </c>
      <c r="Q759" s="59">
        <v>75.436360746524301</v>
      </c>
      <c r="R759" s="59">
        <v>3.3267790060432501</v>
      </c>
      <c r="S759" s="59">
        <v>2.33030626322721</v>
      </c>
      <c r="X759" s="2">
        <f t="shared" si="33"/>
        <v>0.245636392534757</v>
      </c>
      <c r="Y759" s="2">
        <f>SUMIF(收盤價!A:A,A759,收盤價!C:C)</f>
        <v>50.4</v>
      </c>
      <c r="Z759" s="2">
        <f t="shared" si="34"/>
        <v>5832479.6280000005</v>
      </c>
      <c r="AA759" s="2">
        <f t="shared" si="35"/>
        <v>5960198.1600000001</v>
      </c>
    </row>
    <row r="760" spans="1:27" ht="14.5" customHeight="1">
      <c r="A760" s="19" t="s">
        <v>5438</v>
      </c>
      <c r="B760" s="3" t="s">
        <v>1221</v>
      </c>
      <c r="C760" s="20">
        <v>15088872</v>
      </c>
      <c r="D760" s="20">
        <v>13311518</v>
      </c>
      <c r="E760" s="56">
        <v>13.35</v>
      </c>
      <c r="F760" s="57">
        <v>2750624</v>
      </c>
      <c r="G760" s="57">
        <v>1982440</v>
      </c>
      <c r="H760" s="57">
        <v>81137</v>
      </c>
      <c r="I760" s="57">
        <v>171857</v>
      </c>
      <c r="J760" s="57">
        <v>2076043</v>
      </c>
      <c r="K760" s="57">
        <v>1608567</v>
      </c>
      <c r="L760" s="56">
        <v>29.06</v>
      </c>
      <c r="M760" s="20">
        <v>1034779</v>
      </c>
      <c r="N760" s="56">
        <v>20.11</v>
      </c>
      <c r="O760" s="56">
        <v>17.21</v>
      </c>
      <c r="P760" s="58">
        <v>114.18</v>
      </c>
      <c r="Q760" s="59">
        <v>72.574856611027698</v>
      </c>
      <c r="R760" s="59">
        <v>3.1400467011462698</v>
      </c>
      <c r="S760" s="59">
        <v>2.5530797252134998</v>
      </c>
      <c r="X760" s="2">
        <f t="shared" si="33"/>
        <v>0.27425143388972301</v>
      </c>
      <c r="Y760" s="2">
        <f>SUMIF(收盤價!A:A,A760,收盤價!C:C)</f>
        <v>322.5</v>
      </c>
      <c r="Z760" s="2">
        <f t="shared" si="34"/>
        <v>11815106.622000001</v>
      </c>
      <c r="AA760" s="2">
        <f t="shared" si="35"/>
        <v>33371622.75</v>
      </c>
    </row>
    <row r="761" spans="1:27" ht="14.5" customHeight="1">
      <c r="A761" s="19" t="s">
        <v>5439</v>
      </c>
      <c r="B761" s="3" t="s">
        <v>1229</v>
      </c>
      <c r="C761" s="20">
        <v>3529149</v>
      </c>
      <c r="D761" s="20">
        <v>4096096</v>
      </c>
      <c r="E761" s="56">
        <v>-13.84</v>
      </c>
      <c r="F761" s="57">
        <v>93375</v>
      </c>
      <c r="G761" s="57">
        <v>188720</v>
      </c>
      <c r="H761" s="57">
        <v>12929</v>
      </c>
      <c r="I761" s="57">
        <v>26954</v>
      </c>
      <c r="J761" s="57">
        <v>49211</v>
      </c>
      <c r="K761" s="57">
        <v>116663</v>
      </c>
      <c r="L761" s="56">
        <v>-57.82</v>
      </c>
      <c r="M761" s="20">
        <v>850000</v>
      </c>
      <c r="N761" s="56">
        <v>0.57999999999999996</v>
      </c>
      <c r="O761" s="56">
        <v>1.37</v>
      </c>
      <c r="P761" s="58">
        <v>21.44</v>
      </c>
      <c r="Q761" s="59">
        <v>46.704553811353001</v>
      </c>
      <c r="R761" s="59">
        <v>2.0841711113897801</v>
      </c>
      <c r="S761" s="59">
        <v>1.8249382265246199</v>
      </c>
      <c r="X761" s="2">
        <f t="shared" si="33"/>
        <v>0.53295446188647</v>
      </c>
      <c r="Y761" s="2">
        <f>SUMIF(收盤價!A:A,A761,收盤價!C:C)</f>
        <v>14.55</v>
      </c>
      <c r="Z761" s="2">
        <f t="shared" si="34"/>
        <v>1822400</v>
      </c>
      <c r="AA761" s="2">
        <f t="shared" si="35"/>
        <v>1236750</v>
      </c>
    </row>
    <row r="762" spans="1:27" ht="14.5" customHeight="1">
      <c r="A762" s="19" t="s">
        <v>5440</v>
      </c>
      <c r="B762" s="3" t="s">
        <v>1243</v>
      </c>
      <c r="C762" s="20">
        <v>516522</v>
      </c>
      <c r="D762" s="20">
        <v>820205</v>
      </c>
      <c r="E762" s="56">
        <v>-37.03</v>
      </c>
      <c r="F762" s="57">
        <v>-140935</v>
      </c>
      <c r="G762" s="57">
        <v>-64481</v>
      </c>
      <c r="H762" s="57">
        <v>-30058</v>
      </c>
      <c r="I762" s="57">
        <v>-40354</v>
      </c>
      <c r="J762" s="57">
        <v>-176940</v>
      </c>
      <c r="K762" s="57">
        <v>-146504</v>
      </c>
      <c r="L762" s="56"/>
      <c r="M762" s="20">
        <v>830425</v>
      </c>
      <c r="N762" s="56">
        <v>-2.59</v>
      </c>
      <c r="O762" s="56">
        <v>-2.3199999999999998</v>
      </c>
      <c r="P762" s="58">
        <v>5.27</v>
      </c>
      <c r="Q762" s="59">
        <v>41.290321362593303</v>
      </c>
      <c r="R762" s="59">
        <v>0.40030956757279701</v>
      </c>
      <c r="S762" s="59">
        <v>0.24474996538230301</v>
      </c>
      <c r="X762" s="2">
        <f t="shared" si="33"/>
        <v>0.58709678637406693</v>
      </c>
      <c r="Y762" s="2">
        <f>SUMIF(收盤價!A:A,A762,收盤價!C:C)</f>
        <v>8.68</v>
      </c>
      <c r="Z762" s="2">
        <f t="shared" si="34"/>
        <v>437633.97499999998</v>
      </c>
      <c r="AA762" s="2">
        <f t="shared" si="35"/>
        <v>720808.9</v>
      </c>
    </row>
    <row r="763" spans="1:27" ht="14.5" customHeight="1">
      <c r="A763" s="19" t="s">
        <v>5441</v>
      </c>
      <c r="B763" s="3" t="s">
        <v>1247</v>
      </c>
      <c r="C763" s="20">
        <v>7311836</v>
      </c>
      <c r="D763" s="20">
        <v>6710893</v>
      </c>
      <c r="E763" s="56">
        <v>8.9499999999999993</v>
      </c>
      <c r="F763" s="57">
        <v>268488</v>
      </c>
      <c r="G763" s="57">
        <v>135332</v>
      </c>
      <c r="H763" s="57">
        <v>87545</v>
      </c>
      <c r="I763" s="57">
        <v>117071</v>
      </c>
      <c r="J763" s="57">
        <v>311498</v>
      </c>
      <c r="K763" s="57">
        <v>234843</v>
      </c>
      <c r="L763" s="56">
        <v>32.64</v>
      </c>
      <c r="M763" s="20">
        <v>1223959</v>
      </c>
      <c r="N763" s="56">
        <v>2.5499999999999998</v>
      </c>
      <c r="O763" s="56">
        <v>1.92</v>
      </c>
      <c r="P763" s="58">
        <v>34.64</v>
      </c>
      <c r="Q763" s="59">
        <v>45.469315248526001</v>
      </c>
      <c r="R763" s="59">
        <v>1.6146033408912699</v>
      </c>
      <c r="S763" s="59">
        <v>1.2309393663400701</v>
      </c>
      <c r="X763" s="2">
        <f t="shared" si="33"/>
        <v>0.54530684751474001</v>
      </c>
      <c r="Y763" s="2">
        <f>SUMIF(收盤價!A:A,A763,收盤價!C:C)</f>
        <v>31</v>
      </c>
      <c r="Z763" s="2">
        <f t="shared" si="34"/>
        <v>4239793.9759999998</v>
      </c>
      <c r="AA763" s="2">
        <f t="shared" si="35"/>
        <v>3794272.9</v>
      </c>
    </row>
    <row r="764" spans="1:27" ht="14.5" customHeight="1">
      <c r="A764" s="19" t="s">
        <v>5442</v>
      </c>
      <c r="B764" s="3" t="s">
        <v>1249</v>
      </c>
      <c r="C764" s="20">
        <v>4313919</v>
      </c>
      <c r="D764" s="20">
        <v>5499980</v>
      </c>
      <c r="E764" s="56">
        <v>-21.56</v>
      </c>
      <c r="F764" s="57">
        <v>-747369</v>
      </c>
      <c r="G764" s="57">
        <v>-662106</v>
      </c>
      <c r="H764" s="57">
        <v>146016</v>
      </c>
      <c r="I764" s="57">
        <v>-42694</v>
      </c>
      <c r="J764" s="57">
        <v>-566859</v>
      </c>
      <c r="K764" s="57">
        <v>-837986</v>
      </c>
      <c r="L764" s="56"/>
      <c r="M764" s="20">
        <v>1216622</v>
      </c>
      <c r="N764" s="56">
        <v>-4.66</v>
      </c>
      <c r="O764" s="56">
        <v>-6.89</v>
      </c>
      <c r="P764" s="58">
        <v>25.92</v>
      </c>
      <c r="Q764" s="59">
        <v>63.4487979780925</v>
      </c>
      <c r="R764" s="59">
        <v>1.91282422804205</v>
      </c>
      <c r="S764" s="59">
        <v>1.45433925077438</v>
      </c>
      <c r="X764" s="2">
        <f t="shared" si="33"/>
        <v>0.36551202021907497</v>
      </c>
      <c r="Y764" s="2">
        <f>SUMIF(收盤價!A:A,A764,收盤價!C:C)</f>
        <v>16.899999999999999</v>
      </c>
      <c r="Z764" s="2">
        <f t="shared" si="34"/>
        <v>3153484.2240000004</v>
      </c>
      <c r="AA764" s="2">
        <f t="shared" si="35"/>
        <v>2056091.1799999997</v>
      </c>
    </row>
    <row r="765" spans="1:27" ht="14.5" customHeight="1">
      <c r="A765" s="19" t="s">
        <v>5443</v>
      </c>
      <c r="B765" s="3" t="s">
        <v>1255</v>
      </c>
      <c r="C765" s="20">
        <v>1760484</v>
      </c>
      <c r="D765" s="20">
        <v>2268611</v>
      </c>
      <c r="E765" s="56">
        <v>-22.4</v>
      </c>
      <c r="F765" s="57">
        <v>150430</v>
      </c>
      <c r="G765" s="57">
        <v>475544</v>
      </c>
      <c r="H765" s="57">
        <v>-13605</v>
      </c>
      <c r="I765" s="57">
        <v>19278</v>
      </c>
      <c r="J765" s="57">
        <v>106669</v>
      </c>
      <c r="K765" s="57">
        <v>394865</v>
      </c>
      <c r="L765" s="56">
        <v>-72.989999999999995</v>
      </c>
      <c r="M765" s="20">
        <v>1297385</v>
      </c>
      <c r="N765" s="56">
        <v>0.82</v>
      </c>
      <c r="O765" s="56">
        <v>3.05</v>
      </c>
      <c r="P765" s="58">
        <v>18.899999999999999</v>
      </c>
      <c r="Q765" s="59">
        <v>51.194114178620801</v>
      </c>
      <c r="R765" s="59">
        <v>1.3184142486518999</v>
      </c>
      <c r="S765" s="59">
        <v>0.87025731159850195</v>
      </c>
      <c r="X765" s="2">
        <f t="shared" si="33"/>
        <v>0.48805885821379197</v>
      </c>
      <c r="Y765" s="2">
        <f>SUMIF(收盤價!A:A,A765,收盤價!C:C)</f>
        <v>53</v>
      </c>
      <c r="Z765" s="2">
        <f t="shared" si="34"/>
        <v>2452057.65</v>
      </c>
      <c r="AA765" s="2">
        <f t="shared" si="35"/>
        <v>6876140.5</v>
      </c>
    </row>
    <row r="766" spans="1:27" ht="14.5" customHeight="1">
      <c r="A766" s="19" t="s">
        <v>5444</v>
      </c>
      <c r="B766" s="3" t="s">
        <v>1257</v>
      </c>
      <c r="C766" s="20">
        <v>5488520</v>
      </c>
      <c r="D766" s="20">
        <v>4681900</v>
      </c>
      <c r="E766" s="56">
        <v>17.23</v>
      </c>
      <c r="F766" s="57">
        <v>962463</v>
      </c>
      <c r="G766" s="57">
        <v>506179</v>
      </c>
      <c r="H766" s="57">
        <v>9129</v>
      </c>
      <c r="I766" s="57">
        <v>106409</v>
      </c>
      <c r="J766" s="57">
        <v>780539</v>
      </c>
      <c r="K766" s="57">
        <v>493679</v>
      </c>
      <c r="L766" s="56">
        <v>58.11</v>
      </c>
      <c r="M766" s="20">
        <v>1210254</v>
      </c>
      <c r="N766" s="56">
        <v>6.55</v>
      </c>
      <c r="O766" s="56">
        <v>4.6100000000000003</v>
      </c>
      <c r="P766" s="58">
        <v>48.9</v>
      </c>
      <c r="Q766" s="59">
        <v>80.356074593019002</v>
      </c>
      <c r="R766" s="59">
        <v>3.5432019506726999</v>
      </c>
      <c r="S766" s="59">
        <v>2.5057511774446102</v>
      </c>
      <c r="X766" s="2">
        <f t="shared" si="33"/>
        <v>0.19643925406980997</v>
      </c>
      <c r="Y766" s="2">
        <f>SUMIF(收盤價!A:A,A766,收盤價!C:C)</f>
        <v>234.5</v>
      </c>
      <c r="Z766" s="2">
        <f t="shared" si="34"/>
        <v>5918142.0600000005</v>
      </c>
      <c r="AA766" s="2">
        <f t="shared" si="35"/>
        <v>28380456.300000001</v>
      </c>
    </row>
    <row r="767" spans="1:27" ht="14.5" customHeight="1">
      <c r="A767" s="19" t="s">
        <v>5445</v>
      </c>
      <c r="B767" s="3" t="s">
        <v>1267</v>
      </c>
      <c r="C767" s="20">
        <v>3957144</v>
      </c>
      <c r="D767" s="20">
        <v>4218842</v>
      </c>
      <c r="E767" s="56">
        <v>-6.2</v>
      </c>
      <c r="F767" s="57">
        <v>379003</v>
      </c>
      <c r="G767" s="57">
        <v>318255</v>
      </c>
      <c r="H767" s="57">
        <v>45548</v>
      </c>
      <c r="I767" s="57">
        <v>141736</v>
      </c>
      <c r="J767" s="57">
        <v>337622</v>
      </c>
      <c r="K767" s="57">
        <v>241752</v>
      </c>
      <c r="L767" s="56">
        <v>39.659999999999997</v>
      </c>
      <c r="M767" s="20">
        <v>622962</v>
      </c>
      <c r="N767" s="56">
        <v>5.42</v>
      </c>
      <c r="O767" s="56">
        <v>3.35</v>
      </c>
      <c r="P767" s="58">
        <v>63.3</v>
      </c>
      <c r="Q767" s="59">
        <v>50.681146871944897</v>
      </c>
      <c r="R767" s="59">
        <v>2.9942953416433999</v>
      </c>
      <c r="S767" s="59">
        <v>2.7295018776461002</v>
      </c>
      <c r="X767" s="2">
        <f t="shared" si="33"/>
        <v>0.49318853128055101</v>
      </c>
      <c r="Y767" s="2">
        <f>SUMIF(收盤價!A:A,A767,收盤價!C:C)</f>
        <v>68</v>
      </c>
      <c r="Z767" s="2">
        <f t="shared" si="34"/>
        <v>3943349.46</v>
      </c>
      <c r="AA767" s="2">
        <f t="shared" si="35"/>
        <v>4236141.5999999996</v>
      </c>
    </row>
    <row r="768" spans="1:27" ht="14.5" customHeight="1">
      <c r="A768" s="19" t="s">
        <v>5446</v>
      </c>
      <c r="B768" s="3" t="s">
        <v>1337</v>
      </c>
      <c r="C768" s="20">
        <v>1797291</v>
      </c>
      <c r="D768" s="20">
        <v>2073532</v>
      </c>
      <c r="E768" s="56">
        <v>-13.32</v>
      </c>
      <c r="F768" s="57">
        <v>47780</v>
      </c>
      <c r="G768" s="57">
        <v>-53333</v>
      </c>
      <c r="H768" s="57">
        <v>-46113</v>
      </c>
      <c r="I768" s="57">
        <v>19124</v>
      </c>
      <c r="J768" s="57">
        <v>14160</v>
      </c>
      <c r="K768" s="57">
        <v>-56767</v>
      </c>
      <c r="L768" s="56"/>
      <c r="M768" s="20">
        <v>770000</v>
      </c>
      <c r="N768" s="56">
        <v>0.18</v>
      </c>
      <c r="O768" s="56">
        <v>-0.74</v>
      </c>
      <c r="P768" s="58">
        <v>22.24</v>
      </c>
      <c r="Q768" s="59">
        <v>57.997791731864801</v>
      </c>
      <c r="R768" s="59">
        <v>2.2447603055736001</v>
      </c>
      <c r="S768" s="59">
        <v>1.7760776189941301</v>
      </c>
      <c r="X768" s="2">
        <f t="shared" si="33"/>
        <v>0.42002208268135199</v>
      </c>
      <c r="Y768" s="2">
        <f>SUMIF(收盤價!A:A,A768,收盤價!C:C)</f>
        <v>25.3</v>
      </c>
      <c r="Z768" s="2">
        <f t="shared" si="34"/>
        <v>1712480</v>
      </c>
      <c r="AA768" s="2">
        <f t="shared" si="35"/>
        <v>1948100</v>
      </c>
    </row>
    <row r="769" spans="1:27" ht="14.5" customHeight="1">
      <c r="A769" s="19" t="s">
        <v>5447</v>
      </c>
      <c r="B769" s="3" t="s">
        <v>1389</v>
      </c>
      <c r="C769" s="20">
        <v>5042657</v>
      </c>
      <c r="D769" s="20">
        <v>6043090</v>
      </c>
      <c r="E769" s="56">
        <v>-16.55</v>
      </c>
      <c r="F769" s="57">
        <v>393883</v>
      </c>
      <c r="G769" s="57">
        <v>605959</v>
      </c>
      <c r="H769" s="57">
        <v>-57025</v>
      </c>
      <c r="I769" s="57">
        <v>-63795</v>
      </c>
      <c r="J769" s="57">
        <v>259447</v>
      </c>
      <c r="K769" s="57">
        <v>382474</v>
      </c>
      <c r="L769" s="56">
        <v>-32.17</v>
      </c>
      <c r="M769" s="20">
        <v>474720</v>
      </c>
      <c r="N769" s="56">
        <v>5.47</v>
      </c>
      <c r="O769" s="56">
        <v>9.67</v>
      </c>
      <c r="P769" s="58">
        <v>41.15</v>
      </c>
      <c r="Q769" s="59">
        <v>31.3735753910974</v>
      </c>
      <c r="R769" s="59">
        <v>1.3279937864808899</v>
      </c>
      <c r="S769" s="59">
        <v>1.02242112058531</v>
      </c>
      <c r="X769" s="2">
        <f t="shared" si="33"/>
        <v>0.68626424608902592</v>
      </c>
      <c r="Y769" s="2">
        <f>SUMIF(收盤價!A:A,A769,收盤價!C:C)</f>
        <v>109</v>
      </c>
      <c r="Z769" s="2">
        <f t="shared" si="34"/>
        <v>1953472.8</v>
      </c>
      <c r="AA769" s="2">
        <f t="shared" si="35"/>
        <v>5174448</v>
      </c>
    </row>
    <row r="770" spans="1:27" ht="14.5" customHeight="1">
      <c r="A770" s="19" t="s">
        <v>5448</v>
      </c>
      <c r="B770" s="3" t="s">
        <v>1391</v>
      </c>
      <c r="C770" s="20">
        <v>80649608</v>
      </c>
      <c r="D770" s="20">
        <v>64811408</v>
      </c>
      <c r="E770" s="56">
        <v>24.44</v>
      </c>
      <c r="F770" s="57">
        <v>2762627</v>
      </c>
      <c r="G770" s="57">
        <v>1942514</v>
      </c>
      <c r="H770" s="57">
        <v>151274</v>
      </c>
      <c r="I770" s="57">
        <v>421688</v>
      </c>
      <c r="J770" s="57">
        <v>2134870</v>
      </c>
      <c r="K770" s="57">
        <v>1826870</v>
      </c>
      <c r="L770" s="56">
        <v>16.86</v>
      </c>
      <c r="M770" s="20">
        <v>4485808</v>
      </c>
      <c r="N770" s="56">
        <v>4.8</v>
      </c>
      <c r="O770" s="56">
        <v>4.12</v>
      </c>
      <c r="P770" s="58">
        <v>27.44</v>
      </c>
      <c r="Q770" s="59">
        <v>23.158869252775101</v>
      </c>
      <c r="R770" s="59">
        <v>1.17163064375488</v>
      </c>
      <c r="S770" s="59">
        <v>0.813828498129745</v>
      </c>
      <c r="X770" s="2">
        <f t="shared" si="33"/>
        <v>0.76841130747224895</v>
      </c>
      <c r="Y770" s="2">
        <f>SUMIF(收盤價!A:A,A770,收盤價!C:C)</f>
        <v>63.4</v>
      </c>
      <c r="Z770" s="2">
        <f t="shared" si="34"/>
        <v>12309057.152000001</v>
      </c>
      <c r="AA770" s="2">
        <f t="shared" si="35"/>
        <v>28440022.719999999</v>
      </c>
    </row>
    <row r="771" spans="1:27" ht="14.5" customHeight="1">
      <c r="A771" s="19" t="s">
        <v>5449</v>
      </c>
      <c r="B771" s="3" t="s">
        <v>1397</v>
      </c>
      <c r="C771" s="20">
        <v>10387249</v>
      </c>
      <c r="D771" s="20">
        <v>11175098</v>
      </c>
      <c r="E771" s="56">
        <v>-7.05</v>
      </c>
      <c r="F771" s="57">
        <v>840789</v>
      </c>
      <c r="G771" s="57">
        <v>834539</v>
      </c>
      <c r="H771" s="57">
        <v>5116</v>
      </c>
      <c r="I771" s="57">
        <v>6023</v>
      </c>
      <c r="J771" s="57">
        <v>827051</v>
      </c>
      <c r="K771" s="57">
        <v>829425</v>
      </c>
      <c r="L771" s="56">
        <v>-0.28999999999999998</v>
      </c>
      <c r="M771" s="20">
        <v>1890409</v>
      </c>
      <c r="N771" s="56">
        <v>4.46</v>
      </c>
      <c r="O771" s="56">
        <v>5.45</v>
      </c>
      <c r="P771" s="58">
        <v>39.21</v>
      </c>
      <c r="Q771" s="59">
        <v>62.770309017984097</v>
      </c>
      <c r="R771" s="59">
        <v>1.4602253464492101</v>
      </c>
      <c r="S771" s="59">
        <v>0.92477045246435396</v>
      </c>
      <c r="X771" s="2">
        <f t="shared" si="33"/>
        <v>0.37229690982015901</v>
      </c>
      <c r="Y771" s="2">
        <f>SUMIF(收盤價!A:A,A771,收盤價!C:C)</f>
        <v>46</v>
      </c>
      <c r="Z771" s="2">
        <f t="shared" si="34"/>
        <v>7412293.6890000002</v>
      </c>
      <c r="AA771" s="2">
        <f t="shared" si="35"/>
        <v>8695881.4000000004</v>
      </c>
    </row>
    <row r="772" spans="1:27" ht="14.5" customHeight="1">
      <c r="A772" s="19" t="s">
        <v>5450</v>
      </c>
      <c r="B772" s="3" t="s">
        <v>1408</v>
      </c>
      <c r="C772" s="20">
        <v>5124518</v>
      </c>
      <c r="D772" s="20">
        <v>5757902</v>
      </c>
      <c r="E772" s="56">
        <v>-11</v>
      </c>
      <c r="F772" s="57">
        <v>549531</v>
      </c>
      <c r="G772" s="57">
        <v>1490187</v>
      </c>
      <c r="H772" s="57">
        <v>-87504</v>
      </c>
      <c r="I772" s="57">
        <v>-6652</v>
      </c>
      <c r="J772" s="57">
        <v>419892</v>
      </c>
      <c r="K772" s="57">
        <v>976545</v>
      </c>
      <c r="L772" s="56">
        <v>-57</v>
      </c>
      <c r="M772" s="20">
        <v>1366843</v>
      </c>
      <c r="N772" s="56">
        <v>3.28</v>
      </c>
      <c r="O772" s="56">
        <v>7.89</v>
      </c>
      <c r="P772" s="58">
        <v>37</v>
      </c>
      <c r="Q772" s="59">
        <v>49.089269128663702</v>
      </c>
      <c r="R772" s="59">
        <v>1.74009333471531</v>
      </c>
      <c r="S772" s="59">
        <v>1.5021719590888101</v>
      </c>
      <c r="X772" s="2">
        <f t="shared" si="33"/>
        <v>0.50910730871336296</v>
      </c>
      <c r="Y772" s="2">
        <f>SUMIF(收盤價!A:A,A772,收盤價!C:C)</f>
        <v>175.5</v>
      </c>
      <c r="Z772" s="2">
        <f t="shared" si="34"/>
        <v>5057319.0999999996</v>
      </c>
      <c r="AA772" s="2">
        <f t="shared" si="35"/>
        <v>23988094.649999999</v>
      </c>
    </row>
    <row r="773" spans="1:27" ht="14.5" customHeight="1">
      <c r="A773" s="19" t="s">
        <v>5451</v>
      </c>
      <c r="B773" s="3" t="s">
        <v>1414</v>
      </c>
      <c r="C773" s="20">
        <v>120067508</v>
      </c>
      <c r="D773" s="20">
        <v>117912881</v>
      </c>
      <c r="E773" s="56">
        <v>1.83</v>
      </c>
      <c r="F773" s="57">
        <v>14800808</v>
      </c>
      <c r="G773" s="57">
        <v>14845618</v>
      </c>
      <c r="H773" s="57">
        <v>150100</v>
      </c>
      <c r="I773" s="57">
        <v>-179056</v>
      </c>
      <c r="J773" s="57">
        <v>8685202</v>
      </c>
      <c r="K773" s="57">
        <v>8447792</v>
      </c>
      <c r="L773" s="56">
        <v>2.81</v>
      </c>
      <c r="M773" s="20">
        <v>9022299</v>
      </c>
      <c r="N773" s="56">
        <v>9.93</v>
      </c>
      <c r="O773" s="56">
        <v>10.5</v>
      </c>
      <c r="P773" s="58">
        <v>74.44</v>
      </c>
      <c r="Q773" s="59">
        <v>48.011910952951702</v>
      </c>
      <c r="R773" s="59">
        <v>2.1316315406813802</v>
      </c>
      <c r="S773" s="59">
        <v>1.7081573972547599</v>
      </c>
      <c r="X773" s="2">
        <f t="shared" ref="X773:X836" si="36">IF(W773&lt;&gt;"",ROUND(W773/U773,2),(100-Q773)/100)</f>
        <v>0.51988089047048303</v>
      </c>
      <c r="Y773" s="2">
        <f>SUMIF(收盤價!A:A,A773,收盤價!C:C)</f>
        <v>143</v>
      </c>
      <c r="Z773" s="2">
        <f t="shared" ref="Z773:Z836" si="37">IF(W773&lt;&gt;"",U773-W773,M773*P773/10)</f>
        <v>67161993.755999997</v>
      </c>
      <c r="AA773" s="2">
        <f t="shared" ref="AA773:AA836" si="38">Y773*M773/10</f>
        <v>129018875.7</v>
      </c>
    </row>
    <row r="774" spans="1:27" ht="14.5" customHeight="1">
      <c r="A774" s="19" t="s">
        <v>5452</v>
      </c>
      <c r="B774" s="3" t="s">
        <v>1428</v>
      </c>
      <c r="C774" s="20">
        <v>2984117</v>
      </c>
      <c r="D774" s="20">
        <v>3209423</v>
      </c>
      <c r="E774" s="56">
        <v>-7.02</v>
      </c>
      <c r="F774" s="57">
        <v>52645</v>
      </c>
      <c r="G774" s="57">
        <v>315143</v>
      </c>
      <c r="H774" s="57">
        <v>-9547</v>
      </c>
      <c r="I774" s="57">
        <v>36404</v>
      </c>
      <c r="J774" s="57">
        <v>34113</v>
      </c>
      <c r="K774" s="57">
        <v>276552</v>
      </c>
      <c r="L774" s="56">
        <v>-87.66</v>
      </c>
      <c r="M774" s="20">
        <v>1530850</v>
      </c>
      <c r="N774" s="56">
        <v>0.22</v>
      </c>
      <c r="O774" s="56">
        <v>1.88</v>
      </c>
      <c r="P774" s="58">
        <v>13.68</v>
      </c>
      <c r="Q774" s="59">
        <v>82.120982899296493</v>
      </c>
      <c r="R774" s="59">
        <v>6.0182303884489796</v>
      </c>
      <c r="S774" s="59">
        <v>4.6547141448281799</v>
      </c>
      <c r="X774" s="2">
        <f t="shared" si="36"/>
        <v>0.17879017100703506</v>
      </c>
      <c r="Y774" s="2">
        <f>SUMIF(收盤價!A:A,A774,收盤價!C:C)</f>
        <v>24.35</v>
      </c>
      <c r="Z774" s="2">
        <f t="shared" si="37"/>
        <v>2094202.8</v>
      </c>
      <c r="AA774" s="2">
        <f t="shared" si="38"/>
        <v>3727619.75</v>
      </c>
    </row>
    <row r="775" spans="1:27" ht="14.5" customHeight="1">
      <c r="A775" s="19" t="s">
        <v>5453</v>
      </c>
      <c r="B775" s="3" t="s">
        <v>1432</v>
      </c>
      <c r="C775" s="20">
        <v>2247357</v>
      </c>
      <c r="D775" s="20">
        <v>2438666</v>
      </c>
      <c r="E775" s="56">
        <v>-7.84</v>
      </c>
      <c r="F775" s="57">
        <v>307782</v>
      </c>
      <c r="G775" s="57">
        <v>539609</v>
      </c>
      <c r="H775" s="57">
        <v>-35542</v>
      </c>
      <c r="I775" s="57">
        <v>100880</v>
      </c>
      <c r="J775" s="57">
        <v>207093</v>
      </c>
      <c r="K775" s="57">
        <v>470172</v>
      </c>
      <c r="L775" s="56">
        <v>-55.95</v>
      </c>
      <c r="M775" s="20">
        <v>744172</v>
      </c>
      <c r="N775" s="56">
        <v>2.78</v>
      </c>
      <c r="O775" s="56">
        <v>6.33</v>
      </c>
      <c r="P775" s="58">
        <v>44.29</v>
      </c>
      <c r="Q775" s="59">
        <v>85.567360081239997</v>
      </c>
      <c r="R775" s="59">
        <v>5.43855310648821</v>
      </c>
      <c r="S775" s="59">
        <v>4.7825155913451596</v>
      </c>
      <c r="X775" s="2">
        <f t="shared" si="36"/>
        <v>0.14432639918760004</v>
      </c>
      <c r="Y775" s="2">
        <f>SUMIF(收盤價!A:A,A775,收盤價!C:C)</f>
        <v>43.6</v>
      </c>
      <c r="Z775" s="2">
        <f t="shared" si="37"/>
        <v>3295937.7879999997</v>
      </c>
      <c r="AA775" s="2">
        <f t="shared" si="38"/>
        <v>3244589.92</v>
      </c>
    </row>
    <row r="776" spans="1:27" ht="14.5" customHeight="1">
      <c r="A776" s="19" t="s">
        <v>5454</v>
      </c>
      <c r="B776" s="3" t="s">
        <v>1466</v>
      </c>
      <c r="C776" s="20">
        <v>43142275</v>
      </c>
      <c r="D776" s="20">
        <v>43768976</v>
      </c>
      <c r="E776" s="56">
        <v>-1.43</v>
      </c>
      <c r="F776" s="57">
        <v>3536784</v>
      </c>
      <c r="G776" s="57">
        <v>2321085</v>
      </c>
      <c r="H776" s="57">
        <v>801021</v>
      </c>
      <c r="I776" s="57">
        <v>280545</v>
      </c>
      <c r="J776" s="57">
        <v>2816904</v>
      </c>
      <c r="K776" s="57">
        <v>1595414</v>
      </c>
      <c r="L776" s="56">
        <v>76.56</v>
      </c>
      <c r="M776" s="20">
        <v>4914413</v>
      </c>
      <c r="N776" s="56">
        <v>6.05</v>
      </c>
      <c r="O776" s="56">
        <v>3.48</v>
      </c>
      <c r="P776" s="58">
        <v>51.21</v>
      </c>
      <c r="Q776" s="59">
        <v>35.685742726498397</v>
      </c>
      <c r="R776" s="59">
        <v>1.50590142061538</v>
      </c>
      <c r="S776" s="59">
        <v>1.10368094613372</v>
      </c>
      <c r="X776" s="2">
        <f t="shared" si="36"/>
        <v>0.64314257273501596</v>
      </c>
      <c r="Y776" s="2">
        <f>SUMIF(收盤價!A:A,A776,收盤價!C:C)</f>
        <v>43.9</v>
      </c>
      <c r="Z776" s="2">
        <f t="shared" si="37"/>
        <v>25166708.973000001</v>
      </c>
      <c r="AA776" s="2">
        <f t="shared" si="38"/>
        <v>21574273.07</v>
      </c>
    </row>
    <row r="777" spans="1:27" ht="14.5" customHeight="1">
      <c r="A777" s="19" t="s">
        <v>5455</v>
      </c>
      <c r="B777" s="3" t="s">
        <v>1510</v>
      </c>
      <c r="C777" s="20">
        <v>7917468</v>
      </c>
      <c r="D777" s="20">
        <v>8933156</v>
      </c>
      <c r="E777" s="56">
        <v>-11.37</v>
      </c>
      <c r="F777" s="57">
        <v>372285</v>
      </c>
      <c r="G777" s="57">
        <v>532846</v>
      </c>
      <c r="H777" s="57">
        <v>103097</v>
      </c>
      <c r="I777" s="57">
        <v>294763</v>
      </c>
      <c r="J777" s="57">
        <v>354752</v>
      </c>
      <c r="K777" s="57">
        <v>555628</v>
      </c>
      <c r="L777" s="56">
        <v>-36.15</v>
      </c>
      <c r="M777" s="20">
        <v>1598993</v>
      </c>
      <c r="N777" s="56">
        <v>2.2200000000000002</v>
      </c>
      <c r="O777" s="56">
        <v>3.47</v>
      </c>
      <c r="P777" s="58">
        <v>23.6</v>
      </c>
      <c r="Q777" s="59">
        <v>39.311718253441697</v>
      </c>
      <c r="R777" s="59">
        <v>1.2159913171386501</v>
      </c>
      <c r="S777" s="59">
        <v>1.03218066444835</v>
      </c>
      <c r="X777" s="2">
        <f t="shared" si="36"/>
        <v>0.60688281746558304</v>
      </c>
      <c r="Y777" s="2">
        <f>SUMIF(收盤價!A:A,A777,收盤價!C:C)</f>
        <v>26</v>
      </c>
      <c r="Z777" s="2">
        <f t="shared" si="37"/>
        <v>3773623.4800000004</v>
      </c>
      <c r="AA777" s="2">
        <f t="shared" si="38"/>
        <v>4157381.8</v>
      </c>
    </row>
    <row r="778" spans="1:27" ht="14.5" customHeight="1">
      <c r="A778" s="19" t="s">
        <v>5456</v>
      </c>
      <c r="B778" s="3" t="s">
        <v>1514</v>
      </c>
      <c r="C778" s="20">
        <v>6540704</v>
      </c>
      <c r="D778" s="20">
        <v>7041035</v>
      </c>
      <c r="E778" s="56">
        <v>-7.11</v>
      </c>
      <c r="F778" s="57">
        <v>690706</v>
      </c>
      <c r="G778" s="57">
        <v>616140</v>
      </c>
      <c r="H778" s="57">
        <v>142508</v>
      </c>
      <c r="I778" s="57">
        <v>213509</v>
      </c>
      <c r="J778" s="57">
        <v>573521</v>
      </c>
      <c r="K778" s="57">
        <v>526433</v>
      </c>
      <c r="L778" s="56">
        <v>8.94</v>
      </c>
      <c r="M778" s="20">
        <v>1876622</v>
      </c>
      <c r="N778" s="56">
        <v>3.06</v>
      </c>
      <c r="O778" s="56">
        <v>2.81</v>
      </c>
      <c r="P778" s="58">
        <v>25.73</v>
      </c>
      <c r="Q778" s="59">
        <v>60.028659618845701</v>
      </c>
      <c r="R778" s="59">
        <v>2.40319523364365</v>
      </c>
      <c r="S778" s="59">
        <v>1.9022083457187899</v>
      </c>
      <c r="X778" s="2">
        <f t="shared" si="36"/>
        <v>0.39971340381154297</v>
      </c>
      <c r="Y778" s="2">
        <f>SUMIF(收盤價!A:A,A778,收盤價!C:C)</f>
        <v>43.55</v>
      </c>
      <c r="Z778" s="2">
        <f t="shared" si="37"/>
        <v>4828548.4060000004</v>
      </c>
      <c r="AA778" s="2">
        <f t="shared" si="38"/>
        <v>8172688.8099999996</v>
      </c>
    </row>
    <row r="779" spans="1:27" ht="14.5" customHeight="1">
      <c r="A779" s="19" t="s">
        <v>5457</v>
      </c>
      <c r="B779" s="3" t="s">
        <v>1526</v>
      </c>
      <c r="C779" s="20">
        <v>1145115</v>
      </c>
      <c r="D779" s="20">
        <v>1078406</v>
      </c>
      <c r="E779" s="56">
        <v>6.19</v>
      </c>
      <c r="F779" s="57">
        <v>-3407</v>
      </c>
      <c r="G779" s="57">
        <v>-1404</v>
      </c>
      <c r="H779" s="57">
        <v>31582</v>
      </c>
      <c r="I779" s="57">
        <v>14369</v>
      </c>
      <c r="J779" s="57">
        <v>22143</v>
      </c>
      <c r="K779" s="57">
        <v>14315</v>
      </c>
      <c r="L779" s="56">
        <v>54.68</v>
      </c>
      <c r="M779" s="20">
        <v>1170064</v>
      </c>
      <c r="N779" s="56">
        <v>0.19</v>
      </c>
      <c r="O779" s="56">
        <v>0.12</v>
      </c>
      <c r="P779" s="58">
        <v>12.43</v>
      </c>
      <c r="Q779" s="59">
        <v>78.415958274454198</v>
      </c>
      <c r="R779" s="59">
        <v>2.4738970559328202</v>
      </c>
      <c r="S779" s="59">
        <v>1.4008628032719399</v>
      </c>
      <c r="X779" s="2">
        <f t="shared" si="36"/>
        <v>0.21584041725545802</v>
      </c>
      <c r="Y779" s="2">
        <f>SUMIF(收盤價!A:A,A779,收盤價!C:C)</f>
        <v>8.2100000000000009</v>
      </c>
      <c r="Z779" s="2">
        <f t="shared" si="37"/>
        <v>1454389.5519999999</v>
      </c>
      <c r="AA779" s="2">
        <f t="shared" si="38"/>
        <v>960622.54400000011</v>
      </c>
    </row>
    <row r="780" spans="1:27" ht="14.5" customHeight="1">
      <c r="A780" s="19" t="s">
        <v>5458</v>
      </c>
      <c r="B780" s="3" t="s">
        <v>1532</v>
      </c>
      <c r="C780" s="20">
        <v>3046243</v>
      </c>
      <c r="D780" s="20">
        <v>3998712</v>
      </c>
      <c r="E780" s="56">
        <v>-23.82</v>
      </c>
      <c r="F780" s="57">
        <v>218782</v>
      </c>
      <c r="G780" s="57">
        <v>99276</v>
      </c>
      <c r="H780" s="57">
        <v>346369</v>
      </c>
      <c r="I780" s="57">
        <v>-156986</v>
      </c>
      <c r="J780" s="57">
        <v>545412</v>
      </c>
      <c r="K780" s="57">
        <v>-88091</v>
      </c>
      <c r="L780" s="56"/>
      <c r="M780" s="20">
        <v>1299645</v>
      </c>
      <c r="N780" s="56">
        <v>4.2</v>
      </c>
      <c r="O780" s="56">
        <v>-0.68</v>
      </c>
      <c r="P780" s="58">
        <v>15.73</v>
      </c>
      <c r="Q780" s="59">
        <v>52.123243933588803</v>
      </c>
      <c r="R780" s="59">
        <v>1.07032799951484</v>
      </c>
      <c r="S780" s="59">
        <v>0.796658277526055</v>
      </c>
      <c r="X780" s="2">
        <f t="shared" si="36"/>
        <v>0.47876756066411197</v>
      </c>
      <c r="Y780" s="2">
        <f>SUMIF(收盤價!A:A,A780,收盤價!C:C)</f>
        <v>21.75</v>
      </c>
      <c r="Z780" s="2">
        <f t="shared" si="37"/>
        <v>2044341.5850000002</v>
      </c>
      <c r="AA780" s="2">
        <f t="shared" si="38"/>
        <v>2826727.875</v>
      </c>
    </row>
    <row r="781" spans="1:27" ht="14.5" customHeight="1">
      <c r="A781" s="19" t="s">
        <v>5459</v>
      </c>
      <c r="B781" s="3" t="s">
        <v>1538</v>
      </c>
      <c r="C781" s="20">
        <v>17028640</v>
      </c>
      <c r="D781" s="20">
        <v>15520376</v>
      </c>
      <c r="E781" s="56">
        <v>9.7200000000000006</v>
      </c>
      <c r="F781" s="57">
        <v>740826</v>
      </c>
      <c r="G781" s="57">
        <v>771108</v>
      </c>
      <c r="H781" s="57">
        <v>-113151</v>
      </c>
      <c r="I781" s="57">
        <v>257935</v>
      </c>
      <c r="J781" s="57">
        <v>411057</v>
      </c>
      <c r="K781" s="57">
        <v>800887</v>
      </c>
      <c r="L781" s="56">
        <v>-48.67</v>
      </c>
      <c r="M781" s="20">
        <v>5442796</v>
      </c>
      <c r="N781" s="56">
        <v>0.9</v>
      </c>
      <c r="O781" s="56">
        <v>2.02</v>
      </c>
      <c r="P781" s="58">
        <v>27.66</v>
      </c>
      <c r="Q781" s="59">
        <v>48.204180807345097</v>
      </c>
      <c r="R781" s="59">
        <v>2.0802704324321</v>
      </c>
      <c r="S781" s="59">
        <v>1.85510475236134</v>
      </c>
      <c r="X781" s="2">
        <f t="shared" si="36"/>
        <v>0.51795819192654902</v>
      </c>
      <c r="Y781" s="2">
        <f>SUMIF(收盤價!A:A,A781,收盤價!C:C)</f>
        <v>35.75</v>
      </c>
      <c r="Z781" s="2">
        <f t="shared" si="37"/>
        <v>15054773.736000001</v>
      </c>
      <c r="AA781" s="2">
        <f t="shared" si="38"/>
        <v>19457995.699999999</v>
      </c>
    </row>
    <row r="782" spans="1:27" ht="14.5" customHeight="1">
      <c r="A782" s="19" t="s">
        <v>5460</v>
      </c>
      <c r="B782" s="3" t="s">
        <v>1540</v>
      </c>
      <c r="C782" s="20">
        <v>649900</v>
      </c>
      <c r="D782" s="20">
        <v>722186</v>
      </c>
      <c r="E782" s="56">
        <v>-10.01</v>
      </c>
      <c r="F782" s="57">
        <v>48084</v>
      </c>
      <c r="G782" s="57">
        <v>75143</v>
      </c>
      <c r="H782" s="57">
        <v>48352</v>
      </c>
      <c r="I782" s="57">
        <v>83459</v>
      </c>
      <c r="J782" s="57">
        <v>80341</v>
      </c>
      <c r="K782" s="57">
        <v>127497</v>
      </c>
      <c r="L782" s="56">
        <v>-36.99</v>
      </c>
      <c r="M782" s="20">
        <v>866676</v>
      </c>
      <c r="N782" s="56">
        <v>0.93</v>
      </c>
      <c r="O782" s="56">
        <v>1.48</v>
      </c>
      <c r="P782" s="58">
        <v>16.59</v>
      </c>
      <c r="Q782" s="59">
        <v>66.572927975998994</v>
      </c>
      <c r="R782" s="59">
        <v>2.1126501392871702</v>
      </c>
      <c r="S782" s="59">
        <v>1.4519481202809701</v>
      </c>
      <c r="X782" s="2">
        <f t="shared" si="36"/>
        <v>0.33427072024001009</v>
      </c>
      <c r="Y782" s="2">
        <f>SUMIF(收盤價!A:A,A782,收盤價!C:C)</f>
        <v>29.4</v>
      </c>
      <c r="Z782" s="2">
        <f t="shared" si="37"/>
        <v>1437815.4839999999</v>
      </c>
      <c r="AA782" s="2">
        <f t="shared" si="38"/>
        <v>2548027.44</v>
      </c>
    </row>
    <row r="783" spans="1:27" ht="14.5" customHeight="1">
      <c r="A783" s="19" t="s">
        <v>5461</v>
      </c>
      <c r="B783" s="3" t="s">
        <v>1544</v>
      </c>
      <c r="C783" s="20">
        <v>2265</v>
      </c>
      <c r="D783" s="20">
        <v>7102</v>
      </c>
      <c r="E783" s="56">
        <v>-68.11</v>
      </c>
      <c r="F783" s="57">
        <v>-27123</v>
      </c>
      <c r="G783" s="57">
        <v>-16407</v>
      </c>
      <c r="H783" s="57">
        <v>116</v>
      </c>
      <c r="I783" s="57">
        <v>11840</v>
      </c>
      <c r="J783" s="57">
        <v>-27007</v>
      </c>
      <c r="K783" s="57">
        <v>-4567</v>
      </c>
      <c r="L783" s="56"/>
      <c r="M783" s="20">
        <v>496824</v>
      </c>
      <c r="N783" s="56">
        <v>-0.54</v>
      </c>
      <c r="O783" s="56">
        <v>-0.09</v>
      </c>
      <c r="P783" s="58">
        <v>8.06</v>
      </c>
      <c r="Q783" s="59">
        <v>94.757327957447202</v>
      </c>
      <c r="R783" s="59">
        <v>10.148333895934799</v>
      </c>
      <c r="S783" s="59">
        <v>3.6046679847615399</v>
      </c>
      <c r="X783" s="2">
        <f t="shared" si="36"/>
        <v>5.2426720425527977E-2</v>
      </c>
      <c r="Y783" s="2">
        <f>SUMIF(收盤價!A:A,A783,收盤價!C:C)</f>
        <v>18</v>
      </c>
      <c r="Z783" s="2">
        <f t="shared" si="37"/>
        <v>400440.14400000003</v>
      </c>
      <c r="AA783" s="2">
        <f t="shared" si="38"/>
        <v>894283.2</v>
      </c>
    </row>
    <row r="784" spans="1:27" ht="14.5" customHeight="1">
      <c r="A784" s="19" t="s">
        <v>5462</v>
      </c>
      <c r="B784" s="3" t="s">
        <v>1562</v>
      </c>
      <c r="C784" s="20">
        <v>21845651</v>
      </c>
      <c r="D784" s="20">
        <v>22297733</v>
      </c>
      <c r="E784" s="56">
        <v>-2.0299999999999998</v>
      </c>
      <c r="F784" s="57">
        <v>1053326</v>
      </c>
      <c r="G784" s="57">
        <v>628182</v>
      </c>
      <c r="H784" s="57">
        <v>99289</v>
      </c>
      <c r="I784" s="57">
        <v>11700</v>
      </c>
      <c r="J784" s="57">
        <v>1030115</v>
      </c>
      <c r="K784" s="57">
        <v>557330</v>
      </c>
      <c r="L784" s="56">
        <v>84.83</v>
      </c>
      <c r="M784" s="20">
        <v>5155469</v>
      </c>
      <c r="N784" s="56">
        <v>2.0099999999999998</v>
      </c>
      <c r="O784" s="56">
        <v>1.1000000000000001</v>
      </c>
      <c r="P784" s="58">
        <v>28.22</v>
      </c>
      <c r="Q784" s="59">
        <v>47.481999453323098</v>
      </c>
      <c r="R784" s="59">
        <v>1.40818702808074</v>
      </c>
      <c r="S784" s="59">
        <v>0.94384323575537199</v>
      </c>
      <c r="X784" s="2">
        <f t="shared" si="36"/>
        <v>0.52518000546676902</v>
      </c>
      <c r="Y784" s="2">
        <f>SUMIF(收盤價!A:A,A784,收盤價!C:C)</f>
        <v>17.149999999999999</v>
      </c>
      <c r="Z784" s="2">
        <f t="shared" si="37"/>
        <v>14548733.518000001</v>
      </c>
      <c r="AA784" s="2">
        <f t="shared" si="38"/>
        <v>8841629.334999999</v>
      </c>
    </row>
    <row r="785" spans="1:27" ht="14.5" customHeight="1">
      <c r="A785" s="19" t="s">
        <v>5463</v>
      </c>
      <c r="B785" s="3" t="s">
        <v>1568</v>
      </c>
      <c r="C785" s="20">
        <v>3609423</v>
      </c>
      <c r="D785" s="20">
        <v>3486163</v>
      </c>
      <c r="E785" s="56">
        <v>3.54</v>
      </c>
      <c r="F785" s="57">
        <v>217958</v>
      </c>
      <c r="G785" s="57">
        <v>139197</v>
      </c>
      <c r="H785" s="57">
        <v>90878</v>
      </c>
      <c r="I785" s="57">
        <v>209835</v>
      </c>
      <c r="J785" s="57">
        <v>288633</v>
      </c>
      <c r="K785" s="57">
        <v>277604</v>
      </c>
      <c r="L785" s="56">
        <v>3.97</v>
      </c>
      <c r="M785" s="20">
        <v>1220859</v>
      </c>
      <c r="N785" s="56">
        <v>2.4</v>
      </c>
      <c r="O785" s="56">
        <v>2.1800000000000002</v>
      </c>
      <c r="P785" s="58">
        <v>24.92</v>
      </c>
      <c r="Q785" s="59">
        <v>71.005900449920404</v>
      </c>
      <c r="R785" s="59">
        <v>3.3504994586452002</v>
      </c>
      <c r="S785" s="59">
        <v>2.0113486795650299</v>
      </c>
      <c r="X785" s="2">
        <f t="shared" si="36"/>
        <v>0.28994099550079594</v>
      </c>
      <c r="Y785" s="2">
        <f>SUMIF(收盤價!A:A,A785,收盤價!C:C)</f>
        <v>32.950000000000003</v>
      </c>
      <c r="Z785" s="2">
        <f t="shared" si="37"/>
        <v>3042380.628</v>
      </c>
      <c r="AA785" s="2">
        <f t="shared" si="38"/>
        <v>4022730.4050000003</v>
      </c>
    </row>
    <row r="786" spans="1:27" ht="14.5" customHeight="1">
      <c r="A786" s="19" t="s">
        <v>5464</v>
      </c>
      <c r="B786" s="3" t="s">
        <v>1574</v>
      </c>
      <c r="C786" s="20">
        <v>1176905</v>
      </c>
      <c r="D786" s="20">
        <v>1508724</v>
      </c>
      <c r="E786" s="56">
        <v>-21.99</v>
      </c>
      <c r="F786" s="57">
        <v>86963</v>
      </c>
      <c r="G786" s="57">
        <v>162092</v>
      </c>
      <c r="H786" s="57">
        <v>56315</v>
      </c>
      <c r="I786" s="57">
        <v>37118</v>
      </c>
      <c r="J786" s="57">
        <v>112710</v>
      </c>
      <c r="K786" s="57">
        <v>144312</v>
      </c>
      <c r="L786" s="56">
        <v>-21.9</v>
      </c>
      <c r="M786" s="20">
        <v>718391</v>
      </c>
      <c r="N786" s="56">
        <v>1.57</v>
      </c>
      <c r="O786" s="56">
        <v>2.0099999999999998</v>
      </c>
      <c r="P786" s="58">
        <v>24.36</v>
      </c>
      <c r="Q786" s="59">
        <v>77.524649882404404</v>
      </c>
      <c r="R786" s="59">
        <v>3.5559063679684701</v>
      </c>
      <c r="S786" s="59">
        <v>2.5040008780236298</v>
      </c>
      <c r="X786" s="2">
        <f t="shared" si="36"/>
        <v>0.22475350117595597</v>
      </c>
      <c r="Y786" s="2">
        <f>SUMIF(收盤價!A:A,A786,收盤價!C:C)</f>
        <v>57.39</v>
      </c>
      <c r="Z786" s="2">
        <f t="shared" si="37"/>
        <v>1750000.4759999998</v>
      </c>
      <c r="AA786" s="2">
        <f t="shared" si="38"/>
        <v>4122845.949</v>
      </c>
    </row>
    <row r="787" spans="1:27" ht="14.5" customHeight="1">
      <c r="A787" s="19" t="s">
        <v>5465</v>
      </c>
      <c r="B787" s="3" t="s">
        <v>1580</v>
      </c>
      <c r="C787" s="20">
        <v>23791315</v>
      </c>
      <c r="D787" s="20">
        <v>22401722</v>
      </c>
      <c r="E787" s="56">
        <v>6.2</v>
      </c>
      <c r="F787" s="57">
        <v>3103529</v>
      </c>
      <c r="G787" s="57">
        <v>1784390</v>
      </c>
      <c r="H787" s="57">
        <v>-9493</v>
      </c>
      <c r="I787" s="57">
        <v>407493</v>
      </c>
      <c r="J787" s="57">
        <v>2463300</v>
      </c>
      <c r="K787" s="57">
        <v>1774557</v>
      </c>
      <c r="L787" s="56">
        <v>38.81</v>
      </c>
      <c r="M787" s="20">
        <v>3029572</v>
      </c>
      <c r="N787" s="56">
        <v>8.1300000000000008</v>
      </c>
      <c r="O787" s="56">
        <v>5.86</v>
      </c>
      <c r="P787" s="58">
        <v>29.46</v>
      </c>
      <c r="Q787" s="59">
        <v>38.012771360969602</v>
      </c>
      <c r="R787" s="59">
        <v>1.4335252166978401</v>
      </c>
      <c r="S787" s="59">
        <v>1.1515165381022601</v>
      </c>
      <c r="X787" s="2">
        <f t="shared" si="36"/>
        <v>0.61987228639030401</v>
      </c>
      <c r="Y787" s="2">
        <f>SUMIF(收盤價!A:A,A787,收盤價!C:C)</f>
        <v>127.5</v>
      </c>
      <c r="Z787" s="2">
        <f t="shared" si="37"/>
        <v>8925119.1119999997</v>
      </c>
      <c r="AA787" s="2">
        <f t="shared" si="38"/>
        <v>38627043</v>
      </c>
    </row>
    <row r="788" spans="1:27" ht="14.5" customHeight="1">
      <c r="A788" s="19" t="s">
        <v>5466</v>
      </c>
      <c r="B788" s="3" t="s">
        <v>1588</v>
      </c>
      <c r="C788" s="20">
        <v>1655491</v>
      </c>
      <c r="D788" s="20">
        <v>1668641</v>
      </c>
      <c r="E788" s="56">
        <v>-0.79</v>
      </c>
      <c r="F788" s="57">
        <v>406460</v>
      </c>
      <c r="G788" s="57">
        <v>400958</v>
      </c>
      <c r="H788" s="57">
        <v>54550</v>
      </c>
      <c r="I788" s="57">
        <v>32083</v>
      </c>
      <c r="J788" s="57">
        <v>368067</v>
      </c>
      <c r="K788" s="57">
        <v>350035</v>
      </c>
      <c r="L788" s="56">
        <v>5.15</v>
      </c>
      <c r="M788" s="20">
        <v>800018</v>
      </c>
      <c r="N788" s="56">
        <v>4.5999999999999996</v>
      </c>
      <c r="O788" s="56">
        <v>4.38</v>
      </c>
      <c r="P788" s="58">
        <v>27.02</v>
      </c>
      <c r="Q788" s="59">
        <v>72.760535508753506</v>
      </c>
      <c r="R788" s="59">
        <v>3.2159336111327299</v>
      </c>
      <c r="S788" s="59">
        <v>2.7118108370062801</v>
      </c>
      <c r="X788" s="2">
        <f t="shared" si="36"/>
        <v>0.27239464491246496</v>
      </c>
      <c r="Y788" s="2">
        <f>SUMIF(收盤價!A:A,A788,收盤價!C:C)</f>
        <v>66.900000000000006</v>
      </c>
      <c r="Z788" s="2">
        <f t="shared" si="37"/>
        <v>2161648.6359999999</v>
      </c>
      <c r="AA788" s="2">
        <f t="shared" si="38"/>
        <v>5352120.42</v>
      </c>
    </row>
    <row r="789" spans="1:27" ht="14.5" customHeight="1">
      <c r="A789" s="19" t="s">
        <v>5467</v>
      </c>
      <c r="B789" s="3" t="s">
        <v>1602</v>
      </c>
      <c r="C789" s="20">
        <v>13717231</v>
      </c>
      <c r="D789" s="20">
        <v>13058285</v>
      </c>
      <c r="E789" s="56">
        <v>5.05</v>
      </c>
      <c r="F789" s="57">
        <v>525757</v>
      </c>
      <c r="G789" s="57">
        <v>-4595</v>
      </c>
      <c r="H789" s="57">
        <v>-289121</v>
      </c>
      <c r="I789" s="57">
        <v>-232227</v>
      </c>
      <c r="J789" s="57">
        <v>155306</v>
      </c>
      <c r="K789" s="57">
        <v>-240885</v>
      </c>
      <c r="L789" s="56"/>
      <c r="M789" s="20">
        <v>2810594</v>
      </c>
      <c r="N789" s="56">
        <v>0.55000000000000004</v>
      </c>
      <c r="O789" s="56">
        <v>-0.86</v>
      </c>
      <c r="P789" s="58">
        <v>13.91</v>
      </c>
      <c r="Q789" s="59">
        <v>28.923306640881599</v>
      </c>
      <c r="R789" s="59">
        <v>0.91911650511877097</v>
      </c>
      <c r="S789" s="59">
        <v>0.64827874022818599</v>
      </c>
      <c r="X789" s="2">
        <f t="shared" si="36"/>
        <v>0.71076693359118392</v>
      </c>
      <c r="Y789" s="2">
        <f>SUMIF(收盤價!A:A,A789,收盤價!C:C)</f>
        <v>17.2</v>
      </c>
      <c r="Z789" s="2">
        <f t="shared" si="37"/>
        <v>3909536.2539999997</v>
      </c>
      <c r="AA789" s="2">
        <f t="shared" si="38"/>
        <v>4834221.68</v>
      </c>
    </row>
    <row r="790" spans="1:27" ht="14.5" customHeight="1">
      <c r="A790" s="19" t="s">
        <v>5468</v>
      </c>
      <c r="B790" s="3" t="s">
        <v>1606</v>
      </c>
      <c r="C790" s="20">
        <v>26033230</v>
      </c>
      <c r="D790" s="20">
        <v>26770491</v>
      </c>
      <c r="E790" s="56">
        <v>-2.75</v>
      </c>
      <c r="F790" s="57">
        <v>3797113</v>
      </c>
      <c r="G790" s="57">
        <v>3152974</v>
      </c>
      <c r="H790" s="57">
        <v>204656</v>
      </c>
      <c r="I790" s="57">
        <v>327729</v>
      </c>
      <c r="J790" s="57">
        <v>3153203</v>
      </c>
      <c r="K790" s="57">
        <v>2644712</v>
      </c>
      <c r="L790" s="56">
        <v>19.23</v>
      </c>
      <c r="M790" s="20">
        <v>3346328</v>
      </c>
      <c r="N790" s="56">
        <v>10.02</v>
      </c>
      <c r="O790" s="56">
        <v>8.5500000000000007</v>
      </c>
      <c r="P790" s="58">
        <v>66.349999999999994</v>
      </c>
      <c r="Q790" s="59">
        <v>63.6442828310363</v>
      </c>
      <c r="R790" s="59">
        <v>3.1906302562178999</v>
      </c>
      <c r="S790" s="59">
        <v>1.88572686458845</v>
      </c>
      <c r="X790" s="2">
        <f t="shared" si="36"/>
        <v>0.36355717168963703</v>
      </c>
      <c r="Y790" s="2">
        <f>SUMIF(收盤價!A:A,A790,收盤價!C:C)</f>
        <v>114.5</v>
      </c>
      <c r="Z790" s="2">
        <f t="shared" si="37"/>
        <v>22202886.279999997</v>
      </c>
      <c r="AA790" s="2">
        <f t="shared" si="38"/>
        <v>38315455.600000001</v>
      </c>
    </row>
    <row r="791" spans="1:27" ht="14.5" customHeight="1">
      <c r="A791" s="19" t="s">
        <v>5469</v>
      </c>
      <c r="B791" s="3" t="s">
        <v>1616</v>
      </c>
      <c r="C791" s="20">
        <v>20583559</v>
      </c>
      <c r="D791" s="20">
        <v>18732663</v>
      </c>
      <c r="E791" s="56">
        <v>9.8800000000000008</v>
      </c>
      <c r="F791" s="57">
        <v>87212</v>
      </c>
      <c r="G791" s="57">
        <v>23991</v>
      </c>
      <c r="H791" s="57">
        <v>2832778</v>
      </c>
      <c r="I791" s="57">
        <v>1720740</v>
      </c>
      <c r="J791" s="57">
        <v>1484573</v>
      </c>
      <c r="K791" s="57">
        <v>1005422</v>
      </c>
      <c r="L791" s="56">
        <v>47.66</v>
      </c>
      <c r="M791" s="20">
        <v>5166213</v>
      </c>
      <c r="N791" s="56">
        <v>2.87</v>
      </c>
      <c r="O791" s="56">
        <v>1.95</v>
      </c>
      <c r="P791" s="58">
        <v>17.899999999999999</v>
      </c>
      <c r="Q791" s="59">
        <v>41.287185228260803</v>
      </c>
      <c r="R791" s="59">
        <v>1.5643284423030701</v>
      </c>
      <c r="S791" s="59">
        <v>0.999937738869913</v>
      </c>
      <c r="X791" s="2">
        <f t="shared" si="36"/>
        <v>0.58712814771739197</v>
      </c>
      <c r="Y791" s="2">
        <f>SUMIF(收盤價!A:A,A791,收盤價!C:C)</f>
        <v>24.15</v>
      </c>
      <c r="Z791" s="2">
        <f t="shared" si="37"/>
        <v>9247521.2699999996</v>
      </c>
      <c r="AA791" s="2">
        <f t="shared" si="38"/>
        <v>12476404.395</v>
      </c>
    </row>
    <row r="792" spans="1:27" ht="14.5" customHeight="1">
      <c r="A792" s="19" t="s">
        <v>5470</v>
      </c>
      <c r="B792" s="3" t="s">
        <v>1630</v>
      </c>
      <c r="C792" s="20">
        <v>34415370</v>
      </c>
      <c r="D792" s="20">
        <v>31292361</v>
      </c>
      <c r="E792" s="56">
        <v>9.98</v>
      </c>
      <c r="F792" s="57">
        <v>2200169</v>
      </c>
      <c r="G792" s="57">
        <v>1422343</v>
      </c>
      <c r="H792" s="57">
        <v>19638</v>
      </c>
      <c r="I792" s="57">
        <v>-87677</v>
      </c>
      <c r="J792" s="57">
        <v>1720487</v>
      </c>
      <c r="K792" s="57">
        <v>1030209</v>
      </c>
      <c r="L792" s="56">
        <v>67</v>
      </c>
      <c r="M792" s="20">
        <v>3867154</v>
      </c>
      <c r="N792" s="56">
        <v>4.51</v>
      </c>
      <c r="O792" s="56">
        <v>2.72</v>
      </c>
      <c r="P792" s="58">
        <v>21.67</v>
      </c>
      <c r="Q792" s="59">
        <v>38.045670642718299</v>
      </c>
      <c r="R792" s="59">
        <v>1.3089165593658501</v>
      </c>
      <c r="S792" s="59">
        <v>0.81982989183118404</v>
      </c>
      <c r="X792" s="2">
        <f t="shared" si="36"/>
        <v>0.61954329357281701</v>
      </c>
      <c r="Y792" s="2">
        <f>SUMIF(收盤價!A:A,A792,收盤價!C:C)</f>
        <v>62.8</v>
      </c>
      <c r="Z792" s="2">
        <f t="shared" si="37"/>
        <v>8380122.7180000003</v>
      </c>
      <c r="AA792" s="2">
        <f t="shared" si="38"/>
        <v>24285727.119999997</v>
      </c>
    </row>
    <row r="793" spans="1:27" ht="14.5" customHeight="1">
      <c r="A793" s="21" t="s">
        <v>5471</v>
      </c>
      <c r="B793" s="22" t="s">
        <v>1644</v>
      </c>
      <c r="C793" s="23">
        <v>2002841</v>
      </c>
      <c r="D793" s="23">
        <v>2042820</v>
      </c>
      <c r="E793" s="60">
        <v>-1.96</v>
      </c>
      <c r="F793" s="61">
        <v>208051</v>
      </c>
      <c r="G793" s="61">
        <v>263970</v>
      </c>
      <c r="H793" s="61">
        <v>-15849</v>
      </c>
      <c r="I793" s="61">
        <v>-10146</v>
      </c>
      <c r="J793" s="61">
        <v>139071</v>
      </c>
      <c r="K793" s="61">
        <v>182343</v>
      </c>
      <c r="L793" s="60">
        <v>-23.73</v>
      </c>
      <c r="M793" s="23">
        <v>845011</v>
      </c>
      <c r="N793" s="60">
        <v>1.66</v>
      </c>
      <c r="O793" s="60">
        <v>2.2400000000000002</v>
      </c>
      <c r="P793" s="62">
        <v>23.25</v>
      </c>
      <c r="Q793" s="63">
        <v>53.774664330303999</v>
      </c>
      <c r="R793" s="63">
        <v>1.5066174847970999</v>
      </c>
      <c r="S793" s="63">
        <v>1.11169554541874</v>
      </c>
      <c r="X793" s="2">
        <f t="shared" si="36"/>
        <v>0.46225335669695999</v>
      </c>
      <c r="Y793" s="2">
        <f>SUMIF(收盤價!A:A,A793,收盤價!C:C)</f>
        <v>39.9</v>
      </c>
      <c r="Z793" s="2">
        <f t="shared" si="37"/>
        <v>1964650.575</v>
      </c>
      <c r="AA793" s="2">
        <f t="shared" si="38"/>
        <v>3371593.8899999997</v>
      </c>
    </row>
    <row r="794" spans="1:27" ht="14.5" customHeight="1">
      <c r="A794" s="24" t="s">
        <v>5472</v>
      </c>
      <c r="B794" s="25" t="s">
        <v>1703</v>
      </c>
      <c r="C794" s="26">
        <v>5453285</v>
      </c>
      <c r="D794" s="26">
        <v>5413656</v>
      </c>
      <c r="E794" s="64">
        <v>0.73</v>
      </c>
      <c r="F794" s="65">
        <v>621839</v>
      </c>
      <c r="G794" s="65">
        <v>487440</v>
      </c>
      <c r="H794" s="65">
        <v>-18616</v>
      </c>
      <c r="I794" s="65">
        <v>12689</v>
      </c>
      <c r="J794" s="65">
        <v>471742</v>
      </c>
      <c r="K794" s="65">
        <v>405264</v>
      </c>
      <c r="L794" s="64">
        <v>16.399999999999999</v>
      </c>
      <c r="M794" s="26">
        <v>706543</v>
      </c>
      <c r="N794" s="64">
        <v>6.85</v>
      </c>
      <c r="O794" s="64">
        <v>6.75</v>
      </c>
      <c r="P794" s="66">
        <v>33.36</v>
      </c>
      <c r="Q794" s="67">
        <v>55.885080600233401</v>
      </c>
      <c r="R794" s="67">
        <v>1.98194142249339</v>
      </c>
      <c r="S794" s="67">
        <v>1.4285900611272</v>
      </c>
      <c r="X794" s="2">
        <f t="shared" si="36"/>
        <v>0.441149193997666</v>
      </c>
      <c r="Y794" s="2">
        <f>SUMIF(收盤價!A:A,A794,收盤價!C:C)</f>
        <v>95.1</v>
      </c>
      <c r="Z794" s="2">
        <f t="shared" si="37"/>
        <v>2357027.4479999999</v>
      </c>
      <c r="AA794" s="2">
        <f t="shared" si="38"/>
        <v>6719223.9299999997</v>
      </c>
    </row>
    <row r="795" spans="1:27" ht="14.5" customHeight="1">
      <c r="A795" s="19" t="s">
        <v>5473</v>
      </c>
      <c r="B795" s="3" t="s">
        <v>1710</v>
      </c>
      <c r="C795" s="20">
        <v>2245138</v>
      </c>
      <c r="D795" s="20">
        <v>2122938</v>
      </c>
      <c r="E795" s="56">
        <v>5.76</v>
      </c>
      <c r="F795" s="57">
        <v>258803</v>
      </c>
      <c r="G795" s="57">
        <v>291387</v>
      </c>
      <c r="H795" s="57">
        <v>-19597</v>
      </c>
      <c r="I795" s="57">
        <v>-7340</v>
      </c>
      <c r="J795" s="57">
        <v>156114</v>
      </c>
      <c r="K795" s="57">
        <v>250336</v>
      </c>
      <c r="L795" s="56">
        <v>-37.64</v>
      </c>
      <c r="M795" s="20">
        <v>570000</v>
      </c>
      <c r="N795" s="56">
        <v>3.04</v>
      </c>
      <c r="O795" s="56">
        <v>5.01</v>
      </c>
      <c r="P795" s="58">
        <v>26.13</v>
      </c>
      <c r="Q795" s="59">
        <v>69.250666299651598</v>
      </c>
      <c r="R795" s="59">
        <v>3.0316182421931499</v>
      </c>
      <c r="S795" s="59">
        <v>2.5650568260504301</v>
      </c>
      <c r="X795" s="2">
        <f t="shared" si="36"/>
        <v>0.30749333700348402</v>
      </c>
      <c r="Y795" s="2">
        <f>SUMIF(收盤價!A:A,A795,收盤價!C:C)</f>
        <v>90.9</v>
      </c>
      <c r="Z795" s="2">
        <f t="shared" si="37"/>
        <v>1489410</v>
      </c>
      <c r="AA795" s="2">
        <f t="shared" si="38"/>
        <v>5181300</v>
      </c>
    </row>
    <row r="796" spans="1:27" ht="14.5" customHeight="1">
      <c r="A796" s="19" t="s">
        <v>5474</v>
      </c>
      <c r="B796" s="3" t="s">
        <v>1722</v>
      </c>
      <c r="C796" s="20">
        <v>7583654</v>
      </c>
      <c r="D796" s="20">
        <v>9643051</v>
      </c>
      <c r="E796" s="56">
        <v>-21.36</v>
      </c>
      <c r="F796" s="57">
        <v>740787</v>
      </c>
      <c r="G796" s="57">
        <v>968965</v>
      </c>
      <c r="H796" s="57">
        <v>51667</v>
      </c>
      <c r="I796" s="57">
        <v>-100423</v>
      </c>
      <c r="J796" s="57">
        <v>630681</v>
      </c>
      <c r="K796" s="57">
        <v>672309</v>
      </c>
      <c r="L796" s="56">
        <v>-6.19</v>
      </c>
      <c r="M796" s="20">
        <v>2091197</v>
      </c>
      <c r="N796" s="56">
        <v>3.02</v>
      </c>
      <c r="O796" s="56">
        <v>3.22</v>
      </c>
      <c r="P796" s="58">
        <v>34.65</v>
      </c>
      <c r="Q796" s="59">
        <v>63.707183966633998</v>
      </c>
      <c r="R796" s="59">
        <v>3.31116840329048</v>
      </c>
      <c r="S796" s="59">
        <v>2.60920345286288</v>
      </c>
      <c r="X796" s="2">
        <f t="shared" si="36"/>
        <v>0.36292816033366004</v>
      </c>
      <c r="Y796" s="2">
        <f>SUMIF(收盤價!A:A,A796,收盤價!C:C)</f>
        <v>48</v>
      </c>
      <c r="Z796" s="2">
        <f t="shared" si="37"/>
        <v>7245997.6049999995</v>
      </c>
      <c r="AA796" s="2">
        <f t="shared" si="38"/>
        <v>10037745.6</v>
      </c>
    </row>
    <row r="797" spans="1:27" ht="14.5" customHeight="1">
      <c r="A797" s="19" t="s">
        <v>5475</v>
      </c>
      <c r="B797" s="3" t="s">
        <v>1724</v>
      </c>
      <c r="C797" s="20">
        <v>31093989</v>
      </c>
      <c r="D797" s="20">
        <v>28832551</v>
      </c>
      <c r="E797" s="56">
        <v>7.84</v>
      </c>
      <c r="F797" s="57">
        <v>71315</v>
      </c>
      <c r="G797" s="57">
        <v>-1185779</v>
      </c>
      <c r="H797" s="57">
        <v>313997</v>
      </c>
      <c r="I797" s="57">
        <v>601877</v>
      </c>
      <c r="J797" s="57">
        <v>308203</v>
      </c>
      <c r="K797" s="57">
        <v>-584333</v>
      </c>
      <c r="L797" s="56"/>
      <c r="M797" s="20">
        <v>6461655</v>
      </c>
      <c r="N797" s="56">
        <v>0.48</v>
      </c>
      <c r="O797" s="56">
        <v>-0.9</v>
      </c>
      <c r="P797" s="58">
        <v>45.23</v>
      </c>
      <c r="Q797" s="59">
        <v>76.278143973416604</v>
      </c>
      <c r="R797" s="59">
        <v>3.7414866076615301</v>
      </c>
      <c r="S797" s="59">
        <v>2.97064054398232</v>
      </c>
      <c r="X797" s="2">
        <f t="shared" si="36"/>
        <v>0.23721856026583396</v>
      </c>
      <c r="Y797" s="2">
        <f>SUMIF(收盤價!A:A,A797,收盤價!C:C)</f>
        <v>45.95</v>
      </c>
      <c r="Z797" s="2">
        <f t="shared" si="37"/>
        <v>29226065.564999998</v>
      </c>
      <c r="AA797" s="2">
        <f t="shared" si="38"/>
        <v>29691304.725000001</v>
      </c>
    </row>
    <row r="798" spans="1:27" ht="14.5" customHeight="1">
      <c r="A798" s="19" t="s">
        <v>5476</v>
      </c>
      <c r="B798" s="3" t="s">
        <v>1734</v>
      </c>
      <c r="C798" s="20">
        <v>3133851</v>
      </c>
      <c r="D798" s="20">
        <v>3110632</v>
      </c>
      <c r="E798" s="56">
        <v>0.75</v>
      </c>
      <c r="F798" s="57">
        <v>284065</v>
      </c>
      <c r="G798" s="57">
        <v>270192</v>
      </c>
      <c r="H798" s="57">
        <v>1696</v>
      </c>
      <c r="I798" s="57">
        <v>64953</v>
      </c>
      <c r="J798" s="57">
        <v>175680</v>
      </c>
      <c r="K798" s="57">
        <v>204528</v>
      </c>
      <c r="L798" s="56">
        <v>-14.1</v>
      </c>
      <c r="M798" s="20">
        <v>813994</v>
      </c>
      <c r="N798" s="56">
        <v>2.16</v>
      </c>
      <c r="O798" s="56">
        <v>2.5099999999999998</v>
      </c>
      <c r="P798" s="58">
        <v>30.9</v>
      </c>
      <c r="Q798" s="59">
        <v>58.328816753484702</v>
      </c>
      <c r="R798" s="59">
        <v>2.2546894062725298</v>
      </c>
      <c r="S798" s="59">
        <v>1.78467556811026</v>
      </c>
      <c r="X798" s="2">
        <f t="shared" si="36"/>
        <v>0.41671183246515298</v>
      </c>
      <c r="Y798" s="2">
        <f>SUMIF(收盤價!A:A,A798,收盤價!C:C)</f>
        <v>27</v>
      </c>
      <c r="Z798" s="2">
        <f t="shared" si="37"/>
        <v>2515241.46</v>
      </c>
      <c r="AA798" s="2">
        <f t="shared" si="38"/>
        <v>2197783.7999999998</v>
      </c>
    </row>
    <row r="799" spans="1:27" ht="14.5" customHeight="1">
      <c r="A799" s="19" t="s">
        <v>5477</v>
      </c>
      <c r="B799" s="3" t="s">
        <v>1756</v>
      </c>
      <c r="C799" s="20">
        <v>21701863</v>
      </c>
      <c r="D799" s="20">
        <v>23057652</v>
      </c>
      <c r="E799" s="56">
        <v>-5.88</v>
      </c>
      <c r="F799" s="57">
        <v>1413930</v>
      </c>
      <c r="G799" s="57">
        <v>1549940</v>
      </c>
      <c r="H799" s="57">
        <v>58460</v>
      </c>
      <c r="I799" s="57">
        <v>108414</v>
      </c>
      <c r="J799" s="57">
        <v>1070440</v>
      </c>
      <c r="K799" s="57">
        <v>1072617</v>
      </c>
      <c r="L799" s="56">
        <v>-0.2</v>
      </c>
      <c r="M799" s="20">
        <v>2712425</v>
      </c>
      <c r="N799" s="56">
        <v>4.08</v>
      </c>
      <c r="O799" s="56">
        <v>4.38</v>
      </c>
      <c r="P799" s="58">
        <v>41.79</v>
      </c>
      <c r="Q799" s="59">
        <v>38.774309050148403</v>
      </c>
      <c r="R799" s="59">
        <v>1.5527282327648499</v>
      </c>
      <c r="S799" s="59">
        <v>1.2973809909909999</v>
      </c>
      <c r="X799" s="2">
        <f t="shared" si="36"/>
        <v>0.61225690949851597</v>
      </c>
      <c r="Y799" s="2">
        <f>SUMIF(收盤價!A:A,A799,收盤價!C:C)</f>
        <v>36.549999999999997</v>
      </c>
      <c r="Z799" s="2">
        <f t="shared" si="37"/>
        <v>11335224.074999999</v>
      </c>
      <c r="AA799" s="2">
        <f t="shared" si="38"/>
        <v>9913913.3749999981</v>
      </c>
    </row>
    <row r="800" spans="1:27" ht="14.5" customHeight="1">
      <c r="A800" s="19" t="s">
        <v>5478</v>
      </c>
      <c r="B800" s="3" t="s">
        <v>1762</v>
      </c>
      <c r="C800" s="20">
        <v>4169494</v>
      </c>
      <c r="D800" s="20">
        <v>4576761</v>
      </c>
      <c r="E800" s="56">
        <v>-8.9</v>
      </c>
      <c r="F800" s="57">
        <v>268756</v>
      </c>
      <c r="G800" s="57">
        <v>226435</v>
      </c>
      <c r="H800" s="57">
        <v>17244</v>
      </c>
      <c r="I800" s="57">
        <v>91753</v>
      </c>
      <c r="J800" s="57">
        <v>183626</v>
      </c>
      <c r="K800" s="57">
        <v>205800</v>
      </c>
      <c r="L800" s="56">
        <v>-10.77</v>
      </c>
      <c r="M800" s="20">
        <v>1270550</v>
      </c>
      <c r="N800" s="56">
        <v>1.45</v>
      </c>
      <c r="O800" s="56">
        <v>1.62</v>
      </c>
      <c r="P800" s="58">
        <v>25.95</v>
      </c>
      <c r="Q800" s="59">
        <v>75.404659581970293</v>
      </c>
      <c r="R800" s="59">
        <v>3.4987245479967601</v>
      </c>
      <c r="S800" s="59">
        <v>2.1038700299198898</v>
      </c>
      <c r="X800" s="2">
        <f t="shared" si="36"/>
        <v>0.24595340418029707</v>
      </c>
      <c r="Y800" s="2">
        <f>SUMIF(收盤價!A:A,A800,收盤價!C:C)</f>
        <v>23.55</v>
      </c>
      <c r="Z800" s="2">
        <f t="shared" si="37"/>
        <v>3297077.25</v>
      </c>
      <c r="AA800" s="2">
        <f t="shared" si="38"/>
        <v>2992145.25</v>
      </c>
    </row>
    <row r="801" spans="1:27" ht="14.5" customHeight="1">
      <c r="A801" s="19" t="s">
        <v>5479</v>
      </c>
      <c r="B801" s="3" t="s">
        <v>586</v>
      </c>
      <c r="C801" s="20">
        <v>339994666</v>
      </c>
      <c r="D801" s="20">
        <v>383194939</v>
      </c>
      <c r="E801" s="56">
        <v>-11.27</v>
      </c>
      <c r="F801" s="57">
        <v>5979117</v>
      </c>
      <c r="G801" s="57">
        <v>5412248</v>
      </c>
      <c r="H801" s="57">
        <v>2910842</v>
      </c>
      <c r="I801" s="57">
        <v>2565887</v>
      </c>
      <c r="J801" s="57">
        <v>6815243</v>
      </c>
      <c r="K801" s="57">
        <v>6607404</v>
      </c>
      <c r="L801" s="56">
        <v>3.15</v>
      </c>
      <c r="M801" s="20">
        <v>16679470</v>
      </c>
      <c r="N801" s="56">
        <v>4.09</v>
      </c>
      <c r="O801" s="56">
        <v>3.96</v>
      </c>
      <c r="P801" s="58">
        <v>29.87</v>
      </c>
      <c r="Q801" s="59">
        <v>33.7290966661376</v>
      </c>
      <c r="R801" s="59">
        <v>1.1904490201265701</v>
      </c>
      <c r="S801" s="59">
        <v>0.78619818081947401</v>
      </c>
      <c r="X801" s="2">
        <f t="shared" si="36"/>
        <v>0.66270903333862408</v>
      </c>
      <c r="Y801" s="2">
        <f>SUMIF(收盤價!A:A,A801,收盤價!C:C)</f>
        <v>37.5</v>
      </c>
      <c r="Z801" s="2">
        <f t="shared" si="37"/>
        <v>49821576.890000001</v>
      </c>
      <c r="AA801" s="2">
        <f t="shared" si="38"/>
        <v>62548012.5</v>
      </c>
    </row>
    <row r="802" spans="1:27" ht="14.5" customHeight="1">
      <c r="A802" s="19" t="s">
        <v>5480</v>
      </c>
      <c r="B802" s="3" t="s">
        <v>679</v>
      </c>
      <c r="C802" s="20">
        <v>18974025</v>
      </c>
      <c r="D802" s="20">
        <v>17147711</v>
      </c>
      <c r="E802" s="56">
        <v>10.65</v>
      </c>
      <c r="F802" s="57">
        <v>366648</v>
      </c>
      <c r="G802" s="57">
        <v>301681</v>
      </c>
      <c r="H802" s="57">
        <v>4853</v>
      </c>
      <c r="I802" s="57">
        <v>2423</v>
      </c>
      <c r="J802" s="57">
        <v>293529</v>
      </c>
      <c r="K802" s="57">
        <v>255285</v>
      </c>
      <c r="L802" s="56">
        <v>14.98</v>
      </c>
      <c r="M802" s="20">
        <v>1617358</v>
      </c>
      <c r="N802" s="56">
        <v>1.81</v>
      </c>
      <c r="O802" s="56">
        <v>1.58</v>
      </c>
      <c r="P802" s="58">
        <v>16.440000000000001</v>
      </c>
      <c r="Q802" s="59">
        <v>37.736197755871103</v>
      </c>
      <c r="R802" s="59">
        <v>1.4634311119160599</v>
      </c>
      <c r="S802" s="59">
        <v>1.0179507220680599</v>
      </c>
      <c r="X802" s="2">
        <f t="shared" si="36"/>
        <v>0.62263802244128896</v>
      </c>
      <c r="Y802" s="2">
        <f>SUMIF(收盤價!A:A,A802,收盤價!C:C)</f>
        <v>23.1</v>
      </c>
      <c r="Z802" s="2">
        <f t="shared" si="37"/>
        <v>2658936.5520000001</v>
      </c>
      <c r="AA802" s="2">
        <f t="shared" si="38"/>
        <v>3736096.9800000004</v>
      </c>
    </row>
    <row r="803" spans="1:27" ht="14.5" customHeight="1">
      <c r="A803" s="19" t="s">
        <v>5481</v>
      </c>
      <c r="B803" s="3" t="s">
        <v>705</v>
      </c>
      <c r="C803" s="20">
        <v>18916966</v>
      </c>
      <c r="D803" s="20">
        <v>20570152</v>
      </c>
      <c r="E803" s="56">
        <v>-8.0399999999999991</v>
      </c>
      <c r="F803" s="57">
        <v>359729</v>
      </c>
      <c r="G803" s="57">
        <v>298719</v>
      </c>
      <c r="H803" s="57">
        <v>-100670</v>
      </c>
      <c r="I803" s="57">
        <v>-67645</v>
      </c>
      <c r="J803" s="57">
        <v>211826</v>
      </c>
      <c r="K803" s="57">
        <v>223416</v>
      </c>
      <c r="L803" s="56">
        <v>-5.19</v>
      </c>
      <c r="M803" s="20">
        <v>1664688</v>
      </c>
      <c r="N803" s="56">
        <v>1.27</v>
      </c>
      <c r="O803" s="56">
        <v>1.34</v>
      </c>
      <c r="P803" s="58">
        <v>28.03</v>
      </c>
      <c r="Q803" s="59">
        <v>35.384293333495101</v>
      </c>
      <c r="R803" s="59">
        <v>0.83878076943322299</v>
      </c>
      <c r="S803" s="59">
        <v>0.29406859291895598</v>
      </c>
      <c r="X803" s="2">
        <f t="shared" si="36"/>
        <v>0.64615706666504902</v>
      </c>
      <c r="Y803" s="2">
        <f>SUMIF(收盤價!A:A,A803,收盤價!C:C)</f>
        <v>17.149999999999999</v>
      </c>
      <c r="Z803" s="2">
        <f t="shared" si="37"/>
        <v>4666120.4639999997</v>
      </c>
      <c r="AA803" s="2">
        <f t="shared" si="38"/>
        <v>2854939.92</v>
      </c>
    </row>
    <row r="804" spans="1:27" ht="14.5" customHeight="1">
      <c r="A804" s="19" t="s">
        <v>5482</v>
      </c>
      <c r="B804" s="3" t="s">
        <v>749</v>
      </c>
      <c r="C804" s="20">
        <v>7569178</v>
      </c>
      <c r="D804" s="20">
        <v>8792493</v>
      </c>
      <c r="E804" s="56">
        <v>-13.91</v>
      </c>
      <c r="F804" s="57">
        <v>576686</v>
      </c>
      <c r="G804" s="57">
        <v>525233</v>
      </c>
      <c r="H804" s="57">
        <v>83276</v>
      </c>
      <c r="I804" s="57">
        <v>127558</v>
      </c>
      <c r="J804" s="57">
        <v>445167</v>
      </c>
      <c r="K804" s="57">
        <v>431557</v>
      </c>
      <c r="L804" s="56">
        <v>3.15</v>
      </c>
      <c r="M804" s="20">
        <v>1059006</v>
      </c>
      <c r="N804" s="56">
        <v>4.2</v>
      </c>
      <c r="O804" s="56">
        <v>4.03</v>
      </c>
      <c r="P804" s="58">
        <v>41.35</v>
      </c>
      <c r="Q804" s="59">
        <v>51.677053068180697</v>
      </c>
      <c r="R804" s="59">
        <v>2.77809310227659</v>
      </c>
      <c r="S804" s="59">
        <v>2.5022240344319902</v>
      </c>
      <c r="X804" s="2">
        <f t="shared" si="36"/>
        <v>0.48322946931819305</v>
      </c>
      <c r="Y804" s="2">
        <f>SUMIF(收盤價!A:A,A804,收盤價!C:C)</f>
        <v>43.55</v>
      </c>
      <c r="Z804" s="2">
        <f t="shared" si="37"/>
        <v>4378989.8100000005</v>
      </c>
      <c r="AA804" s="2">
        <f t="shared" si="38"/>
        <v>4611971.13</v>
      </c>
    </row>
    <row r="805" spans="1:27" ht="14.5" customHeight="1">
      <c r="A805" s="19" t="s">
        <v>5483</v>
      </c>
      <c r="B805" s="3" t="s">
        <v>1045</v>
      </c>
      <c r="C805" s="20">
        <v>54681829</v>
      </c>
      <c r="D805" s="20">
        <v>52935016</v>
      </c>
      <c r="E805" s="56">
        <v>3.3</v>
      </c>
      <c r="F805" s="57">
        <v>1574435</v>
      </c>
      <c r="G805" s="57">
        <v>1747290</v>
      </c>
      <c r="H805" s="57">
        <v>391729</v>
      </c>
      <c r="I805" s="57">
        <v>282848</v>
      </c>
      <c r="J805" s="57">
        <v>1415822</v>
      </c>
      <c r="K805" s="57">
        <v>1345959</v>
      </c>
      <c r="L805" s="56">
        <v>5.19</v>
      </c>
      <c r="M805" s="20">
        <v>2313901</v>
      </c>
      <c r="N805" s="56">
        <v>6.12</v>
      </c>
      <c r="O805" s="56">
        <v>5.82</v>
      </c>
      <c r="P805" s="58">
        <v>49.46</v>
      </c>
      <c r="Q805" s="59">
        <v>33.259535924603398</v>
      </c>
      <c r="R805" s="59">
        <v>1.6159106262054199</v>
      </c>
      <c r="S805" s="59">
        <v>1.20718411014917</v>
      </c>
      <c r="X805" s="2">
        <f t="shared" si="36"/>
        <v>0.66740464075396599</v>
      </c>
      <c r="Y805" s="2">
        <f>SUMIF(收盤價!A:A,A805,收盤價!C:C)</f>
        <v>56.5</v>
      </c>
      <c r="Z805" s="2">
        <f t="shared" si="37"/>
        <v>11444554.346000001</v>
      </c>
      <c r="AA805" s="2">
        <f t="shared" si="38"/>
        <v>13073540.65</v>
      </c>
    </row>
    <row r="806" spans="1:27" ht="14.5" customHeight="1">
      <c r="A806" s="19" t="s">
        <v>5484</v>
      </c>
      <c r="B806" s="3" t="s">
        <v>1077</v>
      </c>
      <c r="C806" s="20">
        <v>26992869</v>
      </c>
      <c r="D806" s="20">
        <v>31079867</v>
      </c>
      <c r="E806" s="56">
        <v>-13.15</v>
      </c>
      <c r="F806" s="57">
        <v>385569</v>
      </c>
      <c r="G806" s="57">
        <v>694040</v>
      </c>
      <c r="H806" s="57">
        <v>-78142</v>
      </c>
      <c r="I806" s="57">
        <v>-154615</v>
      </c>
      <c r="J806" s="57">
        <v>230581</v>
      </c>
      <c r="K806" s="57">
        <v>406646</v>
      </c>
      <c r="L806" s="56">
        <v>-43.3</v>
      </c>
      <c r="M806" s="20">
        <v>2138249</v>
      </c>
      <c r="N806" s="56">
        <v>1.08</v>
      </c>
      <c r="O806" s="56">
        <v>1.9</v>
      </c>
      <c r="P806" s="58">
        <v>20.6</v>
      </c>
      <c r="Q806" s="59">
        <v>30.967013657034801</v>
      </c>
      <c r="R806" s="59">
        <v>1.39772440744708</v>
      </c>
      <c r="S806" s="59">
        <v>0.88210239024622705</v>
      </c>
      <c r="X806" s="2">
        <f t="shared" si="36"/>
        <v>0.69032986342965197</v>
      </c>
      <c r="Y806" s="2">
        <f>SUMIF(收盤價!A:A,A806,收盤價!C:C)</f>
        <v>21.1</v>
      </c>
      <c r="Z806" s="2">
        <f t="shared" si="37"/>
        <v>4404792.9400000004</v>
      </c>
      <c r="AA806" s="2">
        <f t="shared" si="38"/>
        <v>4511705.3900000006</v>
      </c>
    </row>
    <row r="807" spans="1:27" ht="14.5" customHeight="1">
      <c r="A807" s="19" t="s">
        <v>5485</v>
      </c>
      <c r="B807" s="3" t="s">
        <v>1087</v>
      </c>
      <c r="C807" s="20">
        <v>48224086</v>
      </c>
      <c r="D807" s="20">
        <v>52987131</v>
      </c>
      <c r="E807" s="56">
        <v>-8.99</v>
      </c>
      <c r="F807" s="57">
        <v>752757</v>
      </c>
      <c r="G807" s="57">
        <v>1268285</v>
      </c>
      <c r="H807" s="57">
        <v>-394701</v>
      </c>
      <c r="I807" s="57">
        <v>-379878</v>
      </c>
      <c r="J807" s="57">
        <v>260394</v>
      </c>
      <c r="K807" s="57">
        <v>624054</v>
      </c>
      <c r="L807" s="56">
        <v>-58.27</v>
      </c>
      <c r="M807" s="20">
        <v>3677513</v>
      </c>
      <c r="N807" s="56">
        <v>0.71</v>
      </c>
      <c r="O807" s="56">
        <v>1.83</v>
      </c>
      <c r="P807" s="58">
        <v>15.4</v>
      </c>
      <c r="Q807" s="59">
        <v>24.226215549886799</v>
      </c>
      <c r="R807" s="59">
        <v>1.31894896732568</v>
      </c>
      <c r="S807" s="59">
        <v>0.69012211016381497</v>
      </c>
      <c r="X807" s="2">
        <f t="shared" si="36"/>
        <v>0.75773784450113202</v>
      </c>
      <c r="Y807" s="2">
        <f>SUMIF(收盤價!A:A,A807,收盤價!C:C)</f>
        <v>17.8</v>
      </c>
      <c r="Z807" s="2">
        <f t="shared" si="37"/>
        <v>5663370.0200000005</v>
      </c>
      <c r="AA807" s="2">
        <f t="shared" si="38"/>
        <v>6545973.1400000006</v>
      </c>
    </row>
    <row r="808" spans="1:27" ht="14.5" customHeight="1">
      <c r="A808" s="19" t="s">
        <v>5486</v>
      </c>
      <c r="B808" s="3" t="s">
        <v>1093</v>
      </c>
      <c r="C808" s="20">
        <v>335187151</v>
      </c>
      <c r="D808" s="20">
        <v>273416485</v>
      </c>
      <c r="E808" s="56">
        <v>22.59</v>
      </c>
      <c r="F808" s="57">
        <v>5253230</v>
      </c>
      <c r="G808" s="57">
        <v>5253715</v>
      </c>
      <c r="H808" s="57">
        <v>-1944145</v>
      </c>
      <c r="I808" s="57">
        <v>-1632905</v>
      </c>
      <c r="J808" s="57">
        <v>2530940</v>
      </c>
      <c r="K808" s="57">
        <v>2778229</v>
      </c>
      <c r="L808" s="56">
        <v>-8.9</v>
      </c>
      <c r="M808" s="20">
        <v>5914369</v>
      </c>
      <c r="N808" s="56">
        <v>4.32</v>
      </c>
      <c r="O808" s="56">
        <v>5.0199999999999996</v>
      </c>
      <c r="P808" s="58">
        <v>39.770000000000003</v>
      </c>
      <c r="Q808" s="59">
        <v>23.161718644474</v>
      </c>
      <c r="R808" s="59">
        <v>1.27056523761371</v>
      </c>
      <c r="S808" s="59">
        <v>0.65413179166445401</v>
      </c>
      <c r="X808" s="2">
        <f t="shared" si="36"/>
        <v>0.76838281355525995</v>
      </c>
      <c r="Y808" s="2">
        <f>SUMIF(收盤價!A:A,A808,收盤價!C:C)</f>
        <v>42.1</v>
      </c>
      <c r="Z808" s="2">
        <f t="shared" si="37"/>
        <v>23521445.513000004</v>
      </c>
      <c r="AA808" s="2">
        <f t="shared" si="38"/>
        <v>24899493.490000002</v>
      </c>
    </row>
    <row r="809" spans="1:27" ht="14.5" customHeight="1">
      <c r="A809" s="19" t="s">
        <v>5487</v>
      </c>
      <c r="B809" s="3" t="s">
        <v>1115</v>
      </c>
      <c r="C809" s="20">
        <v>96876837</v>
      </c>
      <c r="D809" s="20">
        <v>80259405</v>
      </c>
      <c r="E809" s="56">
        <v>20.7</v>
      </c>
      <c r="F809" s="57">
        <v>1176992</v>
      </c>
      <c r="G809" s="57">
        <v>891831</v>
      </c>
      <c r="H809" s="57">
        <v>-683532</v>
      </c>
      <c r="I809" s="57">
        <v>-577622</v>
      </c>
      <c r="J809" s="57">
        <v>367792</v>
      </c>
      <c r="K809" s="57">
        <v>243428</v>
      </c>
      <c r="L809" s="56">
        <v>51.09</v>
      </c>
      <c r="M809" s="20">
        <v>2225726</v>
      </c>
      <c r="N809" s="56">
        <v>1.65</v>
      </c>
      <c r="O809" s="56">
        <v>1.0900000000000001</v>
      </c>
      <c r="P809" s="58">
        <v>15.48</v>
      </c>
      <c r="Q809" s="59">
        <v>18.146403823626201</v>
      </c>
      <c r="R809" s="59">
        <v>1.2191060240478899</v>
      </c>
      <c r="S809" s="59">
        <v>0.66124203381699198</v>
      </c>
      <c r="X809" s="2">
        <f t="shared" si="36"/>
        <v>0.818535961763738</v>
      </c>
      <c r="Y809" s="2">
        <f>SUMIF(收盤價!A:A,A809,收盤價!C:C)</f>
        <v>19.100000000000001</v>
      </c>
      <c r="Z809" s="2">
        <f t="shared" si="37"/>
        <v>3445423.8480000002</v>
      </c>
      <c r="AA809" s="2">
        <f t="shared" si="38"/>
        <v>4251136.66</v>
      </c>
    </row>
    <row r="810" spans="1:27" ht="14.5" customHeight="1">
      <c r="A810" s="19" t="s">
        <v>5488</v>
      </c>
      <c r="B810" s="3" t="s">
        <v>1127</v>
      </c>
      <c r="C810" s="20">
        <v>2910805</v>
      </c>
      <c r="D810" s="20">
        <v>3152979</v>
      </c>
      <c r="E810" s="56">
        <v>-7.68</v>
      </c>
      <c r="F810" s="57">
        <v>-30029</v>
      </c>
      <c r="G810" s="57">
        <v>54872</v>
      </c>
      <c r="H810" s="57">
        <v>59249</v>
      </c>
      <c r="I810" s="57">
        <v>70410</v>
      </c>
      <c r="J810" s="57">
        <v>10169</v>
      </c>
      <c r="K810" s="57">
        <v>86173</v>
      </c>
      <c r="L810" s="56">
        <v>-88.2</v>
      </c>
      <c r="M810" s="20">
        <v>1024419</v>
      </c>
      <c r="N810" s="56">
        <v>0.11</v>
      </c>
      <c r="O810" s="56">
        <v>0.85</v>
      </c>
      <c r="P810" s="58">
        <v>24.58</v>
      </c>
      <c r="Q810" s="59">
        <v>46.960020276008798</v>
      </c>
      <c r="R810" s="59">
        <v>1.6548355440982201</v>
      </c>
      <c r="S810" s="59">
        <v>1.1882754055067799</v>
      </c>
      <c r="X810" s="2">
        <f t="shared" si="36"/>
        <v>0.53039979723991204</v>
      </c>
      <c r="Y810" s="2">
        <f>SUMIF(收盤價!A:A,A810,收盤價!C:C)</f>
        <v>30.7</v>
      </c>
      <c r="Z810" s="2">
        <f t="shared" si="37"/>
        <v>2518021.9019999998</v>
      </c>
      <c r="AA810" s="2">
        <f t="shared" si="38"/>
        <v>3144966.33</v>
      </c>
    </row>
    <row r="811" spans="1:27" ht="14.5" customHeight="1">
      <c r="A811" s="19" t="s">
        <v>5489</v>
      </c>
      <c r="B811" s="3" t="s">
        <v>1154</v>
      </c>
      <c r="C811" s="20">
        <v>39572068</v>
      </c>
      <c r="D811" s="20">
        <v>31795068</v>
      </c>
      <c r="E811" s="56">
        <v>24.46</v>
      </c>
      <c r="F811" s="57">
        <v>556023</v>
      </c>
      <c r="G811" s="57">
        <v>477509</v>
      </c>
      <c r="H811" s="57">
        <v>-181239</v>
      </c>
      <c r="I811" s="57">
        <v>-180890</v>
      </c>
      <c r="J811" s="57">
        <v>288345</v>
      </c>
      <c r="K811" s="57">
        <v>211359</v>
      </c>
      <c r="L811" s="56">
        <v>36.42</v>
      </c>
      <c r="M811" s="20">
        <v>1797843</v>
      </c>
      <c r="N811" s="56">
        <v>1.66</v>
      </c>
      <c r="O811" s="56">
        <v>1.22</v>
      </c>
      <c r="P811" s="58">
        <v>15.93</v>
      </c>
      <c r="Q811" s="59">
        <v>25.899498981631002</v>
      </c>
      <c r="R811" s="59">
        <v>1.5161573543682301</v>
      </c>
      <c r="S811" s="59">
        <v>0.74523248261691899</v>
      </c>
      <c r="X811" s="2">
        <f t="shared" si="36"/>
        <v>0.74100501018369003</v>
      </c>
      <c r="Y811" s="2">
        <f>SUMIF(收盤價!A:A,A811,收盤價!C:C)</f>
        <v>21.15</v>
      </c>
      <c r="Z811" s="2">
        <f t="shared" si="37"/>
        <v>2863963.8989999997</v>
      </c>
      <c r="AA811" s="2">
        <f t="shared" si="38"/>
        <v>3802437.9449999994</v>
      </c>
    </row>
    <row r="812" spans="1:27" ht="14.5" customHeight="1">
      <c r="A812" s="19" t="s">
        <v>5490</v>
      </c>
      <c r="B812" s="3" t="s">
        <v>1170</v>
      </c>
      <c r="C812" s="20">
        <v>12704736</v>
      </c>
      <c r="D812" s="20">
        <v>9812498</v>
      </c>
      <c r="E812" s="56">
        <v>29.48</v>
      </c>
      <c r="F812" s="57">
        <v>217399</v>
      </c>
      <c r="G812" s="57">
        <v>144906</v>
      </c>
      <c r="H812" s="57">
        <v>-10584</v>
      </c>
      <c r="I812" s="57">
        <v>-3209</v>
      </c>
      <c r="J812" s="57">
        <v>154917</v>
      </c>
      <c r="K812" s="57">
        <v>138461</v>
      </c>
      <c r="L812" s="56">
        <v>11.88</v>
      </c>
      <c r="M812" s="20">
        <v>1180321</v>
      </c>
      <c r="N812" s="56">
        <v>1.31</v>
      </c>
      <c r="O812" s="56">
        <v>1.19</v>
      </c>
      <c r="P812" s="58">
        <v>11.91</v>
      </c>
      <c r="Q812" s="59">
        <v>29.6514714881827</v>
      </c>
      <c r="R812" s="59">
        <v>1.40713474904244</v>
      </c>
      <c r="S812" s="59">
        <v>1.1185693086544799</v>
      </c>
      <c r="X812" s="2">
        <f t="shared" si="36"/>
        <v>0.7034852851181731</v>
      </c>
      <c r="Y812" s="2">
        <f>SUMIF(收盤價!A:A,A812,收盤價!C:C)</f>
        <v>16.350000000000001</v>
      </c>
      <c r="Z812" s="2">
        <f t="shared" si="37"/>
        <v>1405762.311</v>
      </c>
      <c r="AA812" s="2">
        <f t="shared" si="38"/>
        <v>1929824.8350000002</v>
      </c>
    </row>
    <row r="813" spans="1:27" ht="14.5" customHeight="1">
      <c r="A813" s="19" t="s">
        <v>5491</v>
      </c>
      <c r="B813" s="3" t="s">
        <v>1215</v>
      </c>
      <c r="C813" s="20">
        <v>4118541</v>
      </c>
      <c r="D813" s="20">
        <v>4122747</v>
      </c>
      <c r="E813" s="56">
        <v>-0.1</v>
      </c>
      <c r="F813" s="57">
        <v>221055</v>
      </c>
      <c r="G813" s="57">
        <v>258618</v>
      </c>
      <c r="H813" s="57">
        <v>8729</v>
      </c>
      <c r="I813" s="57">
        <v>-36043</v>
      </c>
      <c r="J813" s="57">
        <v>181794</v>
      </c>
      <c r="K813" s="57">
        <v>177388</v>
      </c>
      <c r="L813" s="56">
        <v>2.48</v>
      </c>
      <c r="M813" s="20">
        <v>656160</v>
      </c>
      <c r="N813" s="56">
        <v>2.77</v>
      </c>
      <c r="O813" s="56">
        <v>2.71</v>
      </c>
      <c r="P813" s="58">
        <v>22.29</v>
      </c>
      <c r="Q813" s="59">
        <v>44.864351961745797</v>
      </c>
      <c r="R813" s="59">
        <v>1.7774602911648001</v>
      </c>
      <c r="S813" s="59">
        <v>0.818351894113581</v>
      </c>
      <c r="X813" s="2">
        <f t="shared" si="36"/>
        <v>0.55135648038254204</v>
      </c>
      <c r="Y813" s="2">
        <f>SUMIF(收盤價!A:A,A813,收盤價!C:C)</f>
        <v>38</v>
      </c>
      <c r="Z813" s="2">
        <f t="shared" si="37"/>
        <v>1462580.64</v>
      </c>
      <c r="AA813" s="2">
        <f t="shared" si="38"/>
        <v>2493408</v>
      </c>
    </row>
    <row r="814" spans="1:27" ht="14.5" customHeight="1">
      <c r="A814" s="19" t="s">
        <v>5492</v>
      </c>
      <c r="B814" s="3" t="s">
        <v>1277</v>
      </c>
      <c r="C814" s="20">
        <v>527601353</v>
      </c>
      <c r="D814" s="20">
        <v>545127804</v>
      </c>
      <c r="E814" s="56">
        <v>-3.22</v>
      </c>
      <c r="F814" s="57">
        <v>9712564</v>
      </c>
      <c r="G814" s="57">
        <v>10576538</v>
      </c>
      <c r="H814" s="57">
        <v>-1524962</v>
      </c>
      <c r="I814" s="57">
        <v>-1375358</v>
      </c>
      <c r="J814" s="57">
        <v>6453401</v>
      </c>
      <c r="K814" s="57">
        <v>7462010</v>
      </c>
      <c r="L814" s="56">
        <v>-13.52</v>
      </c>
      <c r="M814" s="20">
        <v>18790568</v>
      </c>
      <c r="N814" s="56">
        <v>3.84</v>
      </c>
      <c r="O814" s="56">
        <v>4.22</v>
      </c>
      <c r="P814" s="58">
        <v>33.78</v>
      </c>
      <c r="Q814" s="59">
        <v>27.555039396680201</v>
      </c>
      <c r="R814" s="59">
        <v>1.31222913678507</v>
      </c>
      <c r="S814" s="59">
        <v>0.856872352586041</v>
      </c>
      <c r="X814" s="2">
        <f t="shared" si="36"/>
        <v>0.72444960603319797</v>
      </c>
      <c r="Y814" s="2">
        <f>SUMIF(收盤價!A:A,A814,收盤價!C:C)</f>
        <v>39.1</v>
      </c>
      <c r="Z814" s="2">
        <f t="shared" si="37"/>
        <v>63474538.703999996</v>
      </c>
      <c r="AA814" s="2">
        <f t="shared" si="38"/>
        <v>73471120.88000001</v>
      </c>
    </row>
    <row r="815" spans="1:27" ht="14.5" customHeight="1">
      <c r="A815" s="19" t="s">
        <v>5495</v>
      </c>
      <c r="B815" s="3" t="s">
        <v>1464</v>
      </c>
      <c r="C815" s="20">
        <v>31700516</v>
      </c>
      <c r="D815" s="20">
        <v>28861199</v>
      </c>
      <c r="E815" s="56">
        <v>9.84</v>
      </c>
      <c r="F815" s="57">
        <v>1845363</v>
      </c>
      <c r="G815" s="57">
        <v>1520415</v>
      </c>
      <c r="H815" s="57">
        <v>362836</v>
      </c>
      <c r="I815" s="57">
        <v>274562</v>
      </c>
      <c r="J815" s="57">
        <v>1722308</v>
      </c>
      <c r="K815" s="57">
        <v>1404675</v>
      </c>
      <c r="L815" s="56">
        <v>22.61</v>
      </c>
      <c r="M815" s="20">
        <v>1816996</v>
      </c>
      <c r="N815" s="56">
        <v>9.48</v>
      </c>
      <c r="O815" s="56">
        <v>7.73</v>
      </c>
      <c r="P815" s="58">
        <v>52.35</v>
      </c>
      <c r="Q815" s="59">
        <v>48.434084689715199</v>
      </c>
      <c r="R815" s="59">
        <v>1.4802423580876001</v>
      </c>
      <c r="S815" s="59">
        <v>1.04216782102534</v>
      </c>
      <c r="X815" s="2">
        <f t="shared" si="36"/>
        <v>0.51565915310284804</v>
      </c>
      <c r="Y815" s="2">
        <f>SUMIF(收盤價!A:A,A815,收盤價!C:C)</f>
        <v>105.5</v>
      </c>
      <c r="Z815" s="2">
        <f t="shared" si="37"/>
        <v>9511974.0600000005</v>
      </c>
      <c r="AA815" s="2">
        <f t="shared" si="38"/>
        <v>19169307.800000001</v>
      </c>
    </row>
    <row r="816" spans="1:27" ht="14.5" customHeight="1">
      <c r="A816" s="19" t="s">
        <v>5496</v>
      </c>
      <c r="B816" s="3" t="s">
        <v>1560</v>
      </c>
      <c r="C816" s="20">
        <v>22824272</v>
      </c>
      <c r="D816" s="20">
        <v>19712236</v>
      </c>
      <c r="E816" s="56">
        <v>15.79</v>
      </c>
      <c r="F816" s="57">
        <v>835142</v>
      </c>
      <c r="G816" s="57">
        <v>784029</v>
      </c>
      <c r="H816" s="57">
        <v>-160638</v>
      </c>
      <c r="I816" s="57">
        <v>-32303</v>
      </c>
      <c r="J816" s="57">
        <v>469655</v>
      </c>
      <c r="K816" s="57">
        <v>521974</v>
      </c>
      <c r="L816" s="56">
        <v>-10.02</v>
      </c>
      <c r="M816" s="20">
        <v>1790452</v>
      </c>
      <c r="N816" s="56">
        <v>2.62</v>
      </c>
      <c r="O816" s="56">
        <v>2.92</v>
      </c>
      <c r="P816" s="58">
        <v>20.54</v>
      </c>
      <c r="Q816" s="59">
        <v>36.689723398037998</v>
      </c>
      <c r="R816" s="59">
        <v>1.6289939443727799</v>
      </c>
      <c r="S816" s="59">
        <v>1.13899274604366</v>
      </c>
      <c r="X816" s="2">
        <f t="shared" si="36"/>
        <v>0.63310276601962001</v>
      </c>
      <c r="Y816" s="2">
        <f>SUMIF(收盤價!A:A,A816,收盤價!C:C)</f>
        <v>34.85</v>
      </c>
      <c r="Z816" s="2">
        <f t="shared" si="37"/>
        <v>3677588.4079999998</v>
      </c>
      <c r="AA816" s="2">
        <f t="shared" si="38"/>
        <v>6239725.2200000007</v>
      </c>
    </row>
    <row r="817" spans="1:27" ht="14.5" customHeight="1">
      <c r="A817" s="19" t="s">
        <v>5497</v>
      </c>
      <c r="B817" s="3" t="s">
        <v>1614</v>
      </c>
      <c r="C817" s="20">
        <v>17525668</v>
      </c>
      <c r="D817" s="20">
        <v>16343295</v>
      </c>
      <c r="E817" s="56">
        <v>7.23</v>
      </c>
      <c r="F817" s="57">
        <v>560000</v>
      </c>
      <c r="G817" s="57">
        <v>469890</v>
      </c>
      <c r="H817" s="57">
        <v>-6997</v>
      </c>
      <c r="I817" s="57">
        <v>37020</v>
      </c>
      <c r="J817" s="57">
        <v>440581</v>
      </c>
      <c r="K817" s="57">
        <v>405437</v>
      </c>
      <c r="L817" s="56">
        <v>8.67</v>
      </c>
      <c r="M817" s="20">
        <v>991729</v>
      </c>
      <c r="N817" s="56">
        <v>4.4400000000000004</v>
      </c>
      <c r="O817" s="56">
        <v>4.09</v>
      </c>
      <c r="P817" s="58">
        <v>24.65</v>
      </c>
      <c r="Q817" s="59">
        <v>32.058602948503498</v>
      </c>
      <c r="R817" s="59">
        <v>1.39676593498097</v>
      </c>
      <c r="S817" s="59">
        <v>0.19472809746837699</v>
      </c>
      <c r="X817" s="2">
        <f t="shared" si="36"/>
        <v>0.67941397051496499</v>
      </c>
      <c r="Y817" s="2">
        <f>SUMIF(收盤價!A:A,A817,收盤價!C:C)</f>
        <v>68.2</v>
      </c>
      <c r="Z817" s="2">
        <f t="shared" si="37"/>
        <v>2444611.9849999999</v>
      </c>
      <c r="AA817" s="2">
        <f t="shared" si="38"/>
        <v>6763591.7799999993</v>
      </c>
    </row>
    <row r="818" spans="1:27" ht="14.5" customHeight="1">
      <c r="A818" s="19" t="s">
        <v>5498</v>
      </c>
      <c r="B818" s="3" t="s">
        <v>1726</v>
      </c>
      <c r="C818" s="20">
        <v>15464381</v>
      </c>
      <c r="D818" s="20">
        <v>15756626</v>
      </c>
      <c r="E818" s="56">
        <v>-1.85</v>
      </c>
      <c r="F818" s="57">
        <v>1097018</v>
      </c>
      <c r="G818" s="57">
        <v>1389868</v>
      </c>
      <c r="H818" s="57">
        <v>677562</v>
      </c>
      <c r="I818" s="57">
        <v>358474</v>
      </c>
      <c r="J818" s="57">
        <v>1098144</v>
      </c>
      <c r="K818" s="57">
        <v>856079</v>
      </c>
      <c r="L818" s="56">
        <v>28.28</v>
      </c>
      <c r="M818" s="20">
        <v>638799</v>
      </c>
      <c r="N818" s="56">
        <v>17.190000000000001</v>
      </c>
      <c r="O818" s="56">
        <v>13.47</v>
      </c>
      <c r="P818" s="58">
        <v>87.52</v>
      </c>
      <c r="Q818" s="59">
        <v>31.034170000789899</v>
      </c>
      <c r="R818" s="59">
        <v>1.7033907710454099</v>
      </c>
      <c r="S818" s="59">
        <v>1.26267058592585</v>
      </c>
      <c r="X818" s="2">
        <f t="shared" si="36"/>
        <v>0.68965829999210104</v>
      </c>
      <c r="Y818" s="2">
        <f>SUMIF(收盤價!A:A,A818,收盤價!C:C)</f>
        <v>178.5</v>
      </c>
      <c r="Z818" s="2">
        <f t="shared" si="37"/>
        <v>5590768.8479999993</v>
      </c>
      <c r="AA818" s="2">
        <f t="shared" si="38"/>
        <v>11402562.15</v>
      </c>
    </row>
    <row r="819" spans="1:27" ht="14.5" customHeight="1">
      <c r="A819" s="19" t="s">
        <v>5499</v>
      </c>
      <c r="B819" s="3" t="s">
        <v>1728</v>
      </c>
      <c r="C819" s="20">
        <v>804056</v>
      </c>
      <c r="D819" s="20">
        <v>866792</v>
      </c>
      <c r="E819" s="56">
        <v>-7.24</v>
      </c>
      <c r="F819" s="57">
        <v>-96595</v>
      </c>
      <c r="G819" s="57">
        <v>-43880</v>
      </c>
      <c r="H819" s="57">
        <v>7577</v>
      </c>
      <c r="I819" s="57">
        <v>40442</v>
      </c>
      <c r="J819" s="57">
        <v>-92421</v>
      </c>
      <c r="K819" s="57">
        <v>-19633</v>
      </c>
      <c r="L819" s="56"/>
      <c r="M819" s="20">
        <v>800000</v>
      </c>
      <c r="N819" s="56">
        <v>-1.1599999999999999</v>
      </c>
      <c r="O819" s="56">
        <v>-0.25</v>
      </c>
      <c r="P819" s="58">
        <v>27.65</v>
      </c>
      <c r="Q819" s="59">
        <v>90.706496708603893</v>
      </c>
      <c r="R819" s="59">
        <v>10.9111654719398</v>
      </c>
      <c r="S819" s="59">
        <v>8.0661438033198003</v>
      </c>
      <c r="X819" s="2">
        <f t="shared" si="36"/>
        <v>9.293503291396106E-2</v>
      </c>
      <c r="Y819" s="2">
        <f>SUMIF(收盤價!A:A,A819,收盤價!C:C)</f>
        <v>20.3</v>
      </c>
      <c r="Z819" s="2">
        <f t="shared" si="37"/>
        <v>2212000</v>
      </c>
      <c r="AA819" s="2">
        <f t="shared" si="38"/>
        <v>1624000</v>
      </c>
    </row>
    <row r="820" spans="1:27" ht="14.5" customHeight="1">
      <c r="A820" s="19" t="s">
        <v>5500</v>
      </c>
      <c r="B820" s="3" t="s">
        <v>1742</v>
      </c>
      <c r="C820" s="20">
        <v>112585743</v>
      </c>
      <c r="D820" s="20">
        <v>142151662</v>
      </c>
      <c r="E820" s="56">
        <v>-20.8</v>
      </c>
      <c r="F820" s="57">
        <v>1996592</v>
      </c>
      <c r="G820" s="57">
        <v>2478830</v>
      </c>
      <c r="H820" s="57">
        <v>-114148</v>
      </c>
      <c r="I820" s="57">
        <v>-442352</v>
      </c>
      <c r="J820" s="57">
        <v>1282549</v>
      </c>
      <c r="K820" s="57">
        <v>1442419</v>
      </c>
      <c r="L820" s="56">
        <v>-11.08</v>
      </c>
      <c r="M820" s="20">
        <v>3784965</v>
      </c>
      <c r="N820" s="56">
        <v>3.41</v>
      </c>
      <c r="O820" s="56">
        <v>3.85</v>
      </c>
      <c r="P820" s="58">
        <v>20.58</v>
      </c>
      <c r="Q820" s="59">
        <v>26.922306551098998</v>
      </c>
      <c r="R820" s="59">
        <v>1.5329886877321699</v>
      </c>
      <c r="S820" s="59">
        <v>0.86409019087986405</v>
      </c>
      <c r="X820" s="2">
        <f t="shared" si="36"/>
        <v>0.73077693448901004</v>
      </c>
      <c r="Y820" s="2">
        <f>SUMIF(收盤價!A:A,A820,收盤價!C:C)</f>
        <v>30.15</v>
      </c>
      <c r="Z820" s="2">
        <f t="shared" si="37"/>
        <v>7789457.9699999988</v>
      </c>
      <c r="AA820" s="2">
        <f t="shared" si="38"/>
        <v>11411669.475</v>
      </c>
    </row>
    <row r="821" spans="1:27" ht="14.5" customHeight="1">
      <c r="A821" s="19" t="s">
        <v>5501</v>
      </c>
      <c r="B821" s="3" t="s">
        <v>699</v>
      </c>
      <c r="C821" s="20">
        <v>3039686</v>
      </c>
      <c r="D821" s="20">
        <v>3354042</v>
      </c>
      <c r="E821" s="56">
        <v>-9.3699999999999992</v>
      </c>
      <c r="F821" s="57">
        <v>55081</v>
      </c>
      <c r="G821" s="57">
        <v>97436</v>
      </c>
      <c r="H821" s="57">
        <v>67480</v>
      </c>
      <c r="I821" s="57">
        <v>22822</v>
      </c>
      <c r="J821" s="57">
        <v>115872</v>
      </c>
      <c r="K821" s="57">
        <v>115565</v>
      </c>
      <c r="L821" s="56">
        <v>0.27</v>
      </c>
      <c r="M821" s="20">
        <v>1843145</v>
      </c>
      <c r="N821" s="56">
        <v>0.63</v>
      </c>
      <c r="O821" s="56">
        <v>0.63</v>
      </c>
      <c r="P821" s="58">
        <v>11.86</v>
      </c>
      <c r="Q821" s="59">
        <v>48.385764530044803</v>
      </c>
      <c r="R821" s="59">
        <v>1.3628473502296301</v>
      </c>
      <c r="S821" s="59">
        <v>0.582867153902767</v>
      </c>
      <c r="X821" s="2">
        <f t="shared" si="36"/>
        <v>0.51614235469955194</v>
      </c>
      <c r="Y821" s="2">
        <f>SUMIF(收盤價!A:A,A821,收盤價!C:C)</f>
        <v>10.6</v>
      </c>
      <c r="Z821" s="2">
        <f t="shared" si="37"/>
        <v>2185969.9699999997</v>
      </c>
      <c r="AA821" s="2">
        <f t="shared" si="38"/>
        <v>1953733.7</v>
      </c>
    </row>
    <row r="822" spans="1:27" ht="14.5" customHeight="1">
      <c r="A822" s="19" t="s">
        <v>5502</v>
      </c>
      <c r="B822" s="3" t="s">
        <v>737</v>
      </c>
      <c r="C822" s="20">
        <v>5910857</v>
      </c>
      <c r="D822" s="20">
        <v>4726730</v>
      </c>
      <c r="E822" s="56">
        <v>25.05</v>
      </c>
      <c r="F822" s="57">
        <v>100240</v>
      </c>
      <c r="G822" s="57">
        <v>36591</v>
      </c>
      <c r="H822" s="57">
        <v>50496</v>
      </c>
      <c r="I822" s="57">
        <v>44662</v>
      </c>
      <c r="J822" s="57">
        <v>129150</v>
      </c>
      <c r="K822" s="57">
        <v>62912</v>
      </c>
      <c r="L822" s="56">
        <v>105.29</v>
      </c>
      <c r="M822" s="20">
        <v>1000000</v>
      </c>
      <c r="N822" s="56">
        <v>1.29</v>
      </c>
      <c r="O822" s="56">
        <v>0.63</v>
      </c>
      <c r="P822" s="58">
        <v>17.98</v>
      </c>
      <c r="Q822" s="59">
        <v>41.626339189878003</v>
      </c>
      <c r="R822" s="59">
        <v>1.5076248542717301</v>
      </c>
      <c r="S822" s="59">
        <v>1.08092985063813</v>
      </c>
      <c r="X822" s="2">
        <f t="shared" si="36"/>
        <v>0.58373660810121997</v>
      </c>
      <c r="Y822" s="2">
        <f>SUMIF(收盤價!A:A,A822,收盤價!C:C)</f>
        <v>16.850000000000001</v>
      </c>
      <c r="Z822" s="2">
        <f t="shared" si="37"/>
        <v>1798000</v>
      </c>
      <c r="AA822" s="2">
        <f t="shared" si="38"/>
        <v>1685000</v>
      </c>
    </row>
    <row r="823" spans="1:27" ht="14.5" customHeight="1">
      <c r="A823" s="19" t="s">
        <v>5503</v>
      </c>
      <c r="B823" s="3" t="s">
        <v>765</v>
      </c>
      <c r="C823" s="20">
        <v>2219941</v>
      </c>
      <c r="D823" s="20">
        <v>1658723</v>
      </c>
      <c r="E823" s="56">
        <v>33.83</v>
      </c>
      <c r="F823" s="57">
        <v>44931</v>
      </c>
      <c r="G823" s="57">
        <v>33978</v>
      </c>
      <c r="H823" s="57">
        <v>11373</v>
      </c>
      <c r="I823" s="57">
        <v>18733</v>
      </c>
      <c r="J823" s="57">
        <v>45940</v>
      </c>
      <c r="K823" s="57">
        <v>42486</v>
      </c>
      <c r="L823" s="56">
        <v>8.1300000000000008</v>
      </c>
      <c r="M823" s="20">
        <v>699612</v>
      </c>
      <c r="N823" s="56">
        <v>0.66</v>
      </c>
      <c r="O823" s="56">
        <v>0.61</v>
      </c>
      <c r="P823" s="58">
        <v>16.27</v>
      </c>
      <c r="Q823" s="59">
        <v>59.656503011573101</v>
      </c>
      <c r="R823" s="59">
        <v>1.9142108961186199</v>
      </c>
      <c r="S823" s="59">
        <v>1.1962613978143199</v>
      </c>
      <c r="X823" s="2">
        <f t="shared" si="36"/>
        <v>0.40343496988426897</v>
      </c>
      <c r="Y823" s="2">
        <f>SUMIF(收盤價!A:A,A823,收盤價!C:C)</f>
        <v>12.5</v>
      </c>
      <c r="Z823" s="2">
        <f t="shared" si="37"/>
        <v>1138268.7239999999</v>
      </c>
      <c r="AA823" s="2">
        <f t="shared" si="38"/>
        <v>874515</v>
      </c>
    </row>
    <row r="824" spans="1:27" ht="14.5" customHeight="1">
      <c r="A824" s="19" t="s">
        <v>5504</v>
      </c>
      <c r="B824" s="3" t="s">
        <v>767</v>
      </c>
      <c r="C824" s="20">
        <v>722504</v>
      </c>
      <c r="D824" s="20">
        <v>673521</v>
      </c>
      <c r="E824" s="56">
        <v>7.27</v>
      </c>
      <c r="F824" s="57">
        <v>86284</v>
      </c>
      <c r="G824" s="57">
        <v>42943</v>
      </c>
      <c r="H824" s="57">
        <v>12177</v>
      </c>
      <c r="I824" s="57">
        <v>20435</v>
      </c>
      <c r="J824" s="57">
        <v>80072</v>
      </c>
      <c r="K824" s="57">
        <v>57185</v>
      </c>
      <c r="L824" s="56">
        <v>40.020000000000003</v>
      </c>
      <c r="M824" s="20">
        <v>472539</v>
      </c>
      <c r="N824" s="56">
        <v>1.69</v>
      </c>
      <c r="O824" s="56">
        <v>1.21</v>
      </c>
      <c r="P824" s="58">
        <v>15.71</v>
      </c>
      <c r="Q824" s="59">
        <v>60.132762791421101</v>
      </c>
      <c r="R824" s="59">
        <v>3.1652492792083899</v>
      </c>
      <c r="S824" s="59">
        <v>2.0831385574876702</v>
      </c>
      <c r="X824" s="2">
        <f t="shared" si="36"/>
        <v>0.39867237208578898</v>
      </c>
      <c r="Y824" s="2">
        <f>SUMIF(收盤價!A:A,A824,收盤價!C:C)</f>
        <v>18.7</v>
      </c>
      <c r="Z824" s="2">
        <f t="shared" si="37"/>
        <v>742358.76900000009</v>
      </c>
      <c r="AA824" s="2">
        <f t="shared" si="38"/>
        <v>883647.92999999993</v>
      </c>
    </row>
    <row r="825" spans="1:27" ht="14.5" customHeight="1">
      <c r="A825" s="19" t="s">
        <v>5505</v>
      </c>
      <c r="B825" s="3" t="s">
        <v>779</v>
      </c>
      <c r="C825" s="20">
        <v>5521432</v>
      </c>
      <c r="D825" s="20">
        <v>4648442</v>
      </c>
      <c r="E825" s="56">
        <v>18.78</v>
      </c>
      <c r="F825" s="57">
        <v>521057</v>
      </c>
      <c r="G825" s="57">
        <v>499801</v>
      </c>
      <c r="H825" s="57">
        <v>48661</v>
      </c>
      <c r="I825" s="57">
        <v>29144</v>
      </c>
      <c r="J825" s="57">
        <v>446501</v>
      </c>
      <c r="K825" s="57">
        <v>404220</v>
      </c>
      <c r="L825" s="56">
        <v>10.46</v>
      </c>
      <c r="M825" s="20">
        <v>1063603</v>
      </c>
      <c r="N825" s="56">
        <v>4.2</v>
      </c>
      <c r="O825" s="56">
        <v>3.8</v>
      </c>
      <c r="P825" s="58">
        <v>26.3</v>
      </c>
      <c r="Q825" s="59">
        <v>54.710230517118703</v>
      </c>
      <c r="R825" s="59">
        <v>1.9234209083136899</v>
      </c>
      <c r="S825" s="59">
        <v>1.05138894603042</v>
      </c>
      <c r="X825" s="2">
        <f t="shared" si="36"/>
        <v>0.45289769482881298</v>
      </c>
      <c r="Y825" s="2">
        <f>SUMIF(收盤價!A:A,A825,收盤價!C:C)</f>
        <v>53.7</v>
      </c>
      <c r="Z825" s="2">
        <f t="shared" si="37"/>
        <v>2797275.89</v>
      </c>
      <c r="AA825" s="2">
        <f t="shared" si="38"/>
        <v>5711548.1100000003</v>
      </c>
    </row>
    <row r="826" spans="1:27" ht="14.5" customHeight="1">
      <c r="A826" s="19" t="s">
        <v>5506</v>
      </c>
      <c r="B826" s="3" t="s">
        <v>1079</v>
      </c>
      <c r="C826" s="20">
        <v>8915170</v>
      </c>
      <c r="D826" s="20">
        <v>6647352</v>
      </c>
      <c r="E826" s="56">
        <v>34.119999999999997</v>
      </c>
      <c r="F826" s="57">
        <v>399789</v>
      </c>
      <c r="G826" s="57">
        <v>280582</v>
      </c>
      <c r="H826" s="57">
        <v>43013</v>
      </c>
      <c r="I826" s="57">
        <v>34373</v>
      </c>
      <c r="J826" s="57">
        <v>351313</v>
      </c>
      <c r="K826" s="57">
        <v>252939</v>
      </c>
      <c r="L826" s="56">
        <v>38.89</v>
      </c>
      <c r="M826" s="20">
        <v>1246352</v>
      </c>
      <c r="N826" s="56">
        <v>2.85</v>
      </c>
      <c r="O826" s="56">
        <v>2.06</v>
      </c>
      <c r="P826" s="58">
        <v>19.420000000000002</v>
      </c>
      <c r="Q826" s="59">
        <v>46.318487252150703</v>
      </c>
      <c r="R826" s="59">
        <v>1.61997316955069</v>
      </c>
      <c r="S826" s="59">
        <v>0.87860304140967405</v>
      </c>
      <c r="X826" s="2">
        <f t="shared" si="36"/>
        <v>0.53681512747849292</v>
      </c>
      <c r="Y826" s="2">
        <f>SUMIF(收盤價!A:A,A826,收盤價!C:C)</f>
        <v>30.15</v>
      </c>
      <c r="Z826" s="2">
        <f t="shared" si="37"/>
        <v>2420415.5840000003</v>
      </c>
      <c r="AA826" s="2">
        <f t="shared" si="38"/>
        <v>3757751.28</v>
      </c>
    </row>
    <row r="827" spans="1:27" ht="14.5" customHeight="1">
      <c r="A827" s="19" t="s">
        <v>5507</v>
      </c>
      <c r="B827" s="3" t="s">
        <v>1145</v>
      </c>
      <c r="C827" s="20">
        <v>1636383</v>
      </c>
      <c r="D827" s="20">
        <v>1577612</v>
      </c>
      <c r="E827" s="56">
        <v>3.73</v>
      </c>
      <c r="F827" s="57">
        <v>321643</v>
      </c>
      <c r="G827" s="57">
        <v>323109</v>
      </c>
      <c r="H827" s="57">
        <v>14291</v>
      </c>
      <c r="I827" s="57">
        <v>28946</v>
      </c>
      <c r="J827" s="57">
        <v>286001</v>
      </c>
      <c r="K827" s="57">
        <v>282207</v>
      </c>
      <c r="L827" s="56">
        <v>1.34</v>
      </c>
      <c r="M827" s="20">
        <v>331907</v>
      </c>
      <c r="N827" s="56">
        <v>8.6199999999999992</v>
      </c>
      <c r="O827" s="56">
        <v>8.51</v>
      </c>
      <c r="P827" s="58">
        <v>44.91</v>
      </c>
      <c r="Q827" s="59">
        <v>57.667524053312398</v>
      </c>
      <c r="R827" s="59">
        <v>2.1768675185419299</v>
      </c>
      <c r="S827" s="59">
        <v>2.1617320233833599</v>
      </c>
      <c r="X827" s="2">
        <f t="shared" si="36"/>
        <v>0.42332475946687603</v>
      </c>
      <c r="Y827" s="2">
        <f>SUMIF(收盤價!A:A,A827,收盤價!C:C)</f>
        <v>160.5</v>
      </c>
      <c r="Z827" s="2">
        <f t="shared" si="37"/>
        <v>1490594.3369999998</v>
      </c>
      <c r="AA827" s="2">
        <f t="shared" si="38"/>
        <v>5327107.3499999996</v>
      </c>
    </row>
    <row r="828" spans="1:27" ht="14.5" customHeight="1">
      <c r="A828" s="21" t="s">
        <v>5508</v>
      </c>
      <c r="B828" s="22" t="s">
        <v>1430</v>
      </c>
      <c r="C828" s="23">
        <v>3711839</v>
      </c>
      <c r="D828" s="23">
        <v>1045896</v>
      </c>
      <c r="E828" s="60">
        <v>254.9</v>
      </c>
      <c r="F828" s="61">
        <v>616638</v>
      </c>
      <c r="G828" s="61">
        <v>-239032</v>
      </c>
      <c r="H828" s="61">
        <v>4673</v>
      </c>
      <c r="I828" s="61">
        <v>-10327</v>
      </c>
      <c r="J828" s="61">
        <v>495834</v>
      </c>
      <c r="K828" s="61">
        <v>-287393</v>
      </c>
      <c r="L828" s="60"/>
      <c r="M828" s="23">
        <v>1106390</v>
      </c>
      <c r="N828" s="60">
        <v>4.4800000000000004</v>
      </c>
      <c r="O828" s="60">
        <v>-2.6</v>
      </c>
      <c r="P828" s="62">
        <v>13.13</v>
      </c>
      <c r="Q828" s="63">
        <v>66.156260462955203</v>
      </c>
      <c r="R828" s="63">
        <v>2.7706811828023201</v>
      </c>
      <c r="S828" s="63">
        <v>2.7174142996525599</v>
      </c>
      <c r="X828" s="2">
        <f t="shared" si="36"/>
        <v>0.33843739537044798</v>
      </c>
      <c r="Y828" s="2">
        <f>SUMIF(收盤價!A:A,A828,收盤價!C:C)</f>
        <v>87.5</v>
      </c>
      <c r="Z828" s="2">
        <f t="shared" si="37"/>
        <v>1452690.07</v>
      </c>
      <c r="AA828" s="2">
        <f t="shared" si="38"/>
        <v>9680912.5</v>
      </c>
    </row>
    <row r="829" spans="1:27" ht="14.5" customHeight="1">
      <c r="A829" s="24" t="s">
        <v>5509</v>
      </c>
      <c r="B829" s="25" t="s">
        <v>1436</v>
      </c>
      <c r="C829" s="26">
        <v>1454646</v>
      </c>
      <c r="D829" s="26">
        <v>1589532</v>
      </c>
      <c r="E829" s="64">
        <v>-8.49</v>
      </c>
      <c r="F829" s="65">
        <v>258577</v>
      </c>
      <c r="G829" s="65">
        <v>423427</v>
      </c>
      <c r="H829" s="65">
        <v>217014</v>
      </c>
      <c r="I829" s="65">
        <v>20339</v>
      </c>
      <c r="J829" s="65">
        <v>379945</v>
      </c>
      <c r="K829" s="65">
        <v>328829</v>
      </c>
      <c r="L829" s="64">
        <v>15.54</v>
      </c>
      <c r="M829" s="26">
        <v>845992</v>
      </c>
      <c r="N829" s="64">
        <v>4.53</v>
      </c>
      <c r="O829" s="64">
        <v>3.88</v>
      </c>
      <c r="P829" s="66">
        <v>49.42</v>
      </c>
      <c r="Q829" s="67">
        <v>76.0838377123019</v>
      </c>
      <c r="R829" s="67">
        <v>4.21144480915786</v>
      </c>
      <c r="S829" s="67">
        <v>1.9749403291348699</v>
      </c>
      <c r="X829" s="2">
        <f t="shared" si="36"/>
        <v>0.23916162287698101</v>
      </c>
      <c r="Y829" s="2">
        <f>SUMIF(收盤價!A:A,A829,收盤價!C:C)</f>
        <v>112</v>
      </c>
      <c r="Z829" s="2">
        <f t="shared" si="37"/>
        <v>4180892.4640000002</v>
      </c>
      <c r="AA829" s="2">
        <f t="shared" si="38"/>
        <v>9475110.4000000004</v>
      </c>
    </row>
    <row r="830" spans="1:27" ht="14.5" customHeight="1">
      <c r="A830" s="19" t="s">
        <v>5510</v>
      </c>
      <c r="B830" s="3" t="s">
        <v>1512</v>
      </c>
      <c r="C830" s="20">
        <v>12306999</v>
      </c>
      <c r="D830" s="20">
        <v>11186815</v>
      </c>
      <c r="E830" s="56">
        <v>10.01</v>
      </c>
      <c r="F830" s="57">
        <v>467289</v>
      </c>
      <c r="G830" s="57">
        <v>427254</v>
      </c>
      <c r="H830" s="57">
        <v>50175</v>
      </c>
      <c r="I830" s="57">
        <v>17838</v>
      </c>
      <c r="J830" s="57">
        <v>379456</v>
      </c>
      <c r="K830" s="57">
        <v>318055</v>
      </c>
      <c r="L830" s="56">
        <v>19.309999999999999</v>
      </c>
      <c r="M830" s="20">
        <v>1883573</v>
      </c>
      <c r="N830" s="56">
        <v>2.58</v>
      </c>
      <c r="O830" s="56">
        <v>2.6</v>
      </c>
      <c r="P830" s="58">
        <v>22.76</v>
      </c>
      <c r="Q830" s="59">
        <v>54.448673799061403</v>
      </c>
      <c r="R830" s="59">
        <v>2.3115985409664601</v>
      </c>
      <c r="S830" s="59">
        <v>1.2221011189108</v>
      </c>
      <c r="X830" s="2">
        <f t="shared" si="36"/>
        <v>0.45551326200938597</v>
      </c>
      <c r="Y830" s="2">
        <f>SUMIF(收盤價!A:A,A830,收盤價!C:C)</f>
        <v>34.35</v>
      </c>
      <c r="Z830" s="2">
        <f t="shared" si="37"/>
        <v>4287012.148</v>
      </c>
      <c r="AA830" s="2">
        <f t="shared" si="38"/>
        <v>6470073.2550000008</v>
      </c>
    </row>
    <row r="831" spans="1:27" ht="14.5" customHeight="1">
      <c r="A831" s="19" t="s">
        <v>5511</v>
      </c>
      <c r="B831" s="3" t="s">
        <v>1556</v>
      </c>
      <c r="C831" s="20">
        <v>1725468</v>
      </c>
      <c r="D831" s="20">
        <v>1583601</v>
      </c>
      <c r="E831" s="56">
        <v>8.9600000000000009</v>
      </c>
      <c r="F831" s="57">
        <v>350709</v>
      </c>
      <c r="G831" s="57">
        <v>336145</v>
      </c>
      <c r="H831" s="57">
        <v>9795</v>
      </c>
      <c r="I831" s="57">
        <v>13347</v>
      </c>
      <c r="J831" s="57">
        <v>293282</v>
      </c>
      <c r="K831" s="57">
        <v>280040</v>
      </c>
      <c r="L831" s="56">
        <v>4.7300000000000004</v>
      </c>
      <c r="M831" s="20">
        <v>1500000</v>
      </c>
      <c r="N831" s="56">
        <v>1.96</v>
      </c>
      <c r="O831" s="56">
        <v>1.87</v>
      </c>
      <c r="P831" s="58">
        <v>14.62</v>
      </c>
      <c r="Q831" s="59">
        <v>76.034850154321703</v>
      </c>
      <c r="R831" s="59">
        <v>2.5592932719332002</v>
      </c>
      <c r="S831" s="59">
        <v>2.1787531186220099</v>
      </c>
      <c r="X831" s="2">
        <f t="shared" si="36"/>
        <v>0.23965149845678296</v>
      </c>
      <c r="Y831" s="2">
        <f>SUMIF(收盤價!A:A,A831,收盤價!C:C)</f>
        <v>36.9</v>
      </c>
      <c r="Z831" s="2">
        <f t="shared" si="37"/>
        <v>2193000</v>
      </c>
      <c r="AA831" s="2">
        <f t="shared" si="38"/>
        <v>5535000</v>
      </c>
    </row>
    <row r="832" spans="1:27" ht="14.5" customHeight="1">
      <c r="A832" s="19" t="s">
        <v>5512</v>
      </c>
      <c r="B832" s="3" t="s">
        <v>1582</v>
      </c>
      <c r="C832" s="20">
        <v>22051023</v>
      </c>
      <c r="D832" s="20">
        <v>19515989</v>
      </c>
      <c r="E832" s="56">
        <v>12.99</v>
      </c>
      <c r="F832" s="57">
        <v>607017</v>
      </c>
      <c r="G832" s="57">
        <v>687722</v>
      </c>
      <c r="H832" s="57">
        <v>1596490</v>
      </c>
      <c r="I832" s="57">
        <v>553505</v>
      </c>
      <c r="J832" s="57">
        <v>1808042</v>
      </c>
      <c r="K832" s="57">
        <v>1051418</v>
      </c>
      <c r="L832" s="56">
        <v>71.959999999999994</v>
      </c>
      <c r="M832" s="20">
        <v>2693933</v>
      </c>
      <c r="N832" s="56">
        <v>7.31</v>
      </c>
      <c r="O832" s="56">
        <v>4.2699999999999996</v>
      </c>
      <c r="P832" s="58">
        <v>54.01</v>
      </c>
      <c r="Q832" s="59">
        <v>62.041597746449</v>
      </c>
      <c r="R832" s="59">
        <v>1.95142293742587</v>
      </c>
      <c r="S832" s="59">
        <v>1.3709479416009001</v>
      </c>
      <c r="X832" s="2">
        <f t="shared" si="36"/>
        <v>0.37958402253550999</v>
      </c>
      <c r="Y832" s="2">
        <f>SUMIF(收盤價!A:A,A832,收盤價!C:C)</f>
        <v>75.5</v>
      </c>
      <c r="Z832" s="2">
        <f t="shared" si="37"/>
        <v>14549932.132999998</v>
      </c>
      <c r="AA832" s="2">
        <f t="shared" si="38"/>
        <v>20339194.149999999</v>
      </c>
    </row>
    <row r="833" spans="1:27" ht="14.5" customHeight="1">
      <c r="A833" s="19" t="s">
        <v>5513</v>
      </c>
      <c r="B833" s="3" t="s">
        <v>548</v>
      </c>
      <c r="C833" s="20">
        <v>137549891</v>
      </c>
      <c r="D833" s="20">
        <v>132832644</v>
      </c>
      <c r="E833" s="56">
        <v>3.55</v>
      </c>
      <c r="F833" s="57">
        <v>1261713</v>
      </c>
      <c r="G833" s="57">
        <v>1779681</v>
      </c>
      <c r="H833" s="57">
        <v>-467054</v>
      </c>
      <c r="I833" s="57">
        <v>-262264</v>
      </c>
      <c r="J833" s="57">
        <v>453735</v>
      </c>
      <c r="K833" s="57">
        <v>550382</v>
      </c>
      <c r="L833" s="56">
        <v>-17.559999999999999</v>
      </c>
      <c r="M833" s="20">
        <v>14591252</v>
      </c>
      <c r="N833" s="56">
        <v>0.34</v>
      </c>
      <c r="O833" s="56">
        <v>0.41</v>
      </c>
      <c r="P833" s="58">
        <v>11.33</v>
      </c>
      <c r="Q833" s="59">
        <v>15.837175033516701</v>
      </c>
      <c r="R833" s="59">
        <v>1.03170553382456</v>
      </c>
      <c r="S833" s="59">
        <v>0.63526339575782498</v>
      </c>
      <c r="X833" s="2">
        <f t="shared" si="36"/>
        <v>0.84162824966483296</v>
      </c>
      <c r="Y833" s="2">
        <f>SUMIF(收盤價!A:A,A833,收盤價!C:C)</f>
        <v>12.85</v>
      </c>
      <c r="Z833" s="2">
        <f t="shared" si="37"/>
        <v>16531888.515999999</v>
      </c>
      <c r="AA833" s="2">
        <f t="shared" si="38"/>
        <v>18749758.82</v>
      </c>
    </row>
    <row r="834" spans="1:27" ht="14.5" customHeight="1">
      <c r="A834" s="19" t="s">
        <v>5514</v>
      </c>
      <c r="B834" s="3" t="s">
        <v>1</v>
      </c>
      <c r="C834" s="20">
        <v>5342810995</v>
      </c>
      <c r="D834" s="20">
        <v>5293803022</v>
      </c>
      <c r="E834" s="56">
        <v>0.93</v>
      </c>
      <c r="F834" s="57">
        <v>114896886</v>
      </c>
      <c r="G834" s="57">
        <v>136146875</v>
      </c>
      <c r="H834" s="57">
        <v>48981061</v>
      </c>
      <c r="I834" s="57">
        <v>34104567</v>
      </c>
      <c r="J834" s="57">
        <v>115308736</v>
      </c>
      <c r="K834" s="57">
        <v>129065105</v>
      </c>
      <c r="L834" s="56">
        <v>-10.66</v>
      </c>
      <c r="M834" s="20">
        <v>138629906</v>
      </c>
      <c r="N834" s="56">
        <v>8.32</v>
      </c>
      <c r="O834" s="56">
        <v>8.0299999999999994</v>
      </c>
      <c r="P834" s="58">
        <v>89.46</v>
      </c>
      <c r="Q834" s="59">
        <v>37.338335290461899</v>
      </c>
      <c r="R834" s="59">
        <v>1.5527921094023001</v>
      </c>
      <c r="S834" s="59">
        <v>1.1976570565737601</v>
      </c>
      <c r="X834" s="2">
        <f t="shared" si="36"/>
        <v>0.62661664709538101</v>
      </c>
      <c r="Y834" s="2">
        <f>SUMIF(收盤價!A:A,A834,收盤價!C:C)</f>
        <v>90.8</v>
      </c>
      <c r="Z834" s="2">
        <f t="shared" si="37"/>
        <v>1240183139.0759997</v>
      </c>
      <c r="AA834" s="2">
        <f t="shared" si="38"/>
        <v>1258759546.48</v>
      </c>
    </row>
    <row r="835" spans="1:27" ht="14.5" customHeight="1">
      <c r="A835" s="19" t="s">
        <v>5515</v>
      </c>
      <c r="B835" s="3" t="s">
        <v>598</v>
      </c>
      <c r="C835" s="20">
        <v>99802129</v>
      </c>
      <c r="D835" s="20">
        <v>142057432</v>
      </c>
      <c r="E835" s="56">
        <v>-29.75</v>
      </c>
      <c r="F835" s="57">
        <v>5294292</v>
      </c>
      <c r="G835" s="57">
        <v>8606384</v>
      </c>
      <c r="H835" s="57">
        <v>3081986</v>
      </c>
      <c r="I835" s="57">
        <v>2726067</v>
      </c>
      <c r="J835" s="57">
        <v>7129801</v>
      </c>
      <c r="K835" s="57">
        <v>9146659</v>
      </c>
      <c r="L835" s="56">
        <v>-22.05</v>
      </c>
      <c r="M835" s="20">
        <v>14144852</v>
      </c>
      <c r="N835" s="56">
        <v>5.04</v>
      </c>
      <c r="O835" s="56">
        <v>6.47</v>
      </c>
      <c r="P835" s="58">
        <v>76.790000000000006</v>
      </c>
      <c r="Q835" s="59">
        <v>65.999626785993698</v>
      </c>
      <c r="R835" s="59">
        <v>1.9706628832847299</v>
      </c>
      <c r="S835" s="59">
        <v>1.2866307507719299</v>
      </c>
      <c r="X835" s="2">
        <f t="shared" si="36"/>
        <v>0.34000373214006302</v>
      </c>
      <c r="Y835" s="2">
        <f>SUMIF(收盤價!A:A,A835,收盤價!C:C)</f>
        <v>66.2</v>
      </c>
      <c r="Z835" s="2">
        <f t="shared" si="37"/>
        <v>108618318.50800002</v>
      </c>
      <c r="AA835" s="2">
        <f t="shared" si="38"/>
        <v>93638920.24000001</v>
      </c>
    </row>
    <row r="836" spans="1:27" ht="14.5" customHeight="1">
      <c r="A836" s="19" t="s">
        <v>5516</v>
      </c>
      <c r="B836" s="3" t="s">
        <v>607</v>
      </c>
      <c r="C836" s="20">
        <v>3737064</v>
      </c>
      <c r="D836" s="20">
        <v>3948938</v>
      </c>
      <c r="E836" s="56">
        <v>-5.37</v>
      </c>
      <c r="F836" s="57">
        <v>33439</v>
      </c>
      <c r="G836" s="57">
        <v>150681</v>
      </c>
      <c r="H836" s="57">
        <v>404049</v>
      </c>
      <c r="I836" s="57">
        <v>223699</v>
      </c>
      <c r="J836" s="57">
        <v>318447</v>
      </c>
      <c r="K836" s="57">
        <v>282193</v>
      </c>
      <c r="L836" s="56">
        <v>12.85</v>
      </c>
      <c r="M836" s="20">
        <v>1714711</v>
      </c>
      <c r="N836" s="56">
        <v>1.86</v>
      </c>
      <c r="O836" s="56">
        <v>1.65</v>
      </c>
      <c r="P836" s="58">
        <v>26.69</v>
      </c>
      <c r="Q836" s="59">
        <v>72.674124863523105</v>
      </c>
      <c r="R836" s="59">
        <v>3.7413904538660101</v>
      </c>
      <c r="S836" s="59">
        <v>2.8501417837384202</v>
      </c>
      <c r="X836" s="2">
        <f t="shared" si="36"/>
        <v>0.27325875136476896</v>
      </c>
      <c r="Y836" s="2">
        <f>SUMIF(收盤價!A:A,A836,收盤價!C:C)</f>
        <v>22.1</v>
      </c>
      <c r="Z836" s="2">
        <f t="shared" si="37"/>
        <v>4576563.659</v>
      </c>
      <c r="AA836" s="2">
        <f t="shared" si="38"/>
        <v>3789511.31</v>
      </c>
    </row>
    <row r="837" spans="1:27" ht="14.5" customHeight="1">
      <c r="A837" s="19" t="s">
        <v>5517</v>
      </c>
      <c r="B837" s="3" t="s">
        <v>609</v>
      </c>
      <c r="C837" s="20">
        <v>13909634</v>
      </c>
      <c r="D837" s="20">
        <v>16931128</v>
      </c>
      <c r="E837" s="56">
        <v>-17.850000000000001</v>
      </c>
      <c r="F837" s="57">
        <v>2059459</v>
      </c>
      <c r="G837" s="57">
        <v>3039633</v>
      </c>
      <c r="H837" s="57">
        <v>279147</v>
      </c>
      <c r="I837" s="57">
        <v>268457</v>
      </c>
      <c r="J837" s="57">
        <v>1854481</v>
      </c>
      <c r="K837" s="57">
        <v>2546275</v>
      </c>
      <c r="L837" s="56">
        <v>-27.17</v>
      </c>
      <c r="M837" s="20">
        <v>4206685</v>
      </c>
      <c r="N837" s="56">
        <v>4.4800000000000004</v>
      </c>
      <c r="O837" s="56">
        <v>6.22</v>
      </c>
      <c r="P837" s="58">
        <v>34.69</v>
      </c>
      <c r="Q837" s="59">
        <v>56.959232572050702</v>
      </c>
      <c r="R837" s="59">
        <v>1.6874399851114199</v>
      </c>
      <c r="S837" s="59">
        <v>1.1762936891999101</v>
      </c>
      <c r="X837" s="2">
        <f t="shared" ref="X837:X900" si="39">IF(W837&lt;&gt;"",ROUND(W837/U837,2),(100-Q837)/100)</f>
        <v>0.430407674279493</v>
      </c>
      <c r="Y837" s="2">
        <f>SUMIF(收盤價!A:A,A837,收盤價!C:C)</f>
        <v>145</v>
      </c>
      <c r="Z837" s="2">
        <f t="shared" ref="Z837:Z900" si="40">IF(W837&lt;&gt;"",U837-W837,M837*P837/10)</f>
        <v>14592990.264999997</v>
      </c>
      <c r="AA837" s="2">
        <f t="shared" ref="AA837:AA900" si="41">Y837*M837/10</f>
        <v>60996932.5</v>
      </c>
    </row>
    <row r="838" spans="1:27" ht="14.5" customHeight="1">
      <c r="A838" s="19" t="s">
        <v>5518</v>
      </c>
      <c r="B838" s="3" t="s">
        <v>627</v>
      </c>
      <c r="C838" s="20">
        <v>13605113</v>
      </c>
      <c r="D838" s="20">
        <v>14343895</v>
      </c>
      <c r="E838" s="56">
        <v>-5.15</v>
      </c>
      <c r="F838" s="57">
        <v>1370653</v>
      </c>
      <c r="G838" s="57">
        <v>1465824</v>
      </c>
      <c r="H838" s="57">
        <v>562087</v>
      </c>
      <c r="I838" s="57">
        <v>543934</v>
      </c>
      <c r="J838" s="57">
        <v>1374792</v>
      </c>
      <c r="K838" s="57">
        <v>1522999</v>
      </c>
      <c r="L838" s="56">
        <v>-9.73</v>
      </c>
      <c r="M838" s="20">
        <v>2362025</v>
      </c>
      <c r="N838" s="56">
        <v>6.12</v>
      </c>
      <c r="O838" s="56">
        <v>6.78</v>
      </c>
      <c r="P838" s="58">
        <v>32.24</v>
      </c>
      <c r="Q838" s="59">
        <v>42.149195874919698</v>
      </c>
      <c r="R838" s="59">
        <v>1.7084895326523</v>
      </c>
      <c r="S838" s="59">
        <v>1.4108252930037</v>
      </c>
      <c r="X838" s="2">
        <f t="shared" si="39"/>
        <v>0.57850804125080302</v>
      </c>
      <c r="Y838" s="2">
        <f>SUMIF(收盤價!A:A,A838,收盤價!C:C)</f>
        <v>90.1</v>
      </c>
      <c r="Z838" s="2">
        <f t="shared" si="40"/>
        <v>7615168.5999999996</v>
      </c>
      <c r="AA838" s="2">
        <f t="shared" si="41"/>
        <v>21281845.25</v>
      </c>
    </row>
    <row r="839" spans="1:27" ht="14.5" customHeight="1">
      <c r="A839" s="19" t="s">
        <v>5519</v>
      </c>
      <c r="B839" s="3" t="s">
        <v>649</v>
      </c>
      <c r="C839" s="20">
        <v>621283</v>
      </c>
      <c r="D839" s="20">
        <v>672356</v>
      </c>
      <c r="E839" s="56">
        <v>-7.6</v>
      </c>
      <c r="F839" s="57">
        <v>-147916</v>
      </c>
      <c r="G839" s="57">
        <v>-148576</v>
      </c>
      <c r="H839" s="57">
        <v>-29369</v>
      </c>
      <c r="I839" s="57">
        <v>-33211</v>
      </c>
      <c r="J839" s="57">
        <v>-180666</v>
      </c>
      <c r="K839" s="57">
        <v>-173139</v>
      </c>
      <c r="L839" s="56"/>
      <c r="M839" s="20">
        <v>2140216</v>
      </c>
      <c r="N839" s="56">
        <v>-0.84</v>
      </c>
      <c r="O839" s="56">
        <v>-0.81</v>
      </c>
      <c r="P839" s="58">
        <v>9.73</v>
      </c>
      <c r="Q839" s="59">
        <v>78.804853897621101</v>
      </c>
      <c r="R839" s="59">
        <v>2.9337637745912901</v>
      </c>
      <c r="S839" s="59">
        <v>1.4084139018994699</v>
      </c>
      <c r="X839" s="2">
        <f t="shared" si="39"/>
        <v>0.21195146102378901</v>
      </c>
      <c r="Y839" s="2">
        <f>SUMIF(收盤價!A:A,A839,收盤價!C:C)</f>
        <v>11.05</v>
      </c>
      <c r="Z839" s="2">
        <f t="shared" si="40"/>
        <v>2082430.1680000001</v>
      </c>
      <c r="AA839" s="2">
        <f t="shared" si="41"/>
        <v>2364938.6800000002</v>
      </c>
    </row>
    <row r="840" spans="1:27" ht="14.5" customHeight="1">
      <c r="A840" s="19" t="s">
        <v>5520</v>
      </c>
      <c r="B840" s="3" t="s">
        <v>665</v>
      </c>
      <c r="C840" s="20">
        <v>23920633</v>
      </c>
      <c r="D840" s="20">
        <v>18127934</v>
      </c>
      <c r="E840" s="56">
        <v>31.95</v>
      </c>
      <c r="F840" s="57">
        <v>3407298</v>
      </c>
      <c r="G840" s="57">
        <v>2372100</v>
      </c>
      <c r="H840" s="57">
        <v>322091</v>
      </c>
      <c r="I840" s="57">
        <v>664922</v>
      </c>
      <c r="J840" s="57">
        <v>2815298</v>
      </c>
      <c r="K840" s="57">
        <v>2147566</v>
      </c>
      <c r="L840" s="56">
        <v>31.09</v>
      </c>
      <c r="M840" s="20">
        <v>1905867</v>
      </c>
      <c r="N840" s="56">
        <v>14.77</v>
      </c>
      <c r="O840" s="56">
        <v>9.42</v>
      </c>
      <c r="P840" s="58">
        <v>44.95</v>
      </c>
      <c r="Q840" s="59">
        <v>37.112156392265597</v>
      </c>
      <c r="R840" s="59">
        <v>1.3742200241464999</v>
      </c>
      <c r="S840" s="59">
        <v>0.94623586946196703</v>
      </c>
      <c r="X840" s="2">
        <f t="shared" si="39"/>
        <v>0.62887843607734406</v>
      </c>
      <c r="Y840" s="2">
        <f>SUMIF(收盤價!A:A,A840,收盤價!C:C)</f>
        <v>196</v>
      </c>
      <c r="Z840" s="2">
        <f t="shared" si="40"/>
        <v>8566872.165000001</v>
      </c>
      <c r="AA840" s="2">
        <f t="shared" si="41"/>
        <v>37354993.200000003</v>
      </c>
    </row>
    <row r="841" spans="1:27" ht="14.5" customHeight="1">
      <c r="A841" s="19" t="s">
        <v>5521</v>
      </c>
      <c r="B841" s="3" t="s">
        <v>691</v>
      </c>
      <c r="C841" s="20">
        <v>2552976</v>
      </c>
      <c r="D841" s="20">
        <v>2575323</v>
      </c>
      <c r="E841" s="56">
        <v>-0.87</v>
      </c>
      <c r="F841" s="57">
        <v>336081</v>
      </c>
      <c r="G841" s="57">
        <v>350151</v>
      </c>
      <c r="H841" s="57">
        <v>59114</v>
      </c>
      <c r="I841" s="57">
        <v>71458</v>
      </c>
      <c r="J841" s="57">
        <v>312096</v>
      </c>
      <c r="K841" s="57">
        <v>343525</v>
      </c>
      <c r="L841" s="56">
        <v>-9.15</v>
      </c>
      <c r="M841" s="20">
        <v>1450472</v>
      </c>
      <c r="N841" s="56">
        <v>2.15</v>
      </c>
      <c r="O841" s="56">
        <v>2.37</v>
      </c>
      <c r="P841" s="58">
        <v>16.13</v>
      </c>
      <c r="Q841" s="59">
        <v>74.7747978110568</v>
      </c>
      <c r="R841" s="59">
        <v>3.2574675806867699</v>
      </c>
      <c r="S841" s="59">
        <v>1.94333440160084</v>
      </c>
      <c r="X841" s="2">
        <f t="shared" si="39"/>
        <v>0.25225202188943202</v>
      </c>
      <c r="Y841" s="2">
        <f>SUMIF(收盤價!A:A,A841,收盤價!C:C)</f>
        <v>26.85</v>
      </c>
      <c r="Z841" s="2">
        <f t="shared" si="40"/>
        <v>2339611.3360000001</v>
      </c>
      <c r="AA841" s="2">
        <f t="shared" si="41"/>
        <v>3894517.3200000003</v>
      </c>
    </row>
    <row r="842" spans="1:27" ht="14.5" customHeight="1">
      <c r="A842" s="19" t="s">
        <v>5522</v>
      </c>
      <c r="B842" s="3" t="s">
        <v>709</v>
      </c>
      <c r="C842" s="20">
        <v>4324684</v>
      </c>
      <c r="D842" s="20">
        <v>4090448</v>
      </c>
      <c r="E842" s="56">
        <v>5.73</v>
      </c>
      <c r="F842" s="57">
        <v>595025</v>
      </c>
      <c r="G842" s="57">
        <v>456978</v>
      </c>
      <c r="H842" s="57">
        <v>187046</v>
      </c>
      <c r="I842" s="57">
        <v>177720</v>
      </c>
      <c r="J842" s="57">
        <v>611951</v>
      </c>
      <c r="K842" s="57">
        <v>528345</v>
      </c>
      <c r="L842" s="56">
        <v>15.82</v>
      </c>
      <c r="M842" s="20">
        <v>1444960</v>
      </c>
      <c r="N842" s="56">
        <v>4.24</v>
      </c>
      <c r="O842" s="56">
        <v>3.66</v>
      </c>
      <c r="P842" s="58">
        <v>28.89</v>
      </c>
      <c r="Q842" s="59">
        <v>52.1807445677792</v>
      </c>
      <c r="R842" s="59">
        <v>1.5751004453327599</v>
      </c>
      <c r="S842" s="59">
        <v>0.370204118137127</v>
      </c>
      <c r="X842" s="2">
        <f t="shared" si="39"/>
        <v>0.47819255432220797</v>
      </c>
      <c r="Y842" s="2">
        <f>SUMIF(收盤價!A:A,A842,收盤價!C:C)</f>
        <v>56.2</v>
      </c>
      <c r="Z842" s="2">
        <f t="shared" si="40"/>
        <v>4174489.44</v>
      </c>
      <c r="AA842" s="2">
        <f t="shared" si="41"/>
        <v>8120675.2000000002</v>
      </c>
    </row>
    <row r="843" spans="1:27" ht="14.5" customHeight="1">
      <c r="A843" s="19" t="s">
        <v>5523</v>
      </c>
      <c r="B843" s="3" t="s">
        <v>753</v>
      </c>
      <c r="C843" s="20">
        <v>5199022</v>
      </c>
      <c r="D843" s="20">
        <v>5202250</v>
      </c>
      <c r="E843" s="56">
        <v>-0.06</v>
      </c>
      <c r="F843" s="57">
        <v>31018</v>
      </c>
      <c r="G843" s="57">
        <v>172849</v>
      </c>
      <c r="H843" s="57">
        <v>-146410</v>
      </c>
      <c r="I843" s="57">
        <v>-85850</v>
      </c>
      <c r="J843" s="57">
        <v>-119835</v>
      </c>
      <c r="K843" s="57">
        <v>65829</v>
      </c>
      <c r="L843" s="56"/>
      <c r="M843" s="20">
        <v>1593246</v>
      </c>
      <c r="N843" s="56">
        <v>-0.79</v>
      </c>
      <c r="O843" s="56">
        <v>0.41</v>
      </c>
      <c r="P843" s="58">
        <v>15.95</v>
      </c>
      <c r="Q843" s="59">
        <v>35.380560480391601</v>
      </c>
      <c r="R843" s="59">
        <v>2.0561754010894902</v>
      </c>
      <c r="S843" s="59">
        <v>1.5478123876786101</v>
      </c>
      <c r="X843" s="2">
        <f t="shared" si="39"/>
        <v>0.6461943951960839</v>
      </c>
      <c r="Y843" s="2">
        <f>SUMIF(收盤價!A:A,A843,收盤價!C:C)</f>
        <v>19.100000000000001</v>
      </c>
      <c r="Z843" s="2">
        <f t="shared" si="40"/>
        <v>2541227.37</v>
      </c>
      <c r="AA843" s="2">
        <f t="shared" si="41"/>
        <v>3043099.8600000003</v>
      </c>
    </row>
    <row r="844" spans="1:27" ht="14.5" customHeight="1">
      <c r="A844" s="19" t="s">
        <v>5524</v>
      </c>
      <c r="B844" s="3" t="s">
        <v>757</v>
      </c>
      <c r="C844" s="20">
        <v>12507333</v>
      </c>
      <c r="D844" s="20">
        <v>14406440</v>
      </c>
      <c r="E844" s="56">
        <v>-13.18</v>
      </c>
      <c r="F844" s="57">
        <v>879357</v>
      </c>
      <c r="G844" s="57">
        <v>1146252</v>
      </c>
      <c r="H844" s="57">
        <v>-31667</v>
      </c>
      <c r="I844" s="57">
        <v>10389</v>
      </c>
      <c r="J844" s="57">
        <v>681670</v>
      </c>
      <c r="K844" s="57">
        <v>953805</v>
      </c>
      <c r="L844" s="56">
        <v>-28.53</v>
      </c>
      <c r="M844" s="20">
        <v>1955312</v>
      </c>
      <c r="N844" s="56">
        <v>3.49</v>
      </c>
      <c r="O844" s="56">
        <v>4.88</v>
      </c>
      <c r="P844" s="58">
        <v>20.81</v>
      </c>
      <c r="Q844" s="59">
        <v>35.505118294533403</v>
      </c>
      <c r="R844" s="59">
        <v>1.2503810404167499</v>
      </c>
      <c r="S844" s="59">
        <v>0.89637464740530903</v>
      </c>
      <c r="X844" s="2">
        <f t="shared" si="39"/>
        <v>0.644948817054666</v>
      </c>
      <c r="Y844" s="2">
        <f>SUMIF(收盤價!A:A,A844,收盤價!C:C)</f>
        <v>39.700000000000003</v>
      </c>
      <c r="Z844" s="2">
        <f t="shared" si="40"/>
        <v>4069004.2719999999</v>
      </c>
      <c r="AA844" s="2">
        <f t="shared" si="41"/>
        <v>7762588.6400000006</v>
      </c>
    </row>
    <row r="845" spans="1:27" ht="14.5" customHeight="1">
      <c r="A845" s="19" t="s">
        <v>5525</v>
      </c>
      <c r="B845" s="3" t="s">
        <v>771</v>
      </c>
      <c r="C845" s="20">
        <v>91628115</v>
      </c>
      <c r="D845" s="20">
        <v>95416141</v>
      </c>
      <c r="E845" s="56">
        <v>-3.97</v>
      </c>
      <c r="F845" s="57">
        <v>14109148</v>
      </c>
      <c r="G845" s="57">
        <v>29604362</v>
      </c>
      <c r="H845" s="57">
        <v>5874113</v>
      </c>
      <c r="I845" s="57">
        <v>11714774</v>
      </c>
      <c r="J845" s="57">
        <v>11272124</v>
      </c>
      <c r="K845" s="57">
        <v>27972188</v>
      </c>
      <c r="L845" s="56">
        <v>-59.7</v>
      </c>
      <c r="M845" s="20">
        <v>7703911</v>
      </c>
      <c r="N845" s="56">
        <v>14.63</v>
      </c>
      <c r="O845" s="56">
        <v>36.31</v>
      </c>
      <c r="P845" s="58">
        <v>192.71</v>
      </c>
      <c r="Q845" s="59">
        <v>61.067049321287698</v>
      </c>
      <c r="R845" s="59">
        <v>2.0568507228677402</v>
      </c>
      <c r="S845" s="59">
        <v>1.00355479179789</v>
      </c>
      <c r="X845" s="2">
        <f t="shared" si="39"/>
        <v>0.38932950678712303</v>
      </c>
      <c r="Y845" s="2">
        <f>SUMIF(收盤價!A:A,A845,收盤價!C:C)</f>
        <v>227</v>
      </c>
      <c r="Z845" s="2">
        <f t="shared" si="40"/>
        <v>148462068.88099998</v>
      </c>
      <c r="AA845" s="2">
        <f t="shared" si="41"/>
        <v>174878779.69999999</v>
      </c>
    </row>
    <row r="846" spans="1:27" ht="14.5" customHeight="1">
      <c r="A846" s="19" t="s">
        <v>5526</v>
      </c>
      <c r="B846" s="3" t="s">
        <v>775</v>
      </c>
      <c r="C846" s="20">
        <v>3869031</v>
      </c>
      <c r="D846" s="20">
        <v>3445190</v>
      </c>
      <c r="E846" s="56">
        <v>12.3</v>
      </c>
      <c r="F846" s="57">
        <v>340019</v>
      </c>
      <c r="G846" s="57">
        <v>173491</v>
      </c>
      <c r="H846" s="57">
        <v>143545</v>
      </c>
      <c r="I846" s="57">
        <v>73577</v>
      </c>
      <c r="J846" s="57">
        <v>419980</v>
      </c>
      <c r="K846" s="57">
        <v>171029</v>
      </c>
      <c r="L846" s="56">
        <v>145.56</v>
      </c>
      <c r="M846" s="20">
        <v>1982165</v>
      </c>
      <c r="N846" s="56">
        <v>2.12</v>
      </c>
      <c r="O846" s="56">
        <v>0.86</v>
      </c>
      <c r="P846" s="58">
        <v>16.38</v>
      </c>
      <c r="Q846" s="59">
        <v>51.3084058969783</v>
      </c>
      <c r="R846" s="59">
        <v>2.5212918702396601</v>
      </c>
      <c r="S846" s="59">
        <v>2.0639447605780399</v>
      </c>
      <c r="X846" s="2">
        <f t="shared" si="39"/>
        <v>0.48691594103021701</v>
      </c>
      <c r="Y846" s="2">
        <f>SUMIF(收盤價!A:A,A846,收盤價!C:C)</f>
        <v>26.4</v>
      </c>
      <c r="Z846" s="2">
        <f t="shared" si="40"/>
        <v>3246786.27</v>
      </c>
      <c r="AA846" s="2">
        <f t="shared" si="41"/>
        <v>5232915.5999999996</v>
      </c>
    </row>
    <row r="847" spans="1:27" ht="14.5" customHeight="1">
      <c r="A847" s="19" t="s">
        <v>5527</v>
      </c>
      <c r="B847" s="3" t="s">
        <v>783</v>
      </c>
      <c r="C847" s="20">
        <v>986727</v>
      </c>
      <c r="D847" s="20">
        <v>1013873</v>
      </c>
      <c r="E847" s="56">
        <v>-2.68</v>
      </c>
      <c r="F847" s="57">
        <v>31886</v>
      </c>
      <c r="G847" s="57">
        <v>7267</v>
      </c>
      <c r="H847" s="57">
        <v>4843</v>
      </c>
      <c r="I847" s="57">
        <v>4472</v>
      </c>
      <c r="J847" s="57">
        <v>23913</v>
      </c>
      <c r="K847" s="57">
        <v>3478</v>
      </c>
      <c r="L847" s="56">
        <v>587.54999999999995</v>
      </c>
      <c r="M847" s="20">
        <v>620725</v>
      </c>
      <c r="N847" s="56">
        <v>0.39</v>
      </c>
      <c r="O847" s="56">
        <v>0.06</v>
      </c>
      <c r="P847" s="58">
        <v>12.32</v>
      </c>
      <c r="Q847" s="59">
        <v>64.978372375776004</v>
      </c>
      <c r="R847" s="59">
        <v>2.3237791595957602</v>
      </c>
      <c r="S847" s="59">
        <v>1.1309553962665599</v>
      </c>
      <c r="X847" s="2">
        <f t="shared" si="39"/>
        <v>0.35021627624223994</v>
      </c>
      <c r="Y847" s="2">
        <f>SUMIF(收盤價!A:A,A847,收盤價!C:C)</f>
        <v>12.2</v>
      </c>
      <c r="Z847" s="2">
        <f t="shared" si="40"/>
        <v>764733.2</v>
      </c>
      <c r="AA847" s="2">
        <f t="shared" si="41"/>
        <v>757284.5</v>
      </c>
    </row>
    <row r="848" spans="1:27" ht="14.5" customHeight="1">
      <c r="A848" s="19" t="s">
        <v>5528</v>
      </c>
      <c r="B848" s="3" t="s">
        <v>793</v>
      </c>
      <c r="C848" s="20">
        <v>2537770</v>
      </c>
      <c r="D848" s="20">
        <v>2632421</v>
      </c>
      <c r="E848" s="56">
        <v>-3.6</v>
      </c>
      <c r="F848" s="57">
        <v>279450</v>
      </c>
      <c r="G848" s="57">
        <v>294255</v>
      </c>
      <c r="H848" s="57">
        <v>86059</v>
      </c>
      <c r="I848" s="57">
        <v>110686</v>
      </c>
      <c r="J848" s="57">
        <v>279920</v>
      </c>
      <c r="K848" s="57">
        <v>291958</v>
      </c>
      <c r="L848" s="56">
        <v>-4.12</v>
      </c>
      <c r="M848" s="20">
        <v>799994</v>
      </c>
      <c r="N848" s="56">
        <v>3.5</v>
      </c>
      <c r="O848" s="56">
        <v>3.65</v>
      </c>
      <c r="P848" s="58">
        <v>25.91</v>
      </c>
      <c r="Q848" s="59">
        <v>67.412594918901206</v>
      </c>
      <c r="R848" s="59">
        <v>3.2975860580354799</v>
      </c>
      <c r="S848" s="59">
        <v>2.1482217070985001</v>
      </c>
      <c r="X848" s="2">
        <f t="shared" si="39"/>
        <v>0.32587405081098791</v>
      </c>
      <c r="Y848" s="2">
        <f>SUMIF(收盤價!A:A,A848,收盤價!C:C)</f>
        <v>33.799999999999997</v>
      </c>
      <c r="Z848" s="2">
        <f t="shared" si="40"/>
        <v>2072784.4539999999</v>
      </c>
      <c r="AA848" s="2">
        <f t="shared" si="41"/>
        <v>2703979.7199999997</v>
      </c>
    </row>
    <row r="849" spans="1:27" ht="14.5" customHeight="1">
      <c r="A849" s="19" t="s">
        <v>5529</v>
      </c>
      <c r="B849" s="3" t="s">
        <v>803</v>
      </c>
      <c r="C849" s="20">
        <v>1378533</v>
      </c>
      <c r="D849" s="20">
        <v>1384101</v>
      </c>
      <c r="E849" s="56">
        <v>-0.4</v>
      </c>
      <c r="F849" s="57">
        <v>14013</v>
      </c>
      <c r="G849" s="57">
        <v>45580</v>
      </c>
      <c r="H849" s="57">
        <v>216863</v>
      </c>
      <c r="I849" s="57">
        <v>88261</v>
      </c>
      <c r="J849" s="57">
        <v>202573</v>
      </c>
      <c r="K849" s="57">
        <v>119414</v>
      </c>
      <c r="L849" s="56">
        <v>69.64</v>
      </c>
      <c r="M849" s="20">
        <v>2762907</v>
      </c>
      <c r="N849" s="56">
        <v>0.73</v>
      </c>
      <c r="O849" s="56">
        <v>0.43</v>
      </c>
      <c r="P849" s="58">
        <v>15.33</v>
      </c>
      <c r="Q849" s="59">
        <v>80.741534746833693</v>
      </c>
      <c r="R849" s="59">
        <v>4.8662329041699204</v>
      </c>
      <c r="S849" s="59">
        <v>4.4131223838178899</v>
      </c>
      <c r="X849" s="2">
        <f t="shared" si="39"/>
        <v>0.19258465253166307</v>
      </c>
      <c r="Y849" s="2">
        <f>SUMIF(收盤價!A:A,A849,收盤價!C:C)</f>
        <v>13.85</v>
      </c>
      <c r="Z849" s="2">
        <f t="shared" si="40"/>
        <v>4235536.4309999999</v>
      </c>
      <c r="AA849" s="2">
        <f t="shared" si="41"/>
        <v>3826626.1949999994</v>
      </c>
    </row>
    <row r="850" spans="1:27" ht="14.5" customHeight="1">
      <c r="A850" s="19" t="s">
        <v>5530</v>
      </c>
      <c r="B850" s="3" t="s">
        <v>1059</v>
      </c>
      <c r="C850" s="20">
        <v>1064833</v>
      </c>
      <c r="D850" s="20">
        <v>1313127</v>
      </c>
      <c r="E850" s="56">
        <v>-18.91</v>
      </c>
      <c r="F850" s="57">
        <v>-305566</v>
      </c>
      <c r="G850" s="57">
        <v>-112553</v>
      </c>
      <c r="H850" s="57">
        <v>28055</v>
      </c>
      <c r="I850" s="57">
        <v>-110368</v>
      </c>
      <c r="J850" s="57">
        <v>-218349</v>
      </c>
      <c r="K850" s="57">
        <v>-147272</v>
      </c>
      <c r="L850" s="56"/>
      <c r="M850" s="20">
        <v>735121</v>
      </c>
      <c r="N850" s="56">
        <v>-2.99</v>
      </c>
      <c r="O850" s="56">
        <v>-2.0299999999999998</v>
      </c>
      <c r="P850" s="58">
        <v>8.08</v>
      </c>
      <c r="Q850" s="59">
        <v>39.006659951968103</v>
      </c>
      <c r="R850" s="59">
        <v>1.17546616828781</v>
      </c>
      <c r="S850" s="59">
        <v>0.84489220988392699</v>
      </c>
      <c r="X850" s="2">
        <f t="shared" si="39"/>
        <v>0.60993340048031897</v>
      </c>
      <c r="Y850" s="2">
        <f>SUMIF(收盤價!A:A,A850,收盤價!C:C)</f>
        <v>22.6</v>
      </c>
      <c r="Z850" s="2">
        <f t="shared" si="40"/>
        <v>593977.76799999992</v>
      </c>
      <c r="AA850" s="2">
        <f t="shared" si="41"/>
        <v>1661373.4600000002</v>
      </c>
    </row>
    <row r="851" spans="1:27" ht="14.5" customHeight="1">
      <c r="A851" s="19" t="s">
        <v>5531</v>
      </c>
      <c r="B851" s="3" t="s">
        <v>1081</v>
      </c>
      <c r="C851" s="20">
        <v>4386806</v>
      </c>
      <c r="D851" s="20">
        <v>4919426</v>
      </c>
      <c r="E851" s="56">
        <v>-10.83</v>
      </c>
      <c r="F851" s="57">
        <v>1196514</v>
      </c>
      <c r="G851" s="57">
        <v>1269751</v>
      </c>
      <c r="H851" s="57">
        <v>-35555</v>
      </c>
      <c r="I851" s="57">
        <v>64737</v>
      </c>
      <c r="J851" s="57">
        <v>938698</v>
      </c>
      <c r="K851" s="57">
        <v>1064399</v>
      </c>
      <c r="L851" s="56">
        <v>-11.81</v>
      </c>
      <c r="M851" s="20">
        <v>2362160</v>
      </c>
      <c r="N851" s="56">
        <v>3.97</v>
      </c>
      <c r="O851" s="56">
        <v>4.51</v>
      </c>
      <c r="P851" s="58">
        <v>22.79</v>
      </c>
      <c r="Q851" s="59">
        <v>81.936418362818898</v>
      </c>
      <c r="R851" s="59">
        <v>4.5035677545959398</v>
      </c>
      <c r="S851" s="59">
        <v>3.4657250526502601</v>
      </c>
      <c r="X851" s="2">
        <f t="shared" si="39"/>
        <v>0.18063581637181103</v>
      </c>
      <c r="Y851" s="2">
        <f>SUMIF(收盤價!A:A,A851,收盤價!C:C)</f>
        <v>53.2</v>
      </c>
      <c r="Z851" s="2">
        <f t="shared" si="40"/>
        <v>5383362.6399999997</v>
      </c>
      <c r="AA851" s="2">
        <f t="shared" si="41"/>
        <v>12566691.199999999</v>
      </c>
    </row>
    <row r="852" spans="1:27" ht="14.5" customHeight="1">
      <c r="A852" s="19" t="s">
        <v>5637</v>
      </c>
      <c r="B852" s="3" t="s">
        <v>1105</v>
      </c>
      <c r="C852" s="20">
        <v>1209349</v>
      </c>
      <c r="D852" s="20">
        <v>1055335</v>
      </c>
      <c r="E852" s="56">
        <v>14.59</v>
      </c>
      <c r="F852" s="57">
        <v>84732</v>
      </c>
      <c r="G852" s="57">
        <v>-8606</v>
      </c>
      <c r="H852" s="57">
        <v>-8478</v>
      </c>
      <c r="I852" s="57">
        <v>6566</v>
      </c>
      <c r="J852" s="57">
        <v>76714</v>
      </c>
      <c r="K852" s="57">
        <v>-3792</v>
      </c>
      <c r="L852" s="56"/>
      <c r="M852" s="20">
        <v>1948781</v>
      </c>
      <c r="N852" s="56">
        <v>0.39</v>
      </c>
      <c r="O852" s="56">
        <v>-0.01</v>
      </c>
      <c r="P852" s="58">
        <v>0.72</v>
      </c>
      <c r="Q852" s="59">
        <v>11.461464553436899</v>
      </c>
      <c r="R852" s="59">
        <v>0.76790148025122795</v>
      </c>
      <c r="S852" s="59">
        <v>0.36074683965711901</v>
      </c>
      <c r="X852" s="2">
        <f t="shared" si="39"/>
        <v>0.88538535446563105</v>
      </c>
      <c r="Y852" s="2">
        <f>SUMIF(收盤價!A:A,A852,收盤價!C:C)</f>
        <v>1.83</v>
      </c>
      <c r="Z852" s="2">
        <f t="shared" si="40"/>
        <v>140312.23199999999</v>
      </c>
      <c r="AA852" s="2">
        <f t="shared" si="41"/>
        <v>356626.92300000001</v>
      </c>
    </row>
    <row r="853" spans="1:27" ht="14.5" customHeight="1">
      <c r="A853" s="19" t="s">
        <v>5532</v>
      </c>
      <c r="B853" s="3" t="s">
        <v>1165</v>
      </c>
      <c r="C853" s="20">
        <v>5224806</v>
      </c>
      <c r="D853" s="20">
        <v>5452254</v>
      </c>
      <c r="E853" s="56">
        <v>-4.17</v>
      </c>
      <c r="F853" s="57">
        <v>210186</v>
      </c>
      <c r="G853" s="57">
        <v>123226</v>
      </c>
      <c r="H853" s="57">
        <v>36018</v>
      </c>
      <c r="I853" s="57">
        <v>31686</v>
      </c>
      <c r="J853" s="57">
        <v>169247</v>
      </c>
      <c r="K853" s="57">
        <v>41933</v>
      </c>
      <c r="L853" s="56">
        <v>303.61</v>
      </c>
      <c r="M853" s="20">
        <v>1182653</v>
      </c>
      <c r="N853" s="56">
        <v>1.43</v>
      </c>
      <c r="O853" s="56">
        <v>0.35</v>
      </c>
      <c r="P853" s="58">
        <v>30.05</v>
      </c>
      <c r="Q853" s="59">
        <v>55.867869606774804</v>
      </c>
      <c r="R853" s="59">
        <v>2.08246929505481</v>
      </c>
      <c r="S853" s="59">
        <v>1.3338432993220199</v>
      </c>
      <c r="X853" s="2">
        <f t="shared" si="39"/>
        <v>0.44132130393225194</v>
      </c>
      <c r="Y853" s="2">
        <f>SUMIF(收盤價!A:A,A853,收盤價!C:C)</f>
        <v>24.9</v>
      </c>
      <c r="Z853" s="2">
        <f t="shared" si="40"/>
        <v>3553872.2649999997</v>
      </c>
      <c r="AA853" s="2">
        <f t="shared" si="41"/>
        <v>2944805.9699999997</v>
      </c>
    </row>
    <row r="854" spans="1:27" ht="14.5" customHeight="1">
      <c r="A854" s="19" t="s">
        <v>5533</v>
      </c>
      <c r="B854" s="3" t="s">
        <v>1200</v>
      </c>
      <c r="C854" s="20">
        <v>5750790</v>
      </c>
      <c r="D854" s="20">
        <v>6842243</v>
      </c>
      <c r="E854" s="56">
        <v>-15.95</v>
      </c>
      <c r="F854" s="57">
        <v>721141</v>
      </c>
      <c r="G854" s="57">
        <v>1142551</v>
      </c>
      <c r="H854" s="57">
        <v>48349</v>
      </c>
      <c r="I854" s="57">
        <v>235220</v>
      </c>
      <c r="J854" s="57">
        <v>239226</v>
      </c>
      <c r="K854" s="57">
        <v>595153</v>
      </c>
      <c r="L854" s="56">
        <v>-59.8</v>
      </c>
      <c r="M854" s="20">
        <v>1456814</v>
      </c>
      <c r="N854" s="56">
        <v>1.64</v>
      </c>
      <c r="O854" s="56">
        <v>4.09</v>
      </c>
      <c r="P854" s="58">
        <v>25.85</v>
      </c>
      <c r="Q854" s="59">
        <v>47.799329053827798</v>
      </c>
      <c r="R854" s="59">
        <v>2.57365155724391</v>
      </c>
      <c r="S854" s="59">
        <v>2.3134588359206001</v>
      </c>
      <c r="X854" s="2">
        <f t="shared" si="39"/>
        <v>0.52200670946172201</v>
      </c>
      <c r="Y854" s="2">
        <f>SUMIF(收盤價!A:A,A854,收盤價!C:C)</f>
        <v>67.5</v>
      </c>
      <c r="Z854" s="2">
        <f t="shared" si="40"/>
        <v>3765864.19</v>
      </c>
      <c r="AA854" s="2">
        <f t="shared" si="41"/>
        <v>9833494.5</v>
      </c>
    </row>
    <row r="855" spans="1:27" ht="14.5" customHeight="1">
      <c r="A855" s="19" t="s">
        <v>5534</v>
      </c>
      <c r="B855" s="3" t="s">
        <v>1213</v>
      </c>
      <c r="C855" s="20">
        <v>546881</v>
      </c>
      <c r="D855" s="20">
        <v>576456</v>
      </c>
      <c r="E855" s="56">
        <v>-5.13</v>
      </c>
      <c r="F855" s="57">
        <v>-104536</v>
      </c>
      <c r="G855" s="57">
        <v>-282285</v>
      </c>
      <c r="H855" s="57">
        <v>-57180</v>
      </c>
      <c r="I855" s="57">
        <v>-16873</v>
      </c>
      <c r="J855" s="57">
        <v>-197484</v>
      </c>
      <c r="K855" s="57">
        <v>-338307</v>
      </c>
      <c r="L855" s="56"/>
      <c r="M855" s="20">
        <v>807522</v>
      </c>
      <c r="N855" s="56">
        <v>-2.5</v>
      </c>
      <c r="O855" s="56">
        <v>-4.2699999999999996</v>
      </c>
      <c r="P855" s="58">
        <v>17.89</v>
      </c>
      <c r="Q855" s="59">
        <v>67.403410629578204</v>
      </c>
      <c r="R855" s="59">
        <v>1.8783268301481999</v>
      </c>
      <c r="S855" s="59">
        <v>1.8274804667103399</v>
      </c>
      <c r="X855" s="2">
        <f t="shared" si="39"/>
        <v>0.32596589370421797</v>
      </c>
      <c r="Y855" s="2">
        <f>SUMIF(收盤價!A:A,A855,收盤價!C:C)</f>
        <v>38.65</v>
      </c>
      <c r="Z855" s="2">
        <f t="shared" si="40"/>
        <v>1444656.858</v>
      </c>
      <c r="AA855" s="2">
        <f t="shared" si="41"/>
        <v>3121072.53</v>
      </c>
    </row>
    <row r="856" spans="1:27" ht="14.5" customHeight="1">
      <c r="A856" s="19" t="s">
        <v>5535</v>
      </c>
      <c r="B856" s="3" t="s">
        <v>1251</v>
      </c>
      <c r="C856" s="20">
        <v>9345048</v>
      </c>
      <c r="D856" s="20">
        <v>8333494</v>
      </c>
      <c r="E856" s="56">
        <v>12.14</v>
      </c>
      <c r="F856" s="57">
        <v>666825</v>
      </c>
      <c r="G856" s="57">
        <v>658173</v>
      </c>
      <c r="H856" s="57">
        <v>-39018</v>
      </c>
      <c r="I856" s="57">
        <v>156564</v>
      </c>
      <c r="J856" s="57">
        <v>506107</v>
      </c>
      <c r="K856" s="57">
        <v>584743</v>
      </c>
      <c r="L856" s="56">
        <v>-13.45</v>
      </c>
      <c r="M856" s="20">
        <v>809510</v>
      </c>
      <c r="N856" s="56">
        <v>6.25</v>
      </c>
      <c r="O856" s="56">
        <v>7.22</v>
      </c>
      <c r="P856" s="58">
        <v>55.22</v>
      </c>
      <c r="Q856" s="59">
        <v>43.128796483586399</v>
      </c>
      <c r="R856" s="59">
        <v>1.4207167997107699</v>
      </c>
      <c r="S856" s="59">
        <v>0.85316822456528696</v>
      </c>
      <c r="X856" s="2">
        <f t="shared" si="39"/>
        <v>0.56871203516413604</v>
      </c>
      <c r="Y856" s="2">
        <f>SUMIF(收盤價!A:A,A856,收盤價!C:C)</f>
        <v>109</v>
      </c>
      <c r="Z856" s="2">
        <f t="shared" si="40"/>
        <v>4470114.22</v>
      </c>
      <c r="AA856" s="2">
        <f t="shared" si="41"/>
        <v>8823659</v>
      </c>
    </row>
    <row r="857" spans="1:27" ht="14.5" customHeight="1">
      <c r="A857" s="19" t="s">
        <v>5536</v>
      </c>
      <c r="B857" s="3" t="s">
        <v>1261</v>
      </c>
      <c r="C857" s="20">
        <v>23092145</v>
      </c>
      <c r="D857" s="20">
        <v>21392398</v>
      </c>
      <c r="E857" s="56">
        <v>7.95</v>
      </c>
      <c r="F857" s="57">
        <v>2410025</v>
      </c>
      <c r="G857" s="57">
        <v>1788828</v>
      </c>
      <c r="H857" s="57">
        <v>-74997</v>
      </c>
      <c r="I857" s="57">
        <v>68886</v>
      </c>
      <c r="J857" s="57">
        <v>1843989</v>
      </c>
      <c r="K857" s="57">
        <v>1392311</v>
      </c>
      <c r="L857" s="56">
        <v>32.44</v>
      </c>
      <c r="M857" s="20">
        <v>1305174</v>
      </c>
      <c r="N857" s="56">
        <v>15.54</v>
      </c>
      <c r="O857" s="56">
        <v>11.86</v>
      </c>
      <c r="P857" s="58">
        <v>93.53</v>
      </c>
      <c r="Q857" s="59">
        <v>50.836942889691699</v>
      </c>
      <c r="R857" s="59">
        <v>2.3789358817867101</v>
      </c>
      <c r="S857" s="59">
        <v>1.81235299547297</v>
      </c>
      <c r="X857" s="2">
        <f t="shared" si="39"/>
        <v>0.491630571103083</v>
      </c>
      <c r="Y857" s="2">
        <f>SUMIF(收盤價!A:A,A857,收盤價!C:C)</f>
        <v>225.5</v>
      </c>
      <c r="Z857" s="2">
        <f t="shared" si="40"/>
        <v>12207292.422</v>
      </c>
      <c r="AA857" s="2">
        <f t="shared" si="41"/>
        <v>29431673.699999999</v>
      </c>
    </row>
    <row r="858" spans="1:27" ht="14.5" customHeight="1">
      <c r="A858" s="19" t="s">
        <v>5537</v>
      </c>
      <c r="B858" s="3" t="s">
        <v>1440</v>
      </c>
      <c r="C858" s="20">
        <v>10530374</v>
      </c>
      <c r="D858" s="20">
        <v>9213755</v>
      </c>
      <c r="E858" s="56">
        <v>14.29</v>
      </c>
      <c r="F858" s="57">
        <v>357885</v>
      </c>
      <c r="G858" s="57">
        <v>289580</v>
      </c>
      <c r="H858" s="57">
        <v>22096</v>
      </c>
      <c r="I858" s="57">
        <v>40254</v>
      </c>
      <c r="J858" s="57">
        <v>308155</v>
      </c>
      <c r="K858" s="57">
        <v>247707</v>
      </c>
      <c r="L858" s="56">
        <v>24.4</v>
      </c>
      <c r="M858" s="20">
        <v>615040</v>
      </c>
      <c r="N858" s="56">
        <v>5.04</v>
      </c>
      <c r="O858" s="56">
        <v>4.05</v>
      </c>
      <c r="P858" s="58">
        <v>30.67</v>
      </c>
      <c r="Q858" s="59">
        <v>35.292074256010203</v>
      </c>
      <c r="R858" s="59">
        <v>1.27570412573599</v>
      </c>
      <c r="S858" s="59">
        <v>0.97574254323867804</v>
      </c>
      <c r="X858" s="2">
        <f t="shared" si="39"/>
        <v>0.64707925743989791</v>
      </c>
      <c r="Y858" s="2">
        <f>SUMIF(收盤價!A:A,A858,收盤價!C:C)</f>
        <v>56</v>
      </c>
      <c r="Z858" s="2">
        <f t="shared" si="40"/>
        <v>1886327.6800000002</v>
      </c>
      <c r="AA858" s="2">
        <f t="shared" si="41"/>
        <v>3444224</v>
      </c>
    </row>
    <row r="859" spans="1:27" ht="14.5" customHeight="1">
      <c r="A859" s="19" t="s">
        <v>5538</v>
      </c>
      <c r="B859" s="3" t="s">
        <v>1530</v>
      </c>
      <c r="C859" s="20">
        <v>16591857</v>
      </c>
      <c r="D859" s="20">
        <v>22235076</v>
      </c>
      <c r="E859" s="56">
        <v>-25.38</v>
      </c>
      <c r="F859" s="57">
        <v>339870</v>
      </c>
      <c r="G859" s="57">
        <v>1087780</v>
      </c>
      <c r="H859" s="57">
        <v>563842</v>
      </c>
      <c r="I859" s="57">
        <v>65846</v>
      </c>
      <c r="J859" s="57">
        <v>499011</v>
      </c>
      <c r="K859" s="57">
        <v>543096</v>
      </c>
      <c r="L859" s="56">
        <v>-8.1199999999999992</v>
      </c>
      <c r="M859" s="20">
        <v>2255409</v>
      </c>
      <c r="N859" s="56">
        <v>2.21</v>
      </c>
      <c r="O859" s="56">
        <v>2.41</v>
      </c>
      <c r="P859" s="58">
        <v>34.24</v>
      </c>
      <c r="Q859" s="59">
        <v>27.546654476300098</v>
      </c>
      <c r="R859" s="59">
        <v>1.6449913611942799</v>
      </c>
      <c r="S859" s="59">
        <v>1.2215360694149999</v>
      </c>
      <c r="X859" s="2">
        <f t="shared" si="39"/>
        <v>0.72453345523699908</v>
      </c>
      <c r="Y859" s="2">
        <f>SUMIF(收盤價!A:A,A859,收盤價!C:C)</f>
        <v>31.45</v>
      </c>
      <c r="Z859" s="2">
        <f t="shared" si="40"/>
        <v>7722520.4160000011</v>
      </c>
      <c r="AA859" s="2">
        <f t="shared" si="41"/>
        <v>7093261.3049999997</v>
      </c>
    </row>
    <row r="860" spans="1:27" ht="14.5" customHeight="1">
      <c r="A860" s="19" t="s">
        <v>5539</v>
      </c>
      <c r="B860" s="3" t="s">
        <v>1564</v>
      </c>
      <c r="C860" s="20">
        <v>6257649</v>
      </c>
      <c r="D860" s="20">
        <v>5726944</v>
      </c>
      <c r="E860" s="56">
        <v>9.27</v>
      </c>
      <c r="F860" s="57">
        <v>910597</v>
      </c>
      <c r="G860" s="57">
        <v>938793</v>
      </c>
      <c r="H860" s="57">
        <v>24491</v>
      </c>
      <c r="I860" s="57">
        <v>65703</v>
      </c>
      <c r="J860" s="57">
        <v>717635</v>
      </c>
      <c r="K860" s="57">
        <v>742209</v>
      </c>
      <c r="L860" s="56">
        <v>-3.31</v>
      </c>
      <c r="M860" s="20">
        <v>1068398</v>
      </c>
      <c r="N860" s="56">
        <v>6.72</v>
      </c>
      <c r="O860" s="56">
        <v>6.95</v>
      </c>
      <c r="P860" s="58">
        <v>45.12</v>
      </c>
      <c r="Q860" s="59">
        <v>61.785867036238997</v>
      </c>
      <c r="R860" s="59">
        <v>2.6216876017697301</v>
      </c>
      <c r="S860" s="59">
        <v>1.2964371938855199</v>
      </c>
      <c r="X860" s="2">
        <f t="shared" si="39"/>
        <v>0.38214132963761005</v>
      </c>
      <c r="Y860" s="2">
        <f>SUMIF(收盤價!A:A,A860,收盤價!C:C)</f>
        <v>80.2</v>
      </c>
      <c r="Z860" s="2">
        <f t="shared" si="40"/>
        <v>4820611.7759999996</v>
      </c>
      <c r="AA860" s="2">
        <f t="shared" si="41"/>
        <v>8568551.9600000009</v>
      </c>
    </row>
    <row r="861" spans="1:27" ht="14.5" customHeight="1">
      <c r="A861" s="19" t="s">
        <v>5540</v>
      </c>
      <c r="B861" s="3" t="s">
        <v>1566</v>
      </c>
      <c r="C861" s="20">
        <v>24182681</v>
      </c>
      <c r="D861" s="20">
        <v>24415723</v>
      </c>
      <c r="E861" s="56">
        <v>-0.95</v>
      </c>
      <c r="F861" s="57">
        <v>819338</v>
      </c>
      <c r="G861" s="57">
        <v>875753</v>
      </c>
      <c r="H861" s="57">
        <v>71683</v>
      </c>
      <c r="I861" s="57">
        <v>125086</v>
      </c>
      <c r="J861" s="57">
        <v>703006</v>
      </c>
      <c r="K861" s="57">
        <v>792582</v>
      </c>
      <c r="L861" s="56">
        <v>-11.3</v>
      </c>
      <c r="M861" s="20">
        <v>1868400</v>
      </c>
      <c r="N861" s="56">
        <v>3.78</v>
      </c>
      <c r="O861" s="56">
        <v>4.4000000000000004</v>
      </c>
      <c r="P861" s="58">
        <v>31.04</v>
      </c>
      <c r="Q861" s="59">
        <v>29.512283137360299</v>
      </c>
      <c r="R861" s="59">
        <v>1.242113011065</v>
      </c>
      <c r="S861" s="59">
        <v>0.94723915267917902</v>
      </c>
      <c r="X861" s="2">
        <f t="shared" si="39"/>
        <v>0.70487716862639704</v>
      </c>
      <c r="Y861" s="2">
        <f>SUMIF(收盤價!A:A,A861,收盤價!C:C)</f>
        <v>85.6</v>
      </c>
      <c r="Z861" s="2">
        <f t="shared" si="40"/>
        <v>5799513.5999999996</v>
      </c>
      <c r="AA861" s="2">
        <f t="shared" si="41"/>
        <v>15993504</v>
      </c>
    </row>
    <row r="862" spans="1:27" ht="14.5" customHeight="1">
      <c r="A862" s="19" t="s">
        <v>5541</v>
      </c>
      <c r="B862" s="3" t="s">
        <v>1570</v>
      </c>
      <c r="C862" s="20">
        <v>3235177</v>
      </c>
      <c r="D862" s="20">
        <v>3260777</v>
      </c>
      <c r="E862" s="56">
        <v>-0.79</v>
      </c>
      <c r="F862" s="57">
        <v>277372</v>
      </c>
      <c r="G862" s="57">
        <v>180911</v>
      </c>
      <c r="H862" s="57">
        <v>22892</v>
      </c>
      <c r="I862" s="57">
        <v>156188</v>
      </c>
      <c r="J862" s="57">
        <v>239549</v>
      </c>
      <c r="K862" s="57">
        <v>263412</v>
      </c>
      <c r="L862" s="56">
        <v>-9.06</v>
      </c>
      <c r="M862" s="20">
        <v>892000</v>
      </c>
      <c r="N862" s="56">
        <v>2.69</v>
      </c>
      <c r="O862" s="56">
        <v>2.95</v>
      </c>
      <c r="P862" s="58">
        <v>27.12</v>
      </c>
      <c r="Q862" s="59">
        <v>75.293244292688698</v>
      </c>
      <c r="R862" s="59">
        <v>3.8063033989667199</v>
      </c>
      <c r="S862" s="59">
        <v>2.6226448458484701</v>
      </c>
      <c r="X862" s="2">
        <f t="shared" si="39"/>
        <v>0.24706755707311301</v>
      </c>
      <c r="Y862" s="2">
        <f>SUMIF(收盤價!A:A,A862,收盤價!C:C)</f>
        <v>49.58</v>
      </c>
      <c r="Z862" s="2">
        <f t="shared" si="40"/>
        <v>2419104</v>
      </c>
      <c r="AA862" s="2">
        <f t="shared" si="41"/>
        <v>4422536</v>
      </c>
    </row>
    <row r="863" spans="1:27" ht="14.5" customHeight="1">
      <c r="A863" s="19" t="s">
        <v>5542</v>
      </c>
      <c r="B863" s="3" t="s">
        <v>1584</v>
      </c>
      <c r="C863" s="20">
        <v>1542260</v>
      </c>
      <c r="D863" s="20">
        <v>1486906</v>
      </c>
      <c r="E863" s="56">
        <v>3.72</v>
      </c>
      <c r="F863" s="57">
        <v>52208</v>
      </c>
      <c r="G863" s="57">
        <v>66004</v>
      </c>
      <c r="H863" s="57">
        <v>19464</v>
      </c>
      <c r="I863" s="57">
        <v>-8603</v>
      </c>
      <c r="J863" s="57">
        <v>49331</v>
      </c>
      <c r="K863" s="57">
        <v>48901</v>
      </c>
      <c r="L863" s="56">
        <v>0.88</v>
      </c>
      <c r="M863" s="20">
        <v>827897</v>
      </c>
      <c r="N863" s="56">
        <v>0.6</v>
      </c>
      <c r="O863" s="56">
        <v>0.59</v>
      </c>
      <c r="P863" s="58">
        <v>14.3</v>
      </c>
      <c r="Q863" s="59">
        <v>55.3369904050953</v>
      </c>
      <c r="R863" s="59">
        <v>2.15315061777709</v>
      </c>
      <c r="S863" s="59">
        <v>0.95674955138156303</v>
      </c>
      <c r="X863" s="2">
        <f t="shared" si="39"/>
        <v>0.44663009594904701</v>
      </c>
      <c r="Y863" s="2">
        <f>SUMIF(收盤價!A:A,A863,收盤價!C:C)</f>
        <v>15.55</v>
      </c>
      <c r="Z863" s="2">
        <f t="shared" si="40"/>
        <v>1183892.7100000002</v>
      </c>
      <c r="AA863" s="2">
        <f t="shared" si="41"/>
        <v>1287379.8350000002</v>
      </c>
    </row>
    <row r="864" spans="1:27" ht="14.5" customHeight="1">
      <c r="A864" s="19" t="s">
        <v>5543</v>
      </c>
      <c r="B864" s="3" t="s">
        <v>1618</v>
      </c>
      <c r="C864" s="20">
        <v>1228691</v>
      </c>
      <c r="D864" s="20">
        <v>1100299</v>
      </c>
      <c r="E864" s="56">
        <v>11.67</v>
      </c>
      <c r="F864" s="57">
        <v>27184</v>
      </c>
      <c r="G864" s="57">
        <v>16889</v>
      </c>
      <c r="H864" s="57">
        <v>38873</v>
      </c>
      <c r="I864" s="57">
        <v>19811</v>
      </c>
      <c r="J864" s="57">
        <v>4524</v>
      </c>
      <c r="K864" s="57">
        <v>26264</v>
      </c>
      <c r="L864" s="56">
        <v>-82.77</v>
      </c>
      <c r="M864" s="20">
        <v>1480791</v>
      </c>
      <c r="N864" s="56">
        <v>0.03</v>
      </c>
      <c r="O864" s="56">
        <v>0.19</v>
      </c>
      <c r="P864" s="58">
        <v>13.29</v>
      </c>
      <c r="Q864" s="59">
        <v>77.602485216714996</v>
      </c>
      <c r="R864" s="59">
        <v>5.3433652755633698</v>
      </c>
      <c r="S864" s="59">
        <v>3.4541549554288098</v>
      </c>
      <c r="X864" s="2">
        <f t="shared" si="39"/>
        <v>0.22397514783285005</v>
      </c>
      <c r="Y864" s="2">
        <f>SUMIF(收盤價!A:A,A864,收盤價!C:C)</f>
        <v>30.9</v>
      </c>
      <c r="Z864" s="2">
        <f t="shared" si="40"/>
        <v>1967971.2390000001</v>
      </c>
      <c r="AA864" s="2">
        <f t="shared" si="41"/>
        <v>4575644.1899999995</v>
      </c>
    </row>
    <row r="865" spans="1:27" ht="14.5" customHeight="1">
      <c r="A865" s="19" t="s">
        <v>5544</v>
      </c>
      <c r="B865" s="3" t="s">
        <v>1628</v>
      </c>
      <c r="C865" s="20">
        <v>12936382</v>
      </c>
      <c r="D865" s="20">
        <v>11407894</v>
      </c>
      <c r="E865" s="56">
        <v>13.4</v>
      </c>
      <c r="F865" s="57">
        <v>2557103</v>
      </c>
      <c r="G865" s="57">
        <v>2110963</v>
      </c>
      <c r="H865" s="57">
        <v>58646</v>
      </c>
      <c r="I865" s="57">
        <v>145413</v>
      </c>
      <c r="J865" s="57">
        <v>2131032</v>
      </c>
      <c r="K865" s="57">
        <v>1813632</v>
      </c>
      <c r="L865" s="56">
        <v>17.5</v>
      </c>
      <c r="M865" s="20">
        <v>833015</v>
      </c>
      <c r="N865" s="56">
        <v>25.87</v>
      </c>
      <c r="O865" s="56">
        <v>22.07</v>
      </c>
      <c r="P865" s="58">
        <v>58.58</v>
      </c>
      <c r="Q865" s="59">
        <v>47.193294335003998</v>
      </c>
      <c r="R865" s="59">
        <v>1.43572398905252</v>
      </c>
      <c r="S865" s="59">
        <v>1.2015952260932099</v>
      </c>
      <c r="X865" s="2">
        <f t="shared" si="39"/>
        <v>0.52806705664996001</v>
      </c>
      <c r="Y865" s="2">
        <f>SUMIF(收盤價!A:A,A865,收盤價!C:C)</f>
        <v>715</v>
      </c>
      <c r="Z865" s="2">
        <f t="shared" si="40"/>
        <v>4879801.8699999992</v>
      </c>
      <c r="AA865" s="2">
        <f t="shared" si="41"/>
        <v>59560572.5</v>
      </c>
    </row>
    <row r="866" spans="1:27" ht="14.5" customHeight="1">
      <c r="A866" s="21" t="s">
        <v>5545</v>
      </c>
      <c r="B866" s="22" t="s">
        <v>1672</v>
      </c>
      <c r="C866" s="23">
        <v>2006728</v>
      </c>
      <c r="D866" s="23">
        <v>1734292</v>
      </c>
      <c r="E866" s="60">
        <v>15.71</v>
      </c>
      <c r="F866" s="61">
        <v>211618</v>
      </c>
      <c r="G866" s="61">
        <v>182123</v>
      </c>
      <c r="H866" s="61">
        <v>-6226</v>
      </c>
      <c r="I866" s="61">
        <v>39224</v>
      </c>
      <c r="J866" s="61">
        <v>161663</v>
      </c>
      <c r="K866" s="61">
        <v>164992</v>
      </c>
      <c r="L866" s="60">
        <v>-2.02</v>
      </c>
      <c r="M866" s="23">
        <v>866683</v>
      </c>
      <c r="N866" s="60">
        <v>1.88</v>
      </c>
      <c r="O866" s="60">
        <v>2.17</v>
      </c>
      <c r="P866" s="62">
        <v>16.12</v>
      </c>
      <c r="Q866" s="63">
        <v>56.569781660520199</v>
      </c>
      <c r="R866" s="63">
        <v>3.1253935690948902</v>
      </c>
      <c r="S866" s="63">
        <v>2.5202061477392101</v>
      </c>
      <c r="X866" s="2">
        <f t="shared" si="39"/>
        <v>0.43430218339479798</v>
      </c>
      <c r="Y866" s="2">
        <f>SUMIF(收盤價!A:A,A866,收盤價!C:C)</f>
        <v>72.8</v>
      </c>
      <c r="Z866" s="2">
        <f t="shared" si="40"/>
        <v>1397092.996</v>
      </c>
      <c r="AA866" s="2">
        <f t="shared" si="41"/>
        <v>6309452.2400000002</v>
      </c>
    </row>
    <row r="867" spans="1:27" ht="14.5" customHeight="1">
      <c r="A867" s="24" t="s">
        <v>5546</v>
      </c>
      <c r="B867" s="25" t="s">
        <v>1706</v>
      </c>
      <c r="C867" s="26">
        <v>854165</v>
      </c>
      <c r="D867" s="26">
        <v>635944</v>
      </c>
      <c r="E867" s="64">
        <v>34.31</v>
      </c>
      <c r="F867" s="65">
        <v>237651</v>
      </c>
      <c r="G867" s="65">
        <v>125820</v>
      </c>
      <c r="H867" s="65">
        <v>1376</v>
      </c>
      <c r="I867" s="65">
        <v>25770</v>
      </c>
      <c r="J867" s="65">
        <v>207711</v>
      </c>
      <c r="K867" s="65">
        <v>126816</v>
      </c>
      <c r="L867" s="64">
        <v>63.79</v>
      </c>
      <c r="M867" s="26">
        <v>663898</v>
      </c>
      <c r="N867" s="64">
        <v>3.4</v>
      </c>
      <c r="O867" s="64">
        <v>2.25</v>
      </c>
      <c r="P867" s="66">
        <v>20.260000000000002</v>
      </c>
      <c r="Q867" s="67">
        <v>74.396071129461802</v>
      </c>
      <c r="R867" s="67">
        <v>3.8919465111968101</v>
      </c>
      <c r="S867" s="67">
        <v>3.55311987729125</v>
      </c>
      <c r="X867" s="2">
        <f t="shared" si="39"/>
        <v>0.25603928870538195</v>
      </c>
      <c r="Y867" s="2">
        <f>SUMIF(收盤價!A:A,A867,收盤價!C:C)</f>
        <v>91.3</v>
      </c>
      <c r="Z867" s="2">
        <f t="shared" si="40"/>
        <v>1345057.348</v>
      </c>
      <c r="AA867" s="2">
        <f t="shared" si="41"/>
        <v>6061388.7400000002</v>
      </c>
    </row>
    <row r="868" spans="1:27" ht="14.5" customHeight="1">
      <c r="A868" s="19" t="s">
        <v>5547</v>
      </c>
      <c r="B868" s="3" t="s">
        <v>1716</v>
      </c>
      <c r="C868" s="20">
        <v>3006253</v>
      </c>
      <c r="D868" s="20">
        <v>3282444</v>
      </c>
      <c r="E868" s="56">
        <v>-8.41</v>
      </c>
      <c r="F868" s="57">
        <v>307102</v>
      </c>
      <c r="G868" s="57">
        <v>328983</v>
      </c>
      <c r="H868" s="57">
        <v>23859</v>
      </c>
      <c r="I868" s="57">
        <v>10224</v>
      </c>
      <c r="J868" s="57">
        <v>190275</v>
      </c>
      <c r="K868" s="57">
        <v>253641</v>
      </c>
      <c r="L868" s="56">
        <v>-24.98</v>
      </c>
      <c r="M868" s="20">
        <v>1421805</v>
      </c>
      <c r="N868" s="56">
        <v>1.34</v>
      </c>
      <c r="O868" s="56">
        <v>1.69</v>
      </c>
      <c r="P868" s="58">
        <v>30.08</v>
      </c>
      <c r="Q868" s="59">
        <v>71.334074057519601</v>
      </c>
      <c r="R868" s="59">
        <v>4.5296823258717298</v>
      </c>
      <c r="S868" s="59">
        <v>3.9941293558265198</v>
      </c>
      <c r="X868" s="2">
        <f t="shared" si="39"/>
        <v>0.28665925942480397</v>
      </c>
      <c r="Y868" s="2">
        <f>SUMIF(收盤價!A:A,A868,收盤價!C:C)</f>
        <v>22.55</v>
      </c>
      <c r="Z868" s="2">
        <f t="shared" si="40"/>
        <v>4276789.4399999995</v>
      </c>
      <c r="AA868" s="2">
        <f t="shared" si="41"/>
        <v>3206170.2749999999</v>
      </c>
    </row>
    <row r="869" spans="1:27" ht="14.5" customHeight="1">
      <c r="A869" s="19" t="s">
        <v>5548</v>
      </c>
      <c r="B869" s="3" t="s">
        <v>1752</v>
      </c>
      <c r="C869" s="20">
        <v>1199975</v>
      </c>
      <c r="D869" s="20">
        <v>1512034</v>
      </c>
      <c r="E869" s="56">
        <v>-20.64</v>
      </c>
      <c r="F869" s="57">
        <v>-83309</v>
      </c>
      <c r="G869" s="57">
        <v>-82388</v>
      </c>
      <c r="H869" s="57">
        <v>18116</v>
      </c>
      <c r="I869" s="57">
        <v>53296</v>
      </c>
      <c r="J869" s="57">
        <v>-65332</v>
      </c>
      <c r="K869" s="57">
        <v>-29313</v>
      </c>
      <c r="L869" s="56"/>
      <c r="M869" s="20">
        <v>623663</v>
      </c>
      <c r="N869" s="56">
        <v>-1.05</v>
      </c>
      <c r="O869" s="56">
        <v>-0.47</v>
      </c>
      <c r="P869" s="58">
        <v>10.49</v>
      </c>
      <c r="Q869" s="59">
        <v>65.265520939861801</v>
      </c>
      <c r="R869" s="59">
        <v>2.56058303206835</v>
      </c>
      <c r="S869" s="59">
        <v>2.1088442932938598</v>
      </c>
      <c r="X869" s="2">
        <f t="shared" si="39"/>
        <v>0.34734479060138201</v>
      </c>
      <c r="Y869" s="2">
        <f>SUMIF(收盤價!A:A,A869,收盤價!C:C)</f>
        <v>119.95</v>
      </c>
      <c r="Z869" s="2">
        <f t="shared" si="40"/>
        <v>654222.48699999996</v>
      </c>
      <c r="AA869" s="2">
        <f t="shared" si="41"/>
        <v>7480837.6850000005</v>
      </c>
    </row>
    <row r="870" spans="1:27" ht="14.5" customHeight="1">
      <c r="A870" s="19" t="s">
        <v>5551</v>
      </c>
      <c r="B870" s="3" t="s">
        <v>154</v>
      </c>
      <c r="C870" s="20">
        <v>21230</v>
      </c>
      <c r="D870" s="20">
        <v>30136</v>
      </c>
      <c r="E870" s="56">
        <v>-29.55</v>
      </c>
      <c r="F870" s="57">
        <v>-16976</v>
      </c>
      <c r="G870" s="57">
        <v>-7682</v>
      </c>
      <c r="H870" s="57">
        <v>37713</v>
      </c>
      <c r="I870" s="57">
        <v>-4540</v>
      </c>
      <c r="J870" s="57">
        <v>20673</v>
      </c>
      <c r="K870" s="57">
        <v>-12282</v>
      </c>
      <c r="L870" s="56"/>
      <c r="M870" s="20">
        <v>1397801</v>
      </c>
      <c r="N870" s="56">
        <v>0.16</v>
      </c>
      <c r="O870" s="56">
        <v>-0.1</v>
      </c>
      <c r="P870" s="58">
        <v>7.23</v>
      </c>
      <c r="Q870" s="59">
        <v>84.268964721729205</v>
      </c>
      <c r="R870" s="59">
        <v>118.82102009273601</v>
      </c>
      <c r="S870" s="59">
        <v>31.323029366305999</v>
      </c>
      <c r="X870" s="2">
        <f t="shared" si="39"/>
        <v>0.15731035278270794</v>
      </c>
      <c r="Y870" s="2">
        <f>SUMIF(收盤價!A:A,A870,收盤價!C:C)</f>
        <v>7.3</v>
      </c>
      <c r="Z870" s="2">
        <f t="shared" si="40"/>
        <v>1010610.123</v>
      </c>
      <c r="AA870" s="2">
        <f t="shared" si="41"/>
        <v>1020394.7299999999</v>
      </c>
    </row>
    <row r="871" spans="1:27" ht="14.5" customHeight="1">
      <c r="A871" s="19" t="s">
        <v>5552</v>
      </c>
      <c r="B871" s="3" t="s">
        <v>158</v>
      </c>
      <c r="C871" s="20">
        <v>581292</v>
      </c>
      <c r="D871" s="20">
        <v>583070</v>
      </c>
      <c r="E871" s="56">
        <v>-0.3</v>
      </c>
      <c r="F871" s="57">
        <v>237847</v>
      </c>
      <c r="G871" s="57">
        <v>308696</v>
      </c>
      <c r="H871" s="57">
        <v>75462</v>
      </c>
      <c r="I871" s="57">
        <v>-7345</v>
      </c>
      <c r="J871" s="57">
        <v>881407</v>
      </c>
      <c r="K871" s="57">
        <v>249298</v>
      </c>
      <c r="L871" s="56">
        <v>253.56</v>
      </c>
      <c r="M871" s="20">
        <v>2033713</v>
      </c>
      <c r="N871" s="56">
        <v>4.33</v>
      </c>
      <c r="O871" s="56">
        <v>1.23</v>
      </c>
      <c r="P871" s="58">
        <v>31.87</v>
      </c>
      <c r="Q871" s="59">
        <v>58.741702830620397</v>
      </c>
      <c r="R871" s="59">
        <v>5.3667364976635801</v>
      </c>
      <c r="S871" s="59">
        <v>5.2065679373090701</v>
      </c>
      <c r="X871" s="2">
        <f t="shared" si="39"/>
        <v>0.41258297169379604</v>
      </c>
      <c r="Y871" s="2">
        <f>SUMIF(收盤價!A:A,A871,收盤價!C:C)</f>
        <v>25.2</v>
      </c>
      <c r="Z871" s="2">
        <f t="shared" si="40"/>
        <v>6481443.3310000002</v>
      </c>
      <c r="AA871" s="2">
        <f t="shared" si="41"/>
        <v>5124956.76</v>
      </c>
    </row>
    <row r="872" spans="1:27" ht="14.5" customHeight="1">
      <c r="A872" s="19" t="s">
        <v>5553</v>
      </c>
      <c r="B872" s="3" t="s">
        <v>244</v>
      </c>
      <c r="C872" s="20">
        <v>672436</v>
      </c>
      <c r="D872" s="20">
        <v>908249</v>
      </c>
      <c r="E872" s="56">
        <v>-25.96</v>
      </c>
      <c r="F872" s="57">
        <v>13716</v>
      </c>
      <c r="G872" s="57">
        <v>17035</v>
      </c>
      <c r="H872" s="57">
        <v>-410</v>
      </c>
      <c r="I872" s="57">
        <v>-843</v>
      </c>
      <c r="J872" s="57">
        <v>13307</v>
      </c>
      <c r="K872" s="57">
        <v>16191</v>
      </c>
      <c r="L872" s="56">
        <v>-17.809999999999999</v>
      </c>
      <c r="M872" s="20">
        <v>333509</v>
      </c>
      <c r="N872" s="56">
        <v>0.4</v>
      </c>
      <c r="O872" s="56">
        <v>0.49</v>
      </c>
      <c r="P872" s="58">
        <v>11.43</v>
      </c>
      <c r="Q872" s="59">
        <v>82.326596803693405</v>
      </c>
      <c r="R872" s="59">
        <v>5.0194805988389897</v>
      </c>
      <c r="S872" s="59">
        <v>4.82370913534983</v>
      </c>
      <c r="X872" s="2">
        <f t="shared" si="39"/>
        <v>0.17673403196306595</v>
      </c>
      <c r="Y872" s="2">
        <f>SUMIF(收盤價!A:A,A872,收盤價!C:C)</f>
        <v>15.4</v>
      </c>
      <c r="Z872" s="2">
        <f t="shared" si="40"/>
        <v>381200.78700000001</v>
      </c>
      <c r="AA872" s="2">
        <f t="shared" si="41"/>
        <v>513603.86000000004</v>
      </c>
    </row>
    <row r="873" spans="1:27" ht="14.5" customHeight="1">
      <c r="A873" s="19" t="s">
        <v>5554</v>
      </c>
      <c r="B873" s="3" t="s">
        <v>488</v>
      </c>
      <c r="C873" s="20">
        <v>6119558</v>
      </c>
      <c r="D873" s="20">
        <v>6736384</v>
      </c>
      <c r="E873" s="56">
        <v>-9.16</v>
      </c>
      <c r="F873" s="57">
        <v>-78301</v>
      </c>
      <c r="G873" s="57">
        <v>52973</v>
      </c>
      <c r="H873" s="57">
        <v>154992</v>
      </c>
      <c r="I873" s="57">
        <v>109883</v>
      </c>
      <c r="J873" s="57">
        <v>70266</v>
      </c>
      <c r="K873" s="57">
        <v>110841</v>
      </c>
      <c r="L873" s="56">
        <v>-36.61</v>
      </c>
      <c r="M873" s="20">
        <v>1630142</v>
      </c>
      <c r="N873" s="56">
        <v>0.43</v>
      </c>
      <c r="O873" s="56">
        <v>0.68</v>
      </c>
      <c r="P873" s="58">
        <v>32.19</v>
      </c>
      <c r="Q873" s="59">
        <v>43.190972599447598</v>
      </c>
      <c r="R873" s="59">
        <v>1.14060524128177</v>
      </c>
      <c r="S873" s="59">
        <v>0.49696913614481703</v>
      </c>
      <c r="X873" s="2">
        <f t="shared" si="39"/>
        <v>0.56809027400552403</v>
      </c>
      <c r="Y873" s="2">
        <f>SUMIF(收盤價!A:A,A873,收盤價!C:C)</f>
        <v>27.7</v>
      </c>
      <c r="Z873" s="2">
        <f t="shared" si="40"/>
        <v>5247427.0979999993</v>
      </c>
      <c r="AA873" s="2">
        <f t="shared" si="41"/>
        <v>4515493.34</v>
      </c>
    </row>
    <row r="874" spans="1:27" ht="14.5" customHeight="1">
      <c r="A874" s="19" t="s">
        <v>5555</v>
      </c>
      <c r="B874" s="3" t="s">
        <v>588</v>
      </c>
      <c r="C874" s="20">
        <v>1733877</v>
      </c>
      <c r="D874" s="20">
        <v>1129958</v>
      </c>
      <c r="E874" s="56">
        <v>53.45</v>
      </c>
      <c r="F874" s="57">
        <v>577392</v>
      </c>
      <c r="G874" s="57">
        <v>452144</v>
      </c>
      <c r="H874" s="57">
        <v>121064</v>
      </c>
      <c r="I874" s="57">
        <v>20076</v>
      </c>
      <c r="J874" s="57">
        <v>565055</v>
      </c>
      <c r="K874" s="57">
        <v>461783</v>
      </c>
      <c r="L874" s="56">
        <v>22.36</v>
      </c>
      <c r="M874" s="20">
        <v>869717</v>
      </c>
      <c r="N874" s="56">
        <v>6.59</v>
      </c>
      <c r="O874" s="56">
        <v>5.39</v>
      </c>
      <c r="P874" s="58">
        <v>20.56</v>
      </c>
      <c r="Q874" s="59">
        <v>35.999164611605799</v>
      </c>
      <c r="R874" s="59">
        <v>3.31718296045449</v>
      </c>
      <c r="S874" s="59">
        <v>1.16004953212803</v>
      </c>
      <c r="X874" s="2">
        <f t="shared" si="39"/>
        <v>0.64000835388394195</v>
      </c>
      <c r="Y874" s="2">
        <f>SUMIF(收盤價!A:A,A874,收盤價!C:C)</f>
        <v>55.9</v>
      </c>
      <c r="Z874" s="2">
        <f t="shared" si="40"/>
        <v>1788138.152</v>
      </c>
      <c r="AA874" s="2">
        <f t="shared" si="41"/>
        <v>4861718.0299999993</v>
      </c>
    </row>
    <row r="875" spans="1:27" ht="14.5" customHeight="1">
      <c r="A875" s="19" t="s">
        <v>5556</v>
      </c>
      <c r="B875" s="3" t="s">
        <v>605</v>
      </c>
      <c r="C875" s="20">
        <v>2057862</v>
      </c>
      <c r="D875" s="20">
        <v>2332162</v>
      </c>
      <c r="E875" s="56">
        <v>-11.76</v>
      </c>
      <c r="F875" s="57">
        <v>34131</v>
      </c>
      <c r="G875" s="57">
        <v>84245</v>
      </c>
      <c r="H875" s="57">
        <v>-36478</v>
      </c>
      <c r="I875" s="57">
        <v>-29490</v>
      </c>
      <c r="J875" s="57">
        <v>1173</v>
      </c>
      <c r="K875" s="57">
        <v>70331</v>
      </c>
      <c r="L875" s="56">
        <v>-98.33</v>
      </c>
      <c r="M875" s="20">
        <v>946162</v>
      </c>
      <c r="N875" s="56">
        <v>0.01</v>
      </c>
      <c r="O875" s="56">
        <v>0.77</v>
      </c>
      <c r="P875" s="58">
        <v>13.18</v>
      </c>
      <c r="Q875" s="59">
        <v>41.555833073868101</v>
      </c>
      <c r="R875" s="59">
        <v>2.3296831607400699</v>
      </c>
      <c r="S875" s="59">
        <v>0.84002888211407201</v>
      </c>
      <c r="X875" s="2">
        <f t="shared" si="39"/>
        <v>0.58444166926131902</v>
      </c>
      <c r="Y875" s="2">
        <f>SUMIF(收盤價!A:A,A875,收盤價!C:C)</f>
        <v>16.850000000000001</v>
      </c>
      <c r="Z875" s="2">
        <f t="shared" si="40"/>
        <v>1247041.5160000001</v>
      </c>
      <c r="AA875" s="2">
        <f t="shared" si="41"/>
        <v>1594282.9700000002</v>
      </c>
    </row>
    <row r="876" spans="1:27" ht="14.5" customHeight="1">
      <c r="A876" s="19" t="s">
        <v>5557</v>
      </c>
      <c r="B876" s="3" t="s">
        <v>725</v>
      </c>
      <c r="C876" s="20">
        <v>690347</v>
      </c>
      <c r="D876" s="20">
        <v>1186858</v>
      </c>
      <c r="E876" s="56">
        <v>-41.83</v>
      </c>
      <c r="F876" s="57">
        <v>-327691</v>
      </c>
      <c r="G876" s="57">
        <v>-300059</v>
      </c>
      <c r="H876" s="57">
        <v>37418</v>
      </c>
      <c r="I876" s="57">
        <v>-45696</v>
      </c>
      <c r="J876" s="57">
        <v>-276343</v>
      </c>
      <c r="K876" s="57">
        <v>-388477</v>
      </c>
      <c r="L876" s="56"/>
      <c r="M876" s="20">
        <v>1456870</v>
      </c>
      <c r="N876" s="56">
        <v>-1.9</v>
      </c>
      <c r="O876" s="56">
        <v>-2.67</v>
      </c>
      <c r="P876" s="58">
        <v>6.13</v>
      </c>
      <c r="Q876" s="59">
        <v>67.277650363976704</v>
      </c>
      <c r="R876" s="59">
        <v>1.8999661596828299</v>
      </c>
      <c r="S876" s="59">
        <v>0.90095342765157505</v>
      </c>
      <c r="X876" s="2">
        <f t="shared" si="39"/>
        <v>0.32722349636023296</v>
      </c>
      <c r="Y876" s="2">
        <f>SUMIF(收盤價!A:A,A876,收盤價!C:C)</f>
        <v>4.12</v>
      </c>
      <c r="Z876" s="2">
        <f t="shared" si="40"/>
        <v>893061.30999999994</v>
      </c>
      <c r="AA876" s="2">
        <f t="shared" si="41"/>
        <v>600230.44000000006</v>
      </c>
    </row>
    <row r="877" spans="1:27" ht="14.5" customHeight="1">
      <c r="A877" s="19" t="s">
        <v>5558</v>
      </c>
      <c r="B877" s="3" t="s">
        <v>805</v>
      </c>
      <c r="C877" s="20">
        <v>881610</v>
      </c>
      <c r="D877" s="20">
        <v>917579</v>
      </c>
      <c r="E877" s="56">
        <v>-3.92</v>
      </c>
      <c r="F877" s="57">
        <v>85548</v>
      </c>
      <c r="G877" s="57">
        <v>111810</v>
      </c>
      <c r="H877" s="57">
        <v>1438</v>
      </c>
      <c r="I877" s="57">
        <v>9269</v>
      </c>
      <c r="J877" s="57">
        <v>76118</v>
      </c>
      <c r="K877" s="57">
        <v>124866</v>
      </c>
      <c r="L877" s="56">
        <v>-39.04</v>
      </c>
      <c r="M877" s="20">
        <v>174594</v>
      </c>
      <c r="N877" s="56">
        <v>4.41</v>
      </c>
      <c r="O877" s="56">
        <v>7.18</v>
      </c>
      <c r="P877" s="58">
        <v>45.52</v>
      </c>
      <c r="Q877" s="59">
        <v>52.779739107008901</v>
      </c>
      <c r="R877" s="59">
        <v>0.56869753672307599</v>
      </c>
      <c r="S877" s="59">
        <v>0.47808893834888899</v>
      </c>
      <c r="X877" s="2">
        <f t="shared" si="39"/>
        <v>0.47220260892991101</v>
      </c>
      <c r="Y877" s="2">
        <f>SUMIF(收盤價!A:A,A877,收盤價!C:C)</f>
        <v>62</v>
      </c>
      <c r="Z877" s="2">
        <f t="shared" si="40"/>
        <v>794751.88800000004</v>
      </c>
      <c r="AA877" s="2">
        <f t="shared" si="41"/>
        <v>1082482.8</v>
      </c>
    </row>
    <row r="878" spans="1:27" ht="14.5" customHeight="1">
      <c r="A878" s="19" t="s">
        <v>5559</v>
      </c>
      <c r="B878" s="3" t="s">
        <v>825</v>
      </c>
      <c r="C878" s="20">
        <v>9295613</v>
      </c>
      <c r="D878" s="20">
        <v>111994</v>
      </c>
      <c r="E878" s="56">
        <v>8200.1</v>
      </c>
      <c r="F878" s="57">
        <v>106951</v>
      </c>
      <c r="G878" s="57">
        <v>-101614</v>
      </c>
      <c r="H878" s="57">
        <v>1004800</v>
      </c>
      <c r="I878" s="57">
        <v>216759</v>
      </c>
      <c r="J878" s="57">
        <v>865253</v>
      </c>
      <c r="K878" s="57">
        <v>25102</v>
      </c>
      <c r="L878" s="56">
        <v>3346.95</v>
      </c>
      <c r="M878" s="20">
        <v>4047293</v>
      </c>
      <c r="N878" s="56">
        <v>1.87</v>
      </c>
      <c r="O878" s="56">
        <v>0.05</v>
      </c>
      <c r="P878" s="58">
        <v>22.58</v>
      </c>
      <c r="Q878" s="59">
        <v>44.411937364879797</v>
      </c>
      <c r="R878" s="59">
        <v>2.46206729023169</v>
      </c>
      <c r="S878" s="59">
        <v>1.7703810296014799</v>
      </c>
      <c r="X878" s="2">
        <f t="shared" si="39"/>
        <v>0.55588062635120206</v>
      </c>
      <c r="Y878" s="2">
        <f>SUMIF(收盤價!A:A,A878,收盤價!C:C)</f>
        <v>15.4</v>
      </c>
      <c r="Z878" s="2">
        <f t="shared" si="40"/>
        <v>9138787.5940000005</v>
      </c>
      <c r="AA878" s="2">
        <f t="shared" si="41"/>
        <v>6232831.2200000007</v>
      </c>
    </row>
    <row r="879" spans="1:27" ht="14.5" customHeight="1">
      <c r="A879" s="19" t="s">
        <v>5560</v>
      </c>
      <c r="B879" s="3" t="s">
        <v>1007</v>
      </c>
      <c r="C879" s="20">
        <v>505225</v>
      </c>
      <c r="D879" s="20">
        <v>475680</v>
      </c>
      <c r="E879" s="56">
        <v>6.21</v>
      </c>
      <c r="F879" s="57">
        <v>164744</v>
      </c>
      <c r="G879" s="57">
        <v>142088</v>
      </c>
      <c r="H879" s="57">
        <v>2793</v>
      </c>
      <c r="I879" s="57">
        <v>6151</v>
      </c>
      <c r="J879" s="57">
        <v>134891</v>
      </c>
      <c r="K879" s="57">
        <v>118789</v>
      </c>
      <c r="L879" s="56">
        <v>13.56</v>
      </c>
      <c r="M879" s="20">
        <v>690344</v>
      </c>
      <c r="N879" s="56">
        <v>1.96</v>
      </c>
      <c r="O879" s="56">
        <v>1.72</v>
      </c>
      <c r="P879" s="58">
        <v>14.46</v>
      </c>
      <c r="Q879" s="59">
        <v>70.060923579572602</v>
      </c>
      <c r="R879" s="59">
        <v>0.944810901346126</v>
      </c>
      <c r="S879" s="59">
        <v>0.78878021546287302</v>
      </c>
      <c r="X879" s="2">
        <f t="shared" si="39"/>
        <v>0.29939076420427396</v>
      </c>
      <c r="Y879" s="2">
        <f>SUMIF(收盤價!A:A,A879,收盤價!C:C)</f>
        <v>23.85</v>
      </c>
      <c r="Z879" s="2">
        <f t="shared" si="40"/>
        <v>998237.424</v>
      </c>
      <c r="AA879" s="2">
        <f t="shared" si="41"/>
        <v>1646470.44</v>
      </c>
    </row>
    <row r="880" spans="1:27" ht="14.5" customHeight="1">
      <c r="A880" s="19" t="s">
        <v>5561</v>
      </c>
      <c r="B880" s="3" t="s">
        <v>1099</v>
      </c>
      <c r="C880" s="20">
        <v>201462</v>
      </c>
      <c r="D880" s="20">
        <v>189634</v>
      </c>
      <c r="E880" s="56">
        <v>6.24</v>
      </c>
      <c r="F880" s="57">
        <v>83848</v>
      </c>
      <c r="G880" s="57">
        <v>73334</v>
      </c>
      <c r="H880" s="57">
        <v>29974</v>
      </c>
      <c r="I880" s="57">
        <v>45391</v>
      </c>
      <c r="J880" s="57">
        <v>85934</v>
      </c>
      <c r="K880" s="57">
        <v>82491</v>
      </c>
      <c r="L880" s="56">
        <v>4.17</v>
      </c>
      <c r="M880" s="20">
        <v>630000</v>
      </c>
      <c r="N880" s="56">
        <v>1.36</v>
      </c>
      <c r="O880" s="56">
        <v>1.31</v>
      </c>
      <c r="P880" s="58">
        <v>20.75</v>
      </c>
      <c r="Q880" s="59">
        <v>89.554822200121095</v>
      </c>
      <c r="R880" s="59">
        <v>10.8185013688444</v>
      </c>
      <c r="S880" s="59">
        <v>3.6818535167472199</v>
      </c>
      <c r="X880" s="2">
        <f t="shared" si="39"/>
        <v>0.10445177799878906</v>
      </c>
      <c r="Y880" s="2">
        <f>SUMIF(收盤價!A:A,A880,收盤價!C:C)</f>
        <v>29.15</v>
      </c>
      <c r="Z880" s="2">
        <f t="shared" si="40"/>
        <v>1307250</v>
      </c>
      <c r="AA880" s="2">
        <f t="shared" si="41"/>
        <v>1836450</v>
      </c>
    </row>
    <row r="881" spans="1:27" ht="14.5" customHeight="1">
      <c r="A881" s="19" t="s">
        <v>5562</v>
      </c>
      <c r="B881" s="3" t="s">
        <v>1333</v>
      </c>
      <c r="C881" s="20">
        <v>7224899</v>
      </c>
      <c r="D881" s="20">
        <v>7397503</v>
      </c>
      <c r="E881" s="56">
        <v>-2.33</v>
      </c>
      <c r="F881" s="57">
        <v>1207772</v>
      </c>
      <c r="G881" s="57">
        <v>973456</v>
      </c>
      <c r="H881" s="57">
        <v>21557</v>
      </c>
      <c r="I881" s="57">
        <v>158845</v>
      </c>
      <c r="J881" s="57">
        <v>865782</v>
      </c>
      <c r="K881" s="57">
        <v>845165</v>
      </c>
      <c r="L881" s="56">
        <v>2.44</v>
      </c>
      <c r="M881" s="20">
        <v>908200</v>
      </c>
      <c r="N881" s="56">
        <v>9.5299999999999994</v>
      </c>
      <c r="O881" s="56">
        <v>9.31</v>
      </c>
      <c r="P881" s="58">
        <v>57.97</v>
      </c>
      <c r="Q881" s="59">
        <v>53.3894586323959</v>
      </c>
      <c r="R881" s="59">
        <v>1.9533165663516201</v>
      </c>
      <c r="S881" s="59">
        <v>1.5852179951171199</v>
      </c>
      <c r="X881" s="2">
        <f t="shared" si="39"/>
        <v>0.46610541367604097</v>
      </c>
      <c r="Y881" s="2">
        <f>SUMIF(收盤價!A:A,A881,收盤價!C:C)</f>
        <v>139.5</v>
      </c>
      <c r="Z881" s="2">
        <f t="shared" si="40"/>
        <v>5264835.4000000004</v>
      </c>
      <c r="AA881" s="2">
        <f t="shared" si="41"/>
        <v>12669390</v>
      </c>
    </row>
    <row r="882" spans="1:27" ht="14.5" customHeight="1">
      <c r="A882" s="19" t="s">
        <v>5563</v>
      </c>
      <c r="B882" s="3" t="s">
        <v>1454</v>
      </c>
      <c r="C882" s="20">
        <v>1437581</v>
      </c>
      <c r="D882" s="20">
        <v>1217575</v>
      </c>
      <c r="E882" s="56">
        <v>18.07</v>
      </c>
      <c r="F882" s="57">
        <v>135650</v>
      </c>
      <c r="G882" s="57">
        <v>176039</v>
      </c>
      <c r="H882" s="57">
        <v>-30328</v>
      </c>
      <c r="I882" s="57">
        <v>-2290</v>
      </c>
      <c r="J882" s="57">
        <v>91402</v>
      </c>
      <c r="K882" s="57">
        <v>146518</v>
      </c>
      <c r="L882" s="56">
        <v>-37.619999999999997</v>
      </c>
      <c r="M882" s="20">
        <v>436646</v>
      </c>
      <c r="N882" s="56">
        <v>2.31</v>
      </c>
      <c r="O882" s="56">
        <v>3.74</v>
      </c>
      <c r="P882" s="58">
        <v>43.02</v>
      </c>
      <c r="Q882" s="59">
        <v>56.584618498913699</v>
      </c>
      <c r="R882" s="59">
        <v>1.44977296014669</v>
      </c>
      <c r="S882" s="59">
        <v>0.911720865016448</v>
      </c>
      <c r="X882" s="2">
        <f t="shared" si="39"/>
        <v>0.43415381501086303</v>
      </c>
      <c r="Y882" s="2">
        <f>SUMIF(收盤價!A:A,A882,收盤價!C:C)</f>
        <v>48.4</v>
      </c>
      <c r="Z882" s="2">
        <f t="shared" si="40"/>
        <v>1878451.0920000002</v>
      </c>
      <c r="AA882" s="2">
        <f t="shared" si="41"/>
        <v>2113366.6399999997</v>
      </c>
    </row>
    <row r="883" spans="1:27" ht="14.5" customHeight="1">
      <c r="A883" s="19" t="s">
        <v>5564</v>
      </c>
      <c r="B883" s="3" t="s">
        <v>1496</v>
      </c>
      <c r="C883" s="20">
        <v>59132232</v>
      </c>
      <c r="D883" s="20">
        <v>50472590</v>
      </c>
      <c r="E883" s="56">
        <v>17.16</v>
      </c>
      <c r="F883" s="57">
        <v>20761677</v>
      </c>
      <c r="G883" s="57">
        <v>18069435</v>
      </c>
      <c r="H883" s="57">
        <v>985652</v>
      </c>
      <c r="I883" s="57">
        <v>780626</v>
      </c>
      <c r="J883" s="57">
        <v>15468812</v>
      </c>
      <c r="K883" s="57">
        <v>13369370</v>
      </c>
      <c r="L883" s="56">
        <v>15.7</v>
      </c>
      <c r="M883" s="20">
        <v>13282000</v>
      </c>
      <c r="N883" s="56">
        <v>11.65</v>
      </c>
      <c r="O883" s="56">
        <v>10.07</v>
      </c>
      <c r="P883" s="58">
        <v>52.52</v>
      </c>
      <c r="Q883" s="59">
        <v>14.027076510980001</v>
      </c>
      <c r="R883" s="59">
        <v>1.1317655170985901</v>
      </c>
      <c r="S883" s="59">
        <v>1.0514952467799901</v>
      </c>
      <c r="X883" s="2">
        <f t="shared" si="39"/>
        <v>0.85972923489020003</v>
      </c>
      <c r="Y883" s="2">
        <f>SUMIF(收盤價!A:A,A883,收盤價!C:C)</f>
        <v>138</v>
      </c>
      <c r="Z883" s="2">
        <f t="shared" si="40"/>
        <v>69757064</v>
      </c>
      <c r="AA883" s="2">
        <f t="shared" si="41"/>
        <v>183291600</v>
      </c>
    </row>
    <row r="884" spans="1:27" ht="14.5" customHeight="1">
      <c r="A884" s="19" t="s">
        <v>5565</v>
      </c>
      <c r="B884" s="3" t="s">
        <v>1558</v>
      </c>
      <c r="C884" s="20">
        <v>2007085</v>
      </c>
      <c r="D884" s="20">
        <v>1974216</v>
      </c>
      <c r="E884" s="56">
        <v>1.66</v>
      </c>
      <c r="F884" s="57">
        <v>614865</v>
      </c>
      <c r="G884" s="57">
        <v>489499</v>
      </c>
      <c r="H884" s="57">
        <v>-8833</v>
      </c>
      <c r="I884" s="57">
        <v>-17245</v>
      </c>
      <c r="J884" s="57">
        <v>502311</v>
      </c>
      <c r="K884" s="57">
        <v>352028</v>
      </c>
      <c r="L884" s="56">
        <v>42.69</v>
      </c>
      <c r="M884" s="20">
        <v>1582306</v>
      </c>
      <c r="N884" s="56">
        <v>3.39</v>
      </c>
      <c r="O884" s="56">
        <v>2.37</v>
      </c>
      <c r="P884" s="58">
        <v>28.37</v>
      </c>
      <c r="Q884" s="59">
        <v>52.569513990887401</v>
      </c>
      <c r="R884" s="59">
        <v>1.47594184958236</v>
      </c>
      <c r="S884" s="59">
        <v>1.41036933794691</v>
      </c>
      <c r="X884" s="2">
        <f t="shared" si="39"/>
        <v>0.47430486009112599</v>
      </c>
      <c r="Y884" s="2">
        <f>SUMIF(收盤價!A:A,A884,收盤價!C:C)</f>
        <v>40.200000000000003</v>
      </c>
      <c r="Z884" s="2">
        <f t="shared" si="40"/>
        <v>4489002.1219999995</v>
      </c>
      <c r="AA884" s="2">
        <f t="shared" si="41"/>
        <v>6360870.1200000001</v>
      </c>
    </row>
    <row r="885" spans="1:27" ht="14.5" customHeight="1">
      <c r="A885" s="19" t="s">
        <v>5566</v>
      </c>
      <c r="B885" s="3" t="s">
        <v>1652</v>
      </c>
      <c r="C885" s="20">
        <v>3086340</v>
      </c>
      <c r="D885" s="20">
        <v>2931656</v>
      </c>
      <c r="E885" s="56">
        <v>5.28</v>
      </c>
      <c r="F885" s="57">
        <v>827903</v>
      </c>
      <c r="G885" s="57">
        <v>760739</v>
      </c>
      <c r="H885" s="57">
        <v>37891</v>
      </c>
      <c r="I885" s="57">
        <v>61958</v>
      </c>
      <c r="J885" s="57">
        <v>697290</v>
      </c>
      <c r="K885" s="57">
        <v>636927</v>
      </c>
      <c r="L885" s="56">
        <v>9.48</v>
      </c>
      <c r="M885" s="20">
        <v>1226947</v>
      </c>
      <c r="N885" s="56">
        <v>5.68</v>
      </c>
      <c r="O885" s="56">
        <v>5.16</v>
      </c>
      <c r="P885" s="58">
        <v>53.13</v>
      </c>
      <c r="Q885" s="59">
        <v>32.752679916625198</v>
      </c>
      <c r="R885" s="59">
        <v>1.2423522515591401</v>
      </c>
      <c r="S885" s="59">
        <v>1.1503355004889499</v>
      </c>
      <c r="X885" s="2">
        <f t="shared" si="39"/>
        <v>0.67247320083374806</v>
      </c>
      <c r="Y885" s="2">
        <f>SUMIF(收盤價!A:A,A885,收盤價!C:C)</f>
        <v>114</v>
      </c>
      <c r="Z885" s="2">
        <f t="shared" si="40"/>
        <v>6518769.4110000003</v>
      </c>
      <c r="AA885" s="2">
        <f t="shared" si="41"/>
        <v>13987195.800000001</v>
      </c>
    </row>
    <row r="886" spans="1:27" ht="14.5" customHeight="1">
      <c r="A886" s="19" t="s">
        <v>5567</v>
      </c>
      <c r="B886" s="3" t="s">
        <v>1658</v>
      </c>
      <c r="C886" s="20">
        <v>6546829</v>
      </c>
      <c r="D886" s="20">
        <v>6786338</v>
      </c>
      <c r="E886" s="56">
        <v>-3.53</v>
      </c>
      <c r="F886" s="57">
        <v>720489</v>
      </c>
      <c r="G886" s="57">
        <v>797304</v>
      </c>
      <c r="H886" s="57">
        <v>70260</v>
      </c>
      <c r="I886" s="57">
        <v>76959</v>
      </c>
      <c r="J886" s="57">
        <v>526005</v>
      </c>
      <c r="K886" s="57">
        <v>592766</v>
      </c>
      <c r="L886" s="56">
        <v>-11.26</v>
      </c>
      <c r="M886" s="20">
        <v>726000</v>
      </c>
      <c r="N886" s="56">
        <v>7.25</v>
      </c>
      <c r="O886" s="56">
        <v>8.16</v>
      </c>
      <c r="P886" s="58">
        <v>42.78</v>
      </c>
      <c r="Q886" s="59">
        <v>32.563042061594302</v>
      </c>
      <c r="R886" s="59">
        <v>1.2414203663682</v>
      </c>
      <c r="S886" s="59">
        <v>0.79863571382312004</v>
      </c>
      <c r="X886" s="2">
        <f t="shared" si="39"/>
        <v>0.67436957938405695</v>
      </c>
      <c r="Y886" s="2">
        <f>SUMIF(收盤價!A:A,A886,收盤價!C:C)</f>
        <v>137.5</v>
      </c>
      <c r="Z886" s="2">
        <f t="shared" si="40"/>
        <v>3105828</v>
      </c>
      <c r="AA886" s="2">
        <f t="shared" si="41"/>
        <v>9982500</v>
      </c>
    </row>
    <row r="887" spans="1:27" ht="14.5" customHeight="1">
      <c r="A887" s="19" t="s">
        <v>5568</v>
      </c>
      <c r="B887" s="3" t="s">
        <v>1678</v>
      </c>
      <c r="C887" s="20">
        <v>1650701</v>
      </c>
      <c r="D887" s="20">
        <v>2147371</v>
      </c>
      <c r="E887" s="56">
        <v>-23.13</v>
      </c>
      <c r="F887" s="57">
        <v>521572</v>
      </c>
      <c r="G887" s="57">
        <v>970825</v>
      </c>
      <c r="H887" s="57">
        <v>2333</v>
      </c>
      <c r="I887" s="57">
        <v>10929</v>
      </c>
      <c r="J887" s="57">
        <v>398825</v>
      </c>
      <c r="K887" s="57">
        <v>785481</v>
      </c>
      <c r="L887" s="56">
        <v>-49.23</v>
      </c>
      <c r="M887" s="20">
        <v>1112709</v>
      </c>
      <c r="N887" s="56">
        <v>3.58</v>
      </c>
      <c r="O887" s="56">
        <v>7.11</v>
      </c>
      <c r="P887" s="58">
        <v>30.9</v>
      </c>
      <c r="Q887" s="59">
        <v>75.770706296306003</v>
      </c>
      <c r="R887" s="59">
        <v>3.2363690222221</v>
      </c>
      <c r="S887" s="59">
        <v>2.6977989874091999</v>
      </c>
      <c r="X887" s="2">
        <f t="shared" si="39"/>
        <v>0.24229293703693996</v>
      </c>
      <c r="Y887" s="2">
        <f>SUMIF(收盤價!A:A,A887,收盤價!C:C)</f>
        <v>83.2</v>
      </c>
      <c r="Z887" s="2">
        <f t="shared" si="40"/>
        <v>3438270.81</v>
      </c>
      <c r="AA887" s="2">
        <f t="shared" si="41"/>
        <v>9257738.879999999</v>
      </c>
    </row>
    <row r="888" spans="1:27" ht="14.5" customHeight="1">
      <c r="A888" s="19" t="s">
        <v>5569</v>
      </c>
      <c r="B888" s="3" t="s">
        <v>1684</v>
      </c>
      <c r="C888" s="20">
        <v>12116446</v>
      </c>
      <c r="D888" s="20">
        <v>11083472</v>
      </c>
      <c r="E888" s="56">
        <v>9.32</v>
      </c>
      <c r="F888" s="57">
        <v>3010532</v>
      </c>
      <c r="G888" s="57">
        <v>2529952</v>
      </c>
      <c r="H888" s="57">
        <v>51268</v>
      </c>
      <c r="I888" s="57">
        <v>-132337</v>
      </c>
      <c r="J888" s="57">
        <v>2235585</v>
      </c>
      <c r="K888" s="57">
        <v>1761515</v>
      </c>
      <c r="L888" s="56">
        <v>26.91</v>
      </c>
      <c r="M888" s="20">
        <v>5150004</v>
      </c>
      <c r="N888" s="56">
        <v>5.81</v>
      </c>
      <c r="O888" s="56">
        <v>4.7</v>
      </c>
      <c r="P888" s="58">
        <v>39.75</v>
      </c>
      <c r="Q888" s="59">
        <v>15.3515582713875</v>
      </c>
      <c r="R888" s="59">
        <v>1.16267708260406</v>
      </c>
      <c r="S888" s="59">
        <v>1.1127923731114899</v>
      </c>
      <c r="X888" s="2">
        <f t="shared" si="39"/>
        <v>0.846484417286125</v>
      </c>
      <c r="Y888" s="2">
        <f>SUMIF(收盤價!A:A,A888,收盤價!C:C)</f>
        <v>88.9</v>
      </c>
      <c r="Z888" s="2">
        <f t="shared" si="40"/>
        <v>20471265.899999999</v>
      </c>
      <c r="AA888" s="2">
        <f t="shared" si="41"/>
        <v>45783535.560000002</v>
      </c>
    </row>
    <row r="889" spans="1:27" ht="14.5" customHeight="1">
      <c r="A889" s="19" t="s">
        <v>5570</v>
      </c>
      <c r="B889" s="3" t="s">
        <v>1688</v>
      </c>
      <c r="C889" s="20">
        <v>1217045</v>
      </c>
      <c r="D889" s="20">
        <v>1423593</v>
      </c>
      <c r="E889" s="56">
        <v>-14.51</v>
      </c>
      <c r="F889" s="57">
        <v>5873</v>
      </c>
      <c r="G889" s="57">
        <v>116373</v>
      </c>
      <c r="H889" s="57">
        <v>1273</v>
      </c>
      <c r="I889" s="57">
        <v>2357</v>
      </c>
      <c r="J889" s="57">
        <v>3190</v>
      </c>
      <c r="K889" s="57">
        <v>85713</v>
      </c>
      <c r="L889" s="56">
        <v>-96.28</v>
      </c>
      <c r="M889" s="20">
        <v>373334</v>
      </c>
      <c r="N889" s="56">
        <v>0.09</v>
      </c>
      <c r="O889" s="56">
        <v>2.3199999999999998</v>
      </c>
      <c r="P889" s="58">
        <v>16.47</v>
      </c>
      <c r="Q889" s="59">
        <v>53.032957680986499</v>
      </c>
      <c r="R889" s="59">
        <v>1.7115850537450901</v>
      </c>
      <c r="S889" s="59">
        <v>1.5473923676278201</v>
      </c>
      <c r="X889" s="2">
        <f t="shared" si="39"/>
        <v>0.46967042319013502</v>
      </c>
      <c r="Y889" s="2">
        <f>SUMIF(收盤價!A:A,A889,收盤價!C:C)</f>
        <v>48.95</v>
      </c>
      <c r="Z889" s="2">
        <f t="shared" si="40"/>
        <v>614881.098</v>
      </c>
      <c r="AA889" s="2">
        <f t="shared" si="41"/>
        <v>1827469.9300000002</v>
      </c>
    </row>
    <row r="890" spans="1:27" ht="14.5" customHeight="1">
      <c r="A890" s="19" t="s">
        <v>5571</v>
      </c>
      <c r="B890" s="3" t="s">
        <v>1690</v>
      </c>
      <c r="C890" s="20">
        <v>1992051</v>
      </c>
      <c r="D890" s="20">
        <v>1867639</v>
      </c>
      <c r="E890" s="56">
        <v>6.66</v>
      </c>
      <c r="F890" s="57">
        <v>240532</v>
      </c>
      <c r="G890" s="57">
        <v>263642</v>
      </c>
      <c r="H890" s="57">
        <v>42099</v>
      </c>
      <c r="I890" s="57">
        <v>16857</v>
      </c>
      <c r="J890" s="57">
        <v>230905</v>
      </c>
      <c r="K890" s="57">
        <v>213672</v>
      </c>
      <c r="L890" s="56">
        <v>8.07</v>
      </c>
      <c r="M890" s="20">
        <v>340000</v>
      </c>
      <c r="N890" s="56">
        <v>6.79</v>
      </c>
      <c r="O890" s="56">
        <v>6.86</v>
      </c>
      <c r="P890" s="58">
        <v>36.14</v>
      </c>
      <c r="Q890" s="59">
        <v>65.734925345664493</v>
      </c>
      <c r="R890" s="59">
        <v>2.71661827362251</v>
      </c>
      <c r="S890" s="59">
        <v>2.3792270226277301</v>
      </c>
      <c r="X890" s="2">
        <f t="shared" si="39"/>
        <v>0.34265074654335509</v>
      </c>
      <c r="Y890" s="2">
        <f>SUMIF(收盤價!A:A,A890,收盤價!C:C)</f>
        <v>68.5</v>
      </c>
      <c r="Z890" s="2">
        <f t="shared" si="40"/>
        <v>1228760</v>
      </c>
      <c r="AA890" s="2">
        <f t="shared" si="41"/>
        <v>2329000</v>
      </c>
    </row>
    <row r="891" spans="1:27" ht="14.5" customHeight="1">
      <c r="A891" s="19" t="s">
        <v>5572</v>
      </c>
      <c r="B891" s="3" t="s">
        <v>1692</v>
      </c>
      <c r="C891" s="20">
        <v>2575521</v>
      </c>
      <c r="D891" s="20">
        <v>2545815</v>
      </c>
      <c r="E891" s="56">
        <v>1.17</v>
      </c>
      <c r="F891" s="57">
        <v>312978</v>
      </c>
      <c r="G891" s="57">
        <v>362480</v>
      </c>
      <c r="H891" s="57">
        <v>-99536</v>
      </c>
      <c r="I891" s="57">
        <v>-55298</v>
      </c>
      <c r="J891" s="57">
        <v>155910</v>
      </c>
      <c r="K891" s="57">
        <v>214680</v>
      </c>
      <c r="L891" s="56">
        <v>-27.38</v>
      </c>
      <c r="M891" s="20">
        <v>756085</v>
      </c>
      <c r="N891" s="56">
        <v>2.25</v>
      </c>
      <c r="O891" s="56">
        <v>3.5</v>
      </c>
      <c r="P891" s="58">
        <v>32.39</v>
      </c>
      <c r="Q891" s="59">
        <v>43.775651359757802</v>
      </c>
      <c r="R891" s="59">
        <v>2.3232063300649402</v>
      </c>
      <c r="S891" s="59">
        <v>0.59171368275980896</v>
      </c>
      <c r="X891" s="2">
        <f t="shared" si="39"/>
        <v>0.56224348640242194</v>
      </c>
      <c r="Y891" s="2">
        <f>SUMIF(收盤價!A:A,A891,收盤價!C:C)</f>
        <v>41.2</v>
      </c>
      <c r="Z891" s="2">
        <f t="shared" si="40"/>
        <v>2448959.3150000004</v>
      </c>
      <c r="AA891" s="2">
        <f t="shared" si="41"/>
        <v>3115070.2</v>
      </c>
    </row>
    <row r="892" spans="1:27" ht="14.5" customHeight="1">
      <c r="A892" s="19" t="s">
        <v>5573</v>
      </c>
      <c r="B892" s="3" t="s">
        <v>1699</v>
      </c>
      <c r="C892" s="20">
        <v>17200853</v>
      </c>
      <c r="D892" s="20">
        <v>16007920</v>
      </c>
      <c r="E892" s="56">
        <v>7.45</v>
      </c>
      <c r="F892" s="57">
        <v>2785803</v>
      </c>
      <c r="G892" s="57">
        <v>2469587</v>
      </c>
      <c r="H892" s="57">
        <v>73520</v>
      </c>
      <c r="I892" s="57">
        <v>202465</v>
      </c>
      <c r="J892" s="57">
        <v>2176302</v>
      </c>
      <c r="K892" s="57">
        <v>2005631</v>
      </c>
      <c r="L892" s="56">
        <v>8.51</v>
      </c>
      <c r="M892" s="20">
        <v>1310300</v>
      </c>
      <c r="N892" s="56">
        <v>16.61</v>
      </c>
      <c r="O892" s="56">
        <v>16.850000000000001</v>
      </c>
      <c r="P892" s="58">
        <v>48.19</v>
      </c>
      <c r="Q892" s="59">
        <v>53.419853000767603</v>
      </c>
      <c r="R892" s="59">
        <v>1.8067165494361299</v>
      </c>
      <c r="S892" s="59">
        <v>1.3191805626118001</v>
      </c>
      <c r="X892" s="2">
        <f t="shared" si="39"/>
        <v>0.46580146999232397</v>
      </c>
      <c r="Y892" s="2">
        <f>SUMIF(收盤價!A:A,A892,收盤價!C:C)</f>
        <v>179.5</v>
      </c>
      <c r="Z892" s="2">
        <f t="shared" si="40"/>
        <v>6314335.7000000002</v>
      </c>
      <c r="AA892" s="2">
        <f t="shared" si="41"/>
        <v>23519885</v>
      </c>
    </row>
    <row r="893" spans="1:27" ht="14.5" customHeight="1">
      <c r="A893" s="19" t="s">
        <v>5574</v>
      </c>
      <c r="B893" s="3" t="s">
        <v>1701</v>
      </c>
      <c r="C893" s="20">
        <v>1895403</v>
      </c>
      <c r="D893" s="20">
        <v>1900240</v>
      </c>
      <c r="E893" s="56">
        <v>-0.25</v>
      </c>
      <c r="F893" s="57">
        <v>205746</v>
      </c>
      <c r="G893" s="57">
        <v>214481</v>
      </c>
      <c r="H893" s="57">
        <v>24429</v>
      </c>
      <c r="I893" s="57">
        <v>17246</v>
      </c>
      <c r="J893" s="57">
        <v>188940</v>
      </c>
      <c r="K893" s="57">
        <v>178467</v>
      </c>
      <c r="L893" s="56">
        <v>5.87</v>
      </c>
      <c r="M893" s="20">
        <v>607500</v>
      </c>
      <c r="N893" s="56">
        <v>3.11</v>
      </c>
      <c r="O893" s="56">
        <v>3.28</v>
      </c>
      <c r="P893" s="58">
        <v>26.59</v>
      </c>
      <c r="Q893" s="59">
        <v>73.137792764181</v>
      </c>
      <c r="R893" s="59">
        <v>2.7745005350981198</v>
      </c>
      <c r="S893" s="59">
        <v>1.1381009055875799</v>
      </c>
      <c r="X893" s="2">
        <f t="shared" si="39"/>
        <v>0.26862207235819002</v>
      </c>
      <c r="Y893" s="2">
        <f>SUMIF(收盤價!A:A,A893,收盤價!C:C)</f>
        <v>36.6</v>
      </c>
      <c r="Z893" s="2">
        <f t="shared" si="40"/>
        <v>1615342.5</v>
      </c>
      <c r="AA893" s="2">
        <f t="shared" si="41"/>
        <v>2223450</v>
      </c>
    </row>
    <row r="894" spans="1:27" ht="14.5" customHeight="1">
      <c r="A894" s="19" t="s">
        <v>5575</v>
      </c>
      <c r="B894" s="3" t="s">
        <v>1720</v>
      </c>
      <c r="C894" s="20">
        <v>815458</v>
      </c>
      <c r="D894" s="20">
        <v>871835</v>
      </c>
      <c r="E894" s="56">
        <v>-6.47</v>
      </c>
      <c r="F894" s="57">
        <v>-51532</v>
      </c>
      <c r="G894" s="57">
        <v>-5070</v>
      </c>
      <c r="H894" s="57">
        <v>-18827</v>
      </c>
      <c r="I894" s="57">
        <v>-16772</v>
      </c>
      <c r="J894" s="57">
        <v>-63629</v>
      </c>
      <c r="K894" s="57">
        <v>-48783</v>
      </c>
      <c r="L894" s="56"/>
      <c r="M894" s="20">
        <v>1126298</v>
      </c>
      <c r="N894" s="56">
        <v>-0.56999999999999995</v>
      </c>
      <c r="O894" s="56">
        <v>-0.45</v>
      </c>
      <c r="P894" s="58">
        <v>5.01</v>
      </c>
      <c r="Q894" s="59">
        <v>47.375648382068398</v>
      </c>
      <c r="R894" s="59">
        <v>2.1087743755797099</v>
      </c>
      <c r="S894" s="59">
        <v>1.05482735063622</v>
      </c>
      <c r="X894" s="2">
        <f t="shared" si="39"/>
        <v>0.52624351617931597</v>
      </c>
      <c r="Y894" s="2">
        <f>SUMIF(收盤價!A:A,A894,收盤價!C:C)</f>
        <v>10.199999999999999</v>
      </c>
      <c r="Z894" s="2">
        <f t="shared" si="40"/>
        <v>564275.29799999995</v>
      </c>
      <c r="AA894" s="2">
        <f t="shared" si="41"/>
        <v>1148823.96</v>
      </c>
    </row>
    <row r="895" spans="1:27" ht="14.5" customHeight="1">
      <c r="A895" s="19" t="s">
        <v>5576</v>
      </c>
      <c r="B895" s="3" t="s">
        <v>1768</v>
      </c>
      <c r="C895" s="20">
        <v>2620308</v>
      </c>
      <c r="D895" s="20">
        <v>2205999</v>
      </c>
      <c r="E895" s="56">
        <v>18.78</v>
      </c>
      <c r="F895" s="57">
        <v>1199289</v>
      </c>
      <c r="G895" s="57">
        <v>1015132</v>
      </c>
      <c r="H895" s="57">
        <v>37376</v>
      </c>
      <c r="I895" s="57">
        <v>29185</v>
      </c>
      <c r="J895" s="57">
        <v>992998</v>
      </c>
      <c r="K895" s="57">
        <v>823361</v>
      </c>
      <c r="L895" s="56">
        <v>20.6</v>
      </c>
      <c r="M895" s="20">
        <v>1115000</v>
      </c>
      <c r="N895" s="56">
        <v>8.91</v>
      </c>
      <c r="O895" s="56">
        <v>7.38</v>
      </c>
      <c r="P895" s="58">
        <v>27.28</v>
      </c>
      <c r="Q895" s="59">
        <v>52.122671977515701</v>
      </c>
      <c r="R895" s="59">
        <v>1.56498137596308</v>
      </c>
      <c r="S895" s="59">
        <v>0.93256154711191597</v>
      </c>
      <c r="X895" s="2">
        <f t="shared" si="39"/>
        <v>0.478773280224843</v>
      </c>
      <c r="Y895" s="2">
        <f>SUMIF(收盤價!A:A,A895,收盤價!C:C)</f>
        <v>234</v>
      </c>
      <c r="Z895" s="2">
        <f t="shared" si="40"/>
        <v>3041720</v>
      </c>
      <c r="AA895" s="2">
        <f t="shared" si="41"/>
        <v>26091000</v>
      </c>
    </row>
    <row r="896" spans="1:27" ht="14.5" customHeight="1">
      <c r="A896" s="19" t="s">
        <v>5577</v>
      </c>
      <c r="B896" s="3" t="s">
        <v>1774</v>
      </c>
      <c r="C896" s="20">
        <v>6567553</v>
      </c>
      <c r="D896" s="20">
        <v>5992847</v>
      </c>
      <c r="E896" s="56">
        <v>9.59</v>
      </c>
      <c r="F896" s="57">
        <v>922232</v>
      </c>
      <c r="G896" s="57">
        <v>761802</v>
      </c>
      <c r="H896" s="57">
        <v>-151970</v>
      </c>
      <c r="I896" s="57">
        <v>-142455</v>
      </c>
      <c r="J896" s="57">
        <v>359353</v>
      </c>
      <c r="K896" s="57">
        <v>317765</v>
      </c>
      <c r="L896" s="56">
        <v>13.09</v>
      </c>
      <c r="M896" s="20">
        <v>3151781</v>
      </c>
      <c r="N896" s="56">
        <v>1.1399999999999999</v>
      </c>
      <c r="O896" s="56">
        <v>1.01</v>
      </c>
      <c r="P896" s="58">
        <v>15.53</v>
      </c>
      <c r="Q896" s="59">
        <v>34.018266823011402</v>
      </c>
      <c r="R896" s="59">
        <v>1.1650516787073399</v>
      </c>
      <c r="S896" s="59">
        <v>0.48963720785265902</v>
      </c>
      <c r="X896" s="2">
        <f t="shared" si="39"/>
        <v>0.659817331769886</v>
      </c>
      <c r="Y896" s="2">
        <f>SUMIF(收盤價!A:A,A896,收盤價!C:C)</f>
        <v>44.45</v>
      </c>
      <c r="Z896" s="2">
        <f t="shared" si="40"/>
        <v>4894715.8930000002</v>
      </c>
      <c r="AA896" s="2">
        <f t="shared" si="41"/>
        <v>14009666.545000002</v>
      </c>
    </row>
    <row r="897" spans="1:27" ht="14.5" customHeight="1">
      <c r="A897" s="19" t="s">
        <v>5578</v>
      </c>
      <c r="B897" s="3" t="s">
        <v>1776</v>
      </c>
      <c r="C897" s="20">
        <v>6072725</v>
      </c>
      <c r="D897" s="20">
        <v>5541338</v>
      </c>
      <c r="E897" s="56">
        <v>9.59</v>
      </c>
      <c r="F897" s="57">
        <v>20792</v>
      </c>
      <c r="G897" s="57">
        <v>-49181</v>
      </c>
      <c r="H897" s="57">
        <v>-60943</v>
      </c>
      <c r="I897" s="57">
        <v>-73130</v>
      </c>
      <c r="J897" s="57">
        <v>-60204</v>
      </c>
      <c r="K897" s="57">
        <v>-138688</v>
      </c>
      <c r="L897" s="56"/>
      <c r="M897" s="20">
        <v>1753982</v>
      </c>
      <c r="N897" s="56">
        <v>-0.34</v>
      </c>
      <c r="O897" s="56">
        <v>-0.79</v>
      </c>
      <c r="P897" s="58">
        <v>29.61</v>
      </c>
      <c r="Q897" s="59">
        <v>49.802033256955397</v>
      </c>
      <c r="R897" s="59">
        <v>1.97048433523288</v>
      </c>
      <c r="S897" s="59">
        <v>1.36231738696595</v>
      </c>
      <c r="X897" s="2">
        <f t="shared" si="39"/>
        <v>0.50197966743044597</v>
      </c>
      <c r="Y897" s="2">
        <f>SUMIF(收盤價!A:A,A897,收盤價!C:C)</f>
        <v>15.95</v>
      </c>
      <c r="Z897" s="2">
        <f t="shared" si="40"/>
        <v>5193540.7019999996</v>
      </c>
      <c r="AA897" s="2">
        <f t="shared" si="41"/>
        <v>2797601.29</v>
      </c>
    </row>
    <row r="898" spans="1:27" ht="14.5" customHeight="1">
      <c r="A898" s="19" t="s">
        <v>5579</v>
      </c>
      <c r="B898" s="3" t="s">
        <v>1778</v>
      </c>
      <c r="C898" s="20">
        <v>2706574</v>
      </c>
      <c r="D898" s="20">
        <v>3395807</v>
      </c>
      <c r="E898" s="56">
        <v>-20.3</v>
      </c>
      <c r="F898" s="57">
        <v>1423086</v>
      </c>
      <c r="G898" s="57">
        <v>1702834</v>
      </c>
      <c r="H898" s="57">
        <v>25027</v>
      </c>
      <c r="I898" s="57">
        <v>12031</v>
      </c>
      <c r="J898" s="57">
        <v>1178988</v>
      </c>
      <c r="K898" s="57">
        <v>1320610</v>
      </c>
      <c r="L898" s="56">
        <v>-10.72</v>
      </c>
      <c r="M898" s="20">
        <v>1088880</v>
      </c>
      <c r="N898" s="56">
        <v>10.83</v>
      </c>
      <c r="O898" s="56">
        <v>12.13</v>
      </c>
      <c r="P898" s="58">
        <v>51.69</v>
      </c>
      <c r="Q898" s="59">
        <v>79.319125234678594</v>
      </c>
      <c r="R898" s="59">
        <v>3.5554533480666399</v>
      </c>
      <c r="S898" s="59">
        <v>3.1132420408328598</v>
      </c>
      <c r="X898" s="2">
        <f t="shared" si="39"/>
        <v>0.20680874765321405</v>
      </c>
      <c r="Y898" s="2">
        <f>SUMIF(收盤價!A:A,A898,收盤價!C:C)</f>
        <v>156</v>
      </c>
      <c r="Z898" s="2">
        <f t="shared" si="40"/>
        <v>5628420.7199999997</v>
      </c>
      <c r="AA898" s="2">
        <f t="shared" si="41"/>
        <v>16986528</v>
      </c>
    </row>
    <row r="899" spans="1:27" ht="14.5" customHeight="1">
      <c r="A899" s="19" t="s">
        <v>5580</v>
      </c>
      <c r="B899" s="3" t="s">
        <v>1780</v>
      </c>
      <c r="C899" s="20">
        <v>4637001</v>
      </c>
      <c r="D899" s="20">
        <v>6152017</v>
      </c>
      <c r="E899" s="56">
        <v>-24.63</v>
      </c>
      <c r="F899" s="57">
        <v>62529</v>
      </c>
      <c r="G899" s="57">
        <v>134699</v>
      </c>
      <c r="H899" s="57">
        <v>47815</v>
      </c>
      <c r="I899" s="57">
        <v>-60806</v>
      </c>
      <c r="J899" s="57">
        <v>48368</v>
      </c>
      <c r="K899" s="57">
        <v>-50317</v>
      </c>
      <c r="L899" s="56"/>
      <c r="M899" s="20">
        <v>1042610</v>
      </c>
      <c r="N899" s="56">
        <v>0.46</v>
      </c>
      <c r="O899" s="56">
        <v>-0.48</v>
      </c>
      <c r="P899" s="58">
        <v>37.46</v>
      </c>
      <c r="Q899" s="59">
        <v>65.305348252779893</v>
      </c>
      <c r="R899" s="59">
        <v>2.1008012740079001</v>
      </c>
      <c r="S899" s="59">
        <v>1.3644019147761499</v>
      </c>
      <c r="X899" s="2">
        <f t="shared" si="39"/>
        <v>0.34694651747220107</v>
      </c>
      <c r="Y899" s="2">
        <f>SUMIF(收盤價!A:A,A899,收盤價!C:C)</f>
        <v>48.5</v>
      </c>
      <c r="Z899" s="2">
        <f t="shared" si="40"/>
        <v>3905617.06</v>
      </c>
      <c r="AA899" s="2">
        <f t="shared" si="41"/>
        <v>5056658.5</v>
      </c>
    </row>
    <row r="900" spans="1:27" ht="14.5" customHeight="1">
      <c r="A900" s="19" t="s">
        <v>5581</v>
      </c>
      <c r="B900" s="3" t="s">
        <v>1784</v>
      </c>
      <c r="C900" s="20">
        <v>6458112</v>
      </c>
      <c r="D900" s="20">
        <v>6030433</v>
      </c>
      <c r="E900" s="56">
        <v>7.09</v>
      </c>
      <c r="F900" s="57">
        <v>250641</v>
      </c>
      <c r="G900" s="57">
        <v>81017</v>
      </c>
      <c r="H900" s="57">
        <v>-24421</v>
      </c>
      <c r="I900" s="57">
        <v>20570</v>
      </c>
      <c r="J900" s="57">
        <v>212352</v>
      </c>
      <c r="K900" s="57">
        <v>91458</v>
      </c>
      <c r="L900" s="56">
        <v>132.19</v>
      </c>
      <c r="M900" s="20">
        <v>599997</v>
      </c>
      <c r="N900" s="56">
        <v>4.2</v>
      </c>
      <c r="O900" s="56">
        <v>1.83</v>
      </c>
      <c r="P900" s="58">
        <v>30.97</v>
      </c>
      <c r="Q900" s="59">
        <v>41.100944578575401</v>
      </c>
      <c r="R900" s="59">
        <v>1.32215808970507</v>
      </c>
      <c r="S900" s="59">
        <v>0.80117180060430204</v>
      </c>
      <c r="X900" s="2">
        <f t="shared" si="39"/>
        <v>0.58899055421424595</v>
      </c>
      <c r="Y900" s="2">
        <f>SUMIF(收盤價!A:A,A900,收盤價!C:C)</f>
        <v>54.4</v>
      </c>
      <c r="Z900" s="2">
        <f t="shared" si="40"/>
        <v>1858190.709</v>
      </c>
      <c r="AA900" s="2">
        <f t="shared" si="41"/>
        <v>3263983.68</v>
      </c>
    </row>
    <row r="901" spans="1:27" ht="14.5" customHeight="1">
      <c r="A901" s="19" t="s">
        <v>5582</v>
      </c>
      <c r="B901" s="3" t="s">
        <v>1792</v>
      </c>
      <c r="C901" s="20">
        <v>3082428</v>
      </c>
      <c r="D901" s="20">
        <v>2783565</v>
      </c>
      <c r="E901" s="56">
        <v>10.74</v>
      </c>
      <c r="F901" s="57">
        <v>116083</v>
      </c>
      <c r="G901" s="57">
        <v>148017</v>
      </c>
      <c r="H901" s="57">
        <v>-8820</v>
      </c>
      <c r="I901" s="57">
        <v>-7496</v>
      </c>
      <c r="J901" s="57">
        <v>87797</v>
      </c>
      <c r="K901" s="57">
        <v>116121</v>
      </c>
      <c r="L901" s="56">
        <v>-24.39</v>
      </c>
      <c r="M901" s="20">
        <v>1500000</v>
      </c>
      <c r="N901" s="56">
        <v>0.59</v>
      </c>
      <c r="O901" s="56">
        <v>0.77</v>
      </c>
      <c r="P901" s="58">
        <v>15.59</v>
      </c>
      <c r="Q901" s="59">
        <v>45.501377374558103</v>
      </c>
      <c r="R901" s="59">
        <v>1.5328899850494</v>
      </c>
      <c r="S901" s="59">
        <v>1.05433704690695</v>
      </c>
      <c r="X901" s="2">
        <f t="shared" ref="X901:X964" si="42">IF(W901&lt;&gt;"",ROUND(W901/U901,2),(100-Q901)/100)</f>
        <v>0.54498622625441895</v>
      </c>
      <c r="Y901" s="2">
        <f>SUMIF(收盤價!A:A,A901,收盤價!C:C)</f>
        <v>44.2</v>
      </c>
      <c r="Z901" s="2">
        <f t="shared" ref="Z901:Z964" si="43">IF(W901&lt;&gt;"",U901-W901,M901*P901/10)</f>
        <v>2338500</v>
      </c>
      <c r="AA901" s="2">
        <f t="shared" ref="AA901:AA964" si="44">Y901*M901/10</f>
        <v>6630000.0000000009</v>
      </c>
    </row>
    <row r="902" spans="1:27" ht="14.5" customHeight="1">
      <c r="A902" s="19" t="s">
        <v>5583</v>
      </c>
      <c r="B902" s="3" t="s">
        <v>1794</v>
      </c>
      <c r="C902" s="20">
        <v>23928962</v>
      </c>
      <c r="D902" s="20">
        <v>21878095</v>
      </c>
      <c r="E902" s="56">
        <v>9.3699999999999992</v>
      </c>
      <c r="F902" s="57">
        <v>6154138</v>
      </c>
      <c r="G902" s="57">
        <v>4669693</v>
      </c>
      <c r="H902" s="57">
        <v>-43079</v>
      </c>
      <c r="I902" s="57">
        <v>270902</v>
      </c>
      <c r="J902" s="57">
        <v>4503531</v>
      </c>
      <c r="K902" s="57">
        <v>3630247</v>
      </c>
      <c r="L902" s="56">
        <v>24.06</v>
      </c>
      <c r="M902" s="20">
        <v>2930202</v>
      </c>
      <c r="N902" s="56">
        <v>15.37</v>
      </c>
      <c r="O902" s="56">
        <v>12.39</v>
      </c>
      <c r="P902" s="58">
        <v>46.87</v>
      </c>
      <c r="Q902" s="59">
        <v>61.9811453337797</v>
      </c>
      <c r="R902" s="59">
        <v>2.1875167542602898</v>
      </c>
      <c r="S902" s="59">
        <v>1.59603309546552</v>
      </c>
      <c r="X902" s="2">
        <f t="shared" si="42"/>
        <v>0.38018854666220298</v>
      </c>
      <c r="Y902" s="2">
        <f>SUMIF(收盤價!A:A,A902,收盤價!C:C)</f>
        <v>277</v>
      </c>
      <c r="Z902" s="2">
        <f t="shared" si="43"/>
        <v>13733856.773999998</v>
      </c>
      <c r="AA902" s="2">
        <f t="shared" si="44"/>
        <v>81166595.400000006</v>
      </c>
    </row>
    <row r="903" spans="1:27" ht="14.5" customHeight="1">
      <c r="A903" s="19" t="s">
        <v>5584</v>
      </c>
      <c r="B903" s="3" t="s">
        <v>5585</v>
      </c>
      <c r="C903" s="20">
        <v>3468163</v>
      </c>
      <c r="D903" s="20">
        <v>2979348</v>
      </c>
      <c r="E903" s="56">
        <v>16.41</v>
      </c>
      <c r="F903" s="57">
        <v>438782</v>
      </c>
      <c r="G903" s="57">
        <v>258179</v>
      </c>
      <c r="H903" s="57">
        <v>18902</v>
      </c>
      <c r="I903" s="57">
        <v>56524</v>
      </c>
      <c r="J903" s="57">
        <v>402465</v>
      </c>
      <c r="K903" s="57">
        <v>310436</v>
      </c>
      <c r="L903" s="56">
        <v>29.65</v>
      </c>
      <c r="M903" s="20">
        <v>660590</v>
      </c>
      <c r="N903" s="56">
        <v>6.09</v>
      </c>
      <c r="O903" s="56">
        <v>4.7</v>
      </c>
      <c r="P903" s="58">
        <v>39.24</v>
      </c>
      <c r="Q903" s="59">
        <v>59.083601011306399</v>
      </c>
      <c r="R903" s="59">
        <v>1.4796696085424801</v>
      </c>
      <c r="S903" s="59">
        <v>0.977567790448306</v>
      </c>
      <c r="X903" s="2">
        <f t="shared" si="42"/>
        <v>0.40916398988693603</v>
      </c>
      <c r="Y903" s="2">
        <f>SUMIF(收盤價!A:A,A903,收盤價!C:C)</f>
        <v>69.7</v>
      </c>
      <c r="Z903" s="2">
        <f t="shared" si="43"/>
        <v>2592155.16</v>
      </c>
      <c r="AA903" s="2">
        <f t="shared" si="44"/>
        <v>4604312.3</v>
      </c>
    </row>
    <row r="904" spans="1:27" ht="14.5" customHeight="1">
      <c r="A904" s="21" t="s">
        <v>5586</v>
      </c>
      <c r="B904" s="22" t="s">
        <v>1798</v>
      </c>
      <c r="C904" s="23">
        <v>1437878</v>
      </c>
      <c r="D904" s="23">
        <v>1485900</v>
      </c>
      <c r="E904" s="60">
        <v>-3.23</v>
      </c>
      <c r="F904" s="61">
        <v>84206</v>
      </c>
      <c r="G904" s="61">
        <v>64116</v>
      </c>
      <c r="H904" s="61">
        <v>65252</v>
      </c>
      <c r="I904" s="61">
        <v>85941</v>
      </c>
      <c r="J904" s="61">
        <v>132118</v>
      </c>
      <c r="K904" s="61">
        <v>129317</v>
      </c>
      <c r="L904" s="60">
        <v>2.17</v>
      </c>
      <c r="M904" s="23">
        <v>495340</v>
      </c>
      <c r="N904" s="60">
        <v>2.67</v>
      </c>
      <c r="O904" s="60">
        <v>2.61</v>
      </c>
      <c r="P904" s="62">
        <v>27.98</v>
      </c>
      <c r="Q904" s="63">
        <v>58.944063606464802</v>
      </c>
      <c r="R904" s="63">
        <v>1.50245777753127</v>
      </c>
      <c r="S904" s="63">
        <v>1.01775331170212</v>
      </c>
      <c r="X904" s="2">
        <f t="shared" si="42"/>
        <v>0.41055936393535197</v>
      </c>
      <c r="Y904" s="2">
        <f>SUMIF(收盤價!A:A,A904,收盤價!C:C)</f>
        <v>66.5</v>
      </c>
      <c r="Z904" s="2">
        <f t="shared" si="43"/>
        <v>1385961.32</v>
      </c>
      <c r="AA904" s="2">
        <f t="shared" si="44"/>
        <v>3294011</v>
      </c>
    </row>
    <row r="905" spans="1:27" ht="14.5" customHeight="1">
      <c r="A905" s="24" t="s">
        <v>5587</v>
      </c>
      <c r="B905" s="25" t="s">
        <v>1800</v>
      </c>
      <c r="C905" s="26">
        <v>4446968</v>
      </c>
      <c r="D905" s="26">
        <v>4537962</v>
      </c>
      <c r="E905" s="64">
        <v>-2.0099999999999998</v>
      </c>
      <c r="F905" s="65">
        <v>707643</v>
      </c>
      <c r="G905" s="65">
        <v>793091</v>
      </c>
      <c r="H905" s="65">
        <v>-147750</v>
      </c>
      <c r="I905" s="65">
        <v>-74921</v>
      </c>
      <c r="J905" s="65">
        <v>304995</v>
      </c>
      <c r="K905" s="65">
        <v>367151</v>
      </c>
      <c r="L905" s="64">
        <v>-16.93</v>
      </c>
      <c r="M905" s="26">
        <v>1348123</v>
      </c>
      <c r="N905" s="64">
        <v>2.25</v>
      </c>
      <c r="O905" s="64">
        <v>2.78</v>
      </c>
      <c r="P905" s="66">
        <v>42.12</v>
      </c>
      <c r="Q905" s="67">
        <v>39.440473267229798</v>
      </c>
      <c r="R905" s="67">
        <v>1.1649607678149601</v>
      </c>
      <c r="S905" s="67">
        <v>0.97027145071871002</v>
      </c>
      <c r="X905" s="2">
        <f t="shared" si="42"/>
        <v>0.60559526732770197</v>
      </c>
      <c r="Y905" s="2">
        <f>SUMIF(收盤價!A:A,A905,收盤價!C:C)</f>
        <v>49.4</v>
      </c>
      <c r="Z905" s="2">
        <f t="shared" si="43"/>
        <v>5678294.0759999994</v>
      </c>
      <c r="AA905" s="2">
        <f t="shared" si="44"/>
        <v>6659727.6199999992</v>
      </c>
    </row>
    <row r="906" spans="1:27" ht="14.5" customHeight="1">
      <c r="A906" s="19" t="s">
        <v>5588</v>
      </c>
      <c r="B906" s="3" t="s">
        <v>1802</v>
      </c>
      <c r="C906" s="20">
        <v>3690115</v>
      </c>
      <c r="D906" s="20">
        <v>3959487</v>
      </c>
      <c r="E906" s="56">
        <v>-6.8</v>
      </c>
      <c r="F906" s="57">
        <v>127895</v>
      </c>
      <c r="G906" s="57">
        <v>266695</v>
      </c>
      <c r="H906" s="57">
        <v>-66439</v>
      </c>
      <c r="I906" s="57">
        <v>124616</v>
      </c>
      <c r="J906" s="57">
        <v>46117</v>
      </c>
      <c r="K906" s="57">
        <v>358755</v>
      </c>
      <c r="L906" s="56">
        <v>-87.15</v>
      </c>
      <c r="M906" s="20">
        <v>908933</v>
      </c>
      <c r="N906" s="56">
        <v>0.5</v>
      </c>
      <c r="O906" s="56">
        <v>3.85</v>
      </c>
      <c r="P906" s="58">
        <v>28.58</v>
      </c>
      <c r="Q906" s="59">
        <v>41.488761990420102</v>
      </c>
      <c r="R906" s="59">
        <v>2.1754023183319502</v>
      </c>
      <c r="S906" s="59">
        <v>0.41213290497863397</v>
      </c>
      <c r="X906" s="2">
        <f t="shared" si="42"/>
        <v>0.58511238009579902</v>
      </c>
      <c r="Y906" s="2">
        <f>SUMIF(收盤價!A:A,A906,收盤價!C:C)</f>
        <v>44.05</v>
      </c>
      <c r="Z906" s="2">
        <f t="shared" si="43"/>
        <v>2597730.5139999995</v>
      </c>
      <c r="AA906" s="2">
        <f t="shared" si="44"/>
        <v>4003849.8649999998</v>
      </c>
    </row>
    <row r="907" spans="1:27" ht="14.5" customHeight="1">
      <c r="A907" s="19" t="s">
        <v>5589</v>
      </c>
      <c r="B907" s="3" t="s">
        <v>1804</v>
      </c>
      <c r="C907" s="20">
        <v>1977366</v>
      </c>
      <c r="D907" s="20">
        <v>1744175</v>
      </c>
      <c r="E907" s="56">
        <v>13.37</v>
      </c>
      <c r="F907" s="57">
        <v>315009</v>
      </c>
      <c r="G907" s="57">
        <v>284515</v>
      </c>
      <c r="H907" s="57">
        <v>65269</v>
      </c>
      <c r="I907" s="57">
        <v>51327</v>
      </c>
      <c r="J907" s="57">
        <v>345164</v>
      </c>
      <c r="K907" s="57">
        <v>298691</v>
      </c>
      <c r="L907" s="56">
        <v>15.56</v>
      </c>
      <c r="M907" s="20">
        <v>392700</v>
      </c>
      <c r="N907" s="56">
        <v>8.7899999999999991</v>
      </c>
      <c r="O907" s="56">
        <v>7.61</v>
      </c>
      <c r="P907" s="58">
        <v>44.18</v>
      </c>
      <c r="Q907" s="59">
        <v>67.828570199940202</v>
      </c>
      <c r="R907" s="59">
        <v>2.3192773524030001</v>
      </c>
      <c r="S907" s="59">
        <v>0.33274016766543502</v>
      </c>
      <c r="X907" s="2">
        <f t="shared" si="42"/>
        <v>0.32171429800059798</v>
      </c>
      <c r="Y907" s="2">
        <f>SUMIF(收盤價!A:A,A907,收盤價!C:C)</f>
        <v>137</v>
      </c>
      <c r="Z907" s="2">
        <f t="shared" si="43"/>
        <v>1734948.6</v>
      </c>
      <c r="AA907" s="2">
        <f t="shared" si="44"/>
        <v>5379990</v>
      </c>
    </row>
    <row r="908" spans="1:27" ht="14.5" customHeight="1">
      <c r="A908" s="19" t="s">
        <v>5590</v>
      </c>
      <c r="B908" s="3" t="s">
        <v>1806</v>
      </c>
      <c r="C908" s="20">
        <v>1234529</v>
      </c>
      <c r="D908" s="20">
        <v>1138885</v>
      </c>
      <c r="E908" s="56">
        <v>8.4</v>
      </c>
      <c r="F908" s="57">
        <v>289903</v>
      </c>
      <c r="G908" s="57">
        <v>272794</v>
      </c>
      <c r="H908" s="57">
        <v>411</v>
      </c>
      <c r="I908" s="57">
        <v>14230</v>
      </c>
      <c r="J908" s="57">
        <v>227906</v>
      </c>
      <c r="K908" s="57">
        <v>223402</v>
      </c>
      <c r="L908" s="56">
        <v>2.02</v>
      </c>
      <c r="M908" s="20">
        <v>666019</v>
      </c>
      <c r="N908" s="56">
        <v>3.42</v>
      </c>
      <c r="O908" s="56">
        <v>3.35</v>
      </c>
      <c r="P908" s="58">
        <v>19.149999999999999</v>
      </c>
      <c r="Q908" s="59">
        <v>76.582816626374907</v>
      </c>
      <c r="R908" s="59">
        <v>2.8697717701363401</v>
      </c>
      <c r="S908" s="59">
        <v>2.5682720041030098</v>
      </c>
      <c r="X908" s="2">
        <f t="shared" si="42"/>
        <v>0.23417183373625095</v>
      </c>
      <c r="Y908" s="2">
        <f>SUMIF(收盤價!A:A,A908,收盤價!C:C)</f>
        <v>59</v>
      </c>
      <c r="Z908" s="2">
        <f t="shared" si="43"/>
        <v>1275426.385</v>
      </c>
      <c r="AA908" s="2">
        <f t="shared" si="44"/>
        <v>3929512.1</v>
      </c>
    </row>
    <row r="909" spans="1:27" ht="14.5" customHeight="1">
      <c r="A909" s="19" t="s">
        <v>5591</v>
      </c>
      <c r="B909" s="3" t="s">
        <v>6322</v>
      </c>
      <c r="C909" s="20">
        <v>4026937</v>
      </c>
      <c r="D909" s="20">
        <v>4439108</v>
      </c>
      <c r="E909" s="56">
        <v>-9.2799999999999994</v>
      </c>
      <c r="F909" s="57">
        <v>780909</v>
      </c>
      <c r="G909" s="57">
        <v>1046733</v>
      </c>
      <c r="H909" s="57">
        <v>101211</v>
      </c>
      <c r="I909" s="57">
        <v>57221</v>
      </c>
      <c r="J909" s="57">
        <v>842428</v>
      </c>
      <c r="K909" s="57">
        <v>1011996</v>
      </c>
      <c r="L909" s="56">
        <v>-16.760000000000002</v>
      </c>
      <c r="M909" s="20">
        <v>1111120</v>
      </c>
      <c r="N909" s="56">
        <v>7.67</v>
      </c>
      <c r="O909" s="56">
        <v>9.6999999999999993</v>
      </c>
      <c r="P909" s="58">
        <v>28.53</v>
      </c>
      <c r="Q909" s="59">
        <v>72.638235417413398</v>
      </c>
      <c r="R909" s="59">
        <v>2.8844661560235698</v>
      </c>
      <c r="S909" s="59">
        <v>2.044995939808</v>
      </c>
      <c r="X909" s="2">
        <f t="shared" si="42"/>
        <v>0.27361764582586601</v>
      </c>
      <c r="Y909" s="2">
        <f>SUMIF(收盤價!A:A,A909,收盤價!C:C)</f>
        <v>139</v>
      </c>
      <c r="Z909" s="2">
        <f t="shared" si="43"/>
        <v>3170025.3600000003</v>
      </c>
      <c r="AA909" s="2">
        <f t="shared" si="44"/>
        <v>15444568</v>
      </c>
    </row>
    <row r="910" spans="1:27" ht="14.5" customHeight="1">
      <c r="A910" s="19" t="s">
        <v>5592</v>
      </c>
      <c r="B910" s="3" t="s">
        <v>1810</v>
      </c>
      <c r="C910" s="20">
        <v>3878329</v>
      </c>
      <c r="D910" s="20">
        <v>3838171</v>
      </c>
      <c r="E910" s="56">
        <v>1.05</v>
      </c>
      <c r="F910" s="57">
        <v>205593</v>
      </c>
      <c r="G910" s="57">
        <v>-115748</v>
      </c>
      <c r="H910" s="57">
        <v>-54577</v>
      </c>
      <c r="I910" s="57">
        <v>-128086</v>
      </c>
      <c r="J910" s="57">
        <v>96610</v>
      </c>
      <c r="K910" s="57">
        <v>-201034</v>
      </c>
      <c r="L910" s="56"/>
      <c r="M910" s="20">
        <v>675000</v>
      </c>
      <c r="N910" s="56">
        <v>1.43</v>
      </c>
      <c r="O910" s="56">
        <v>-2.98</v>
      </c>
      <c r="P910" s="58">
        <v>36.590000000000003</v>
      </c>
      <c r="Q910" s="59">
        <v>46.301234462353698</v>
      </c>
      <c r="R910" s="59">
        <v>0.86014479008990796</v>
      </c>
      <c r="S910" s="59">
        <v>0.64142571832009099</v>
      </c>
      <c r="X910" s="2">
        <f t="shared" si="42"/>
        <v>0.53698765537646298</v>
      </c>
      <c r="Y910" s="2">
        <f>SUMIF(收盤價!A:A,A910,收盤價!C:C)</f>
        <v>16.8</v>
      </c>
      <c r="Z910" s="2">
        <f t="shared" si="43"/>
        <v>2469825.0000000005</v>
      </c>
      <c r="AA910" s="2">
        <f t="shared" si="44"/>
        <v>1134000</v>
      </c>
    </row>
    <row r="911" spans="1:27" ht="14.5" customHeight="1">
      <c r="A911" s="19" t="s">
        <v>5593</v>
      </c>
      <c r="B911" s="3" t="s">
        <v>1812</v>
      </c>
      <c r="C911" s="20">
        <v>4053518</v>
      </c>
      <c r="D911" s="20">
        <v>3818782</v>
      </c>
      <c r="E911" s="56">
        <v>6.15</v>
      </c>
      <c r="F911" s="57">
        <v>322274</v>
      </c>
      <c r="G911" s="57">
        <v>336518</v>
      </c>
      <c r="H911" s="57">
        <v>-7475</v>
      </c>
      <c r="I911" s="57">
        <v>26046</v>
      </c>
      <c r="J911" s="57">
        <v>193676</v>
      </c>
      <c r="K911" s="57">
        <v>167154</v>
      </c>
      <c r="L911" s="56">
        <v>15.87</v>
      </c>
      <c r="M911" s="20">
        <v>365428</v>
      </c>
      <c r="N911" s="56">
        <v>5.44</v>
      </c>
      <c r="O911" s="56">
        <v>6.23</v>
      </c>
      <c r="P911" s="58">
        <v>20.72</v>
      </c>
      <c r="Q911" s="59">
        <v>21.630153002977099</v>
      </c>
      <c r="R911" s="59">
        <v>1.4321825029592199</v>
      </c>
      <c r="S911" s="59">
        <v>1.31602539545895</v>
      </c>
      <c r="X911" s="2">
        <f t="shared" si="42"/>
        <v>0.78369846997022907</v>
      </c>
      <c r="Y911" s="2">
        <f>SUMIF(收盤價!A:A,A911,收盤價!C:C)</f>
        <v>52.2</v>
      </c>
      <c r="Z911" s="2">
        <f t="shared" si="43"/>
        <v>757166.81599999988</v>
      </c>
      <c r="AA911" s="2">
        <f t="shared" si="44"/>
        <v>1907534.1600000001</v>
      </c>
    </row>
    <row r="912" spans="1:27" ht="14.5" customHeight="1">
      <c r="A912" s="19" t="s">
        <v>5594</v>
      </c>
      <c r="B912" s="3" t="s">
        <v>1814</v>
      </c>
      <c r="C912" s="20">
        <v>1855655</v>
      </c>
      <c r="D912" s="20">
        <v>1647069</v>
      </c>
      <c r="E912" s="56">
        <v>12.66</v>
      </c>
      <c r="F912" s="57">
        <v>534512</v>
      </c>
      <c r="G912" s="57">
        <v>473317</v>
      </c>
      <c r="H912" s="57">
        <v>14914</v>
      </c>
      <c r="I912" s="57">
        <v>54730</v>
      </c>
      <c r="J912" s="57">
        <v>417677</v>
      </c>
      <c r="K912" s="57">
        <v>408992</v>
      </c>
      <c r="L912" s="56">
        <v>2.12</v>
      </c>
      <c r="M912" s="20">
        <v>512860</v>
      </c>
      <c r="N912" s="56">
        <v>8.14</v>
      </c>
      <c r="O912" s="56">
        <v>7.94</v>
      </c>
      <c r="P912" s="58">
        <v>36.08</v>
      </c>
      <c r="Q912" s="59">
        <v>62.404843882255001</v>
      </c>
      <c r="R912" s="59">
        <v>5.46546299503522</v>
      </c>
      <c r="S912" s="59">
        <v>4.7663784974791197</v>
      </c>
      <c r="X912" s="2">
        <f t="shared" si="42"/>
        <v>0.37595156117744999</v>
      </c>
      <c r="Y912" s="2">
        <f>SUMIF(收盤價!A:A,A912,收盤價!C:C)</f>
        <v>108</v>
      </c>
      <c r="Z912" s="2">
        <f t="shared" si="43"/>
        <v>1850398.8800000001</v>
      </c>
      <c r="AA912" s="2">
        <f t="shared" si="44"/>
        <v>5538888</v>
      </c>
    </row>
    <row r="913" spans="1:27" ht="14.5" customHeight="1">
      <c r="A913" s="19" t="s">
        <v>5595</v>
      </c>
      <c r="B913" s="3" t="s">
        <v>1850</v>
      </c>
      <c r="C913" s="20">
        <v>12842525</v>
      </c>
      <c r="D913" s="20">
        <v>10070151</v>
      </c>
      <c r="E913" s="56">
        <v>27.53</v>
      </c>
      <c r="F913" s="57">
        <v>1456975</v>
      </c>
      <c r="G913" s="57">
        <v>834388</v>
      </c>
      <c r="H913" s="57">
        <v>55194</v>
      </c>
      <c r="I913" s="57">
        <v>95434</v>
      </c>
      <c r="J913" s="57">
        <v>1279195</v>
      </c>
      <c r="K913" s="57">
        <v>743001</v>
      </c>
      <c r="L913" s="56">
        <v>72.17</v>
      </c>
      <c r="M913" s="20">
        <v>1747566</v>
      </c>
      <c r="N913" s="56">
        <v>7.81</v>
      </c>
      <c r="O913" s="56">
        <v>5.0999999999999996</v>
      </c>
      <c r="P913" s="58">
        <v>47.09</v>
      </c>
      <c r="Q913" s="59">
        <v>63.3544860882919</v>
      </c>
      <c r="R913" s="59">
        <v>1.5298348090340901</v>
      </c>
      <c r="S913" s="59">
        <v>0.95782186470728603</v>
      </c>
      <c r="X913" s="2">
        <f t="shared" si="42"/>
        <v>0.366455139117081</v>
      </c>
      <c r="Y913" s="2">
        <f>SUMIF(收盤價!A:A,A913,收盤價!C:C)</f>
        <v>134</v>
      </c>
      <c r="Z913" s="2">
        <f t="shared" si="43"/>
        <v>8229288.2940000016</v>
      </c>
      <c r="AA913" s="2">
        <f t="shared" si="44"/>
        <v>23417384.399999999</v>
      </c>
    </row>
    <row r="914" spans="1:27" ht="14.5" customHeight="1">
      <c r="A914" s="19" t="s">
        <v>5596</v>
      </c>
      <c r="B914" s="3" t="s">
        <v>1852</v>
      </c>
      <c r="C914" s="20">
        <v>264008</v>
      </c>
      <c r="D914" s="20">
        <v>138190</v>
      </c>
      <c r="E914" s="56">
        <v>91.05</v>
      </c>
      <c r="F914" s="57">
        <v>-16360</v>
      </c>
      <c r="G914" s="57">
        <v>-24269</v>
      </c>
      <c r="H914" s="57">
        <v>52668</v>
      </c>
      <c r="I914" s="57">
        <v>36562</v>
      </c>
      <c r="J914" s="57">
        <v>31640</v>
      </c>
      <c r="K914" s="57">
        <v>11947</v>
      </c>
      <c r="L914" s="56">
        <v>164.84</v>
      </c>
      <c r="M914" s="20">
        <v>980496</v>
      </c>
      <c r="N914" s="56">
        <v>0.32</v>
      </c>
      <c r="O914" s="56">
        <v>0.12</v>
      </c>
      <c r="P914" s="58">
        <v>12.62</v>
      </c>
      <c r="Q914" s="59">
        <v>89.130267230531103</v>
      </c>
      <c r="R914" s="59">
        <v>5.8026555400364197</v>
      </c>
      <c r="S914" s="59">
        <v>1.9224642421456499</v>
      </c>
      <c r="X914" s="2">
        <f t="shared" si="42"/>
        <v>0.10869732769468897</v>
      </c>
      <c r="Y914" s="2">
        <f>SUMIF(收盤價!A:A,A914,收盤價!C:C)</f>
        <v>10.5</v>
      </c>
      <c r="Z914" s="2">
        <f t="shared" si="43"/>
        <v>1237385.952</v>
      </c>
      <c r="AA914" s="2">
        <f t="shared" si="44"/>
        <v>1029520.8</v>
      </c>
    </row>
    <row r="915" spans="1:27" ht="14.5" customHeight="1">
      <c r="A915" s="19" t="s">
        <v>5597</v>
      </c>
      <c r="B915" s="3" t="s">
        <v>1854</v>
      </c>
      <c r="C915" s="20">
        <v>313156585</v>
      </c>
      <c r="D915" s="20">
        <v>293316089</v>
      </c>
      <c r="E915" s="56">
        <v>6.76</v>
      </c>
      <c r="F915" s="57">
        <v>13950460</v>
      </c>
      <c r="G915" s="57">
        <v>13809464</v>
      </c>
      <c r="H915" s="57">
        <v>7571518</v>
      </c>
      <c r="I915" s="57">
        <v>6450919</v>
      </c>
      <c r="J915" s="57">
        <v>11828609</v>
      </c>
      <c r="K915" s="57">
        <v>10708646</v>
      </c>
      <c r="L915" s="56">
        <v>10.46</v>
      </c>
      <c r="M915" s="20">
        <v>29467872</v>
      </c>
      <c r="N915" s="56">
        <v>4.01</v>
      </c>
      <c r="O915" s="56">
        <v>3.63</v>
      </c>
      <c r="P915" s="58">
        <v>39.840000000000003</v>
      </c>
      <c r="Q915" s="59">
        <v>32.339041988332802</v>
      </c>
      <c r="R915" s="59">
        <v>1.6861598689980899</v>
      </c>
      <c r="S915" s="59">
        <v>0.78506923491006297</v>
      </c>
      <c r="X915" s="2">
        <f t="shared" si="42"/>
        <v>0.67660958011667194</v>
      </c>
      <c r="Y915" s="2">
        <f>SUMIF(收盤價!A:A,A915,收盤價!C:C)</f>
        <v>39.200000000000003</v>
      </c>
      <c r="Z915" s="2">
        <f t="shared" si="43"/>
        <v>117400002.04800001</v>
      </c>
      <c r="AA915" s="2">
        <f t="shared" si="44"/>
        <v>115514058.24000001</v>
      </c>
    </row>
    <row r="916" spans="1:27" ht="14.5" customHeight="1">
      <c r="A916" s="19" t="s">
        <v>5598</v>
      </c>
      <c r="B916" s="3" t="s">
        <v>1856</v>
      </c>
      <c r="C916" s="20">
        <v>8060828</v>
      </c>
      <c r="D916" s="20">
        <v>7132593</v>
      </c>
      <c r="E916" s="56">
        <v>13.01</v>
      </c>
      <c r="F916" s="57">
        <v>551102</v>
      </c>
      <c r="G916" s="57">
        <v>423783</v>
      </c>
      <c r="H916" s="57">
        <v>56826</v>
      </c>
      <c r="I916" s="57">
        <v>47997</v>
      </c>
      <c r="J916" s="57">
        <v>477345</v>
      </c>
      <c r="K916" s="57">
        <v>448079</v>
      </c>
      <c r="L916" s="56">
        <v>6.53</v>
      </c>
      <c r="M916" s="20">
        <v>3050000</v>
      </c>
      <c r="N916" s="56">
        <v>1.57</v>
      </c>
      <c r="O916" s="56">
        <v>1.47</v>
      </c>
      <c r="P916" s="58">
        <v>22.66</v>
      </c>
      <c r="Q916" s="59">
        <v>70.766018625190497</v>
      </c>
      <c r="R916" s="59">
        <v>3.02863254581011</v>
      </c>
      <c r="S916" s="59">
        <v>1.46757062935125</v>
      </c>
      <c r="X916" s="2">
        <f t="shared" si="42"/>
        <v>0.29233981374809503</v>
      </c>
      <c r="Y916" s="2">
        <f>SUMIF(收盤價!A:A,A916,收盤價!C:C)</f>
        <v>24.5</v>
      </c>
      <c r="Z916" s="2">
        <f t="shared" si="43"/>
        <v>6911300</v>
      </c>
      <c r="AA916" s="2">
        <f t="shared" si="44"/>
        <v>7472500</v>
      </c>
    </row>
    <row r="917" spans="1:27" ht="14.5" customHeight="1">
      <c r="A917" s="19" t="s">
        <v>5599</v>
      </c>
      <c r="B917" s="3" t="s">
        <v>1860</v>
      </c>
      <c r="C917" s="20">
        <v>32527535</v>
      </c>
      <c r="D917" s="20">
        <v>35103806</v>
      </c>
      <c r="E917" s="56">
        <v>-7.34</v>
      </c>
      <c r="F917" s="57">
        <v>772816</v>
      </c>
      <c r="G917" s="57">
        <v>981844</v>
      </c>
      <c r="H917" s="57">
        <v>-94536</v>
      </c>
      <c r="I917" s="57">
        <v>1208222</v>
      </c>
      <c r="J917" s="57">
        <v>536384</v>
      </c>
      <c r="K917" s="57">
        <v>1486253</v>
      </c>
      <c r="L917" s="56">
        <v>-63.91</v>
      </c>
      <c r="M917" s="20">
        <v>15791453</v>
      </c>
      <c r="N917" s="56">
        <v>0.34</v>
      </c>
      <c r="O917" s="56">
        <v>0.94</v>
      </c>
      <c r="P917" s="58">
        <v>11.23</v>
      </c>
      <c r="Q917" s="59">
        <v>50.211395386722302</v>
      </c>
      <c r="R917" s="59">
        <v>1.5416037342589</v>
      </c>
      <c r="S917" s="59">
        <v>0.84197082870872897</v>
      </c>
      <c r="X917" s="2">
        <f t="shared" si="42"/>
        <v>0.49788604613277698</v>
      </c>
      <c r="Y917" s="2">
        <f>SUMIF(收盤價!A:A,A917,收盤價!C:C)</f>
        <v>11.65</v>
      </c>
      <c r="Z917" s="2">
        <f t="shared" si="43"/>
        <v>17733801.719000001</v>
      </c>
      <c r="AA917" s="2">
        <f t="shared" si="44"/>
        <v>18397042.745000001</v>
      </c>
    </row>
    <row r="918" spans="1:27" ht="14.5" customHeight="1">
      <c r="A918" s="19" t="s">
        <v>5600</v>
      </c>
      <c r="B918" s="3" t="s">
        <v>1864</v>
      </c>
      <c r="C918" s="20">
        <v>73930081</v>
      </c>
      <c r="D918" s="20">
        <v>64497644</v>
      </c>
      <c r="E918" s="56">
        <v>14.62</v>
      </c>
      <c r="F918" s="57">
        <v>8379818</v>
      </c>
      <c r="G918" s="57">
        <v>7327919</v>
      </c>
      <c r="H918" s="57">
        <v>1405757</v>
      </c>
      <c r="I918" s="57">
        <v>1325986</v>
      </c>
      <c r="J918" s="57">
        <v>6230779</v>
      </c>
      <c r="K918" s="57">
        <v>5262739</v>
      </c>
      <c r="L918" s="56">
        <v>18.39</v>
      </c>
      <c r="M918" s="20">
        <v>7347342</v>
      </c>
      <c r="N918" s="56">
        <v>8.48</v>
      </c>
      <c r="O918" s="56">
        <v>7.16</v>
      </c>
      <c r="P918" s="58">
        <v>22.61</v>
      </c>
      <c r="Q918" s="59">
        <v>40.2586498654507</v>
      </c>
      <c r="R918" s="59">
        <v>1.3363161106894099</v>
      </c>
      <c r="S918" s="59">
        <v>0.74971558128625104</v>
      </c>
      <c r="X918" s="2">
        <f t="shared" si="42"/>
        <v>0.59741350134549298</v>
      </c>
      <c r="Y918" s="2">
        <f>SUMIF(收盤價!A:A,A918,收盤價!C:C)</f>
        <v>195</v>
      </c>
      <c r="Z918" s="2">
        <f t="shared" si="43"/>
        <v>16612340.262</v>
      </c>
      <c r="AA918" s="2">
        <f t="shared" si="44"/>
        <v>143273169</v>
      </c>
    </row>
    <row r="919" spans="1:27" ht="14.5" customHeight="1">
      <c r="A919" s="19" t="s">
        <v>5601</v>
      </c>
      <c r="B919" s="3" t="s">
        <v>1866</v>
      </c>
      <c r="C919" s="20">
        <v>6298976</v>
      </c>
      <c r="D919" s="20">
        <v>5986090</v>
      </c>
      <c r="E919" s="56">
        <v>5.23</v>
      </c>
      <c r="F919" s="57">
        <v>957523</v>
      </c>
      <c r="G919" s="57">
        <v>829570</v>
      </c>
      <c r="H919" s="57">
        <v>102362</v>
      </c>
      <c r="I919" s="57">
        <v>162932</v>
      </c>
      <c r="J919" s="57">
        <v>888718</v>
      </c>
      <c r="K919" s="57">
        <v>799663</v>
      </c>
      <c r="L919" s="56">
        <v>11.14</v>
      </c>
      <c r="M919" s="20">
        <v>2211212</v>
      </c>
      <c r="N919" s="56">
        <v>4.0599999999999996</v>
      </c>
      <c r="O919" s="56">
        <v>3.65</v>
      </c>
      <c r="P919" s="58">
        <v>21.43</v>
      </c>
      <c r="Q919" s="59">
        <v>68.471692401113003</v>
      </c>
      <c r="R919" s="59">
        <v>1.7295804979153699</v>
      </c>
      <c r="S919" s="59">
        <v>1.30776914506158</v>
      </c>
      <c r="X919" s="2">
        <f t="shared" si="42"/>
        <v>0.31528307598886995</v>
      </c>
      <c r="Y919" s="2">
        <f>SUMIF(收盤價!A:A,A919,收盤價!C:C)</f>
        <v>47.15</v>
      </c>
      <c r="Z919" s="2">
        <f t="shared" si="43"/>
        <v>4738627.3159999996</v>
      </c>
      <c r="AA919" s="2">
        <f t="shared" si="44"/>
        <v>10425864.58</v>
      </c>
    </row>
    <row r="920" spans="1:27" ht="14.5" customHeight="1">
      <c r="A920" s="19" t="s">
        <v>5602</v>
      </c>
      <c r="B920" s="3" t="s">
        <v>1870</v>
      </c>
      <c r="C920" s="20">
        <v>28243214</v>
      </c>
      <c r="D920" s="20">
        <v>25852942</v>
      </c>
      <c r="E920" s="56">
        <v>9.25</v>
      </c>
      <c r="F920" s="57">
        <v>1710826</v>
      </c>
      <c r="G920" s="57">
        <v>1351280</v>
      </c>
      <c r="H920" s="57">
        <v>1492854</v>
      </c>
      <c r="I920" s="57">
        <v>1270375</v>
      </c>
      <c r="J920" s="57">
        <v>2502443</v>
      </c>
      <c r="K920" s="57">
        <v>1708835</v>
      </c>
      <c r="L920" s="56">
        <v>46.44</v>
      </c>
      <c r="M920" s="20">
        <v>2989838</v>
      </c>
      <c r="N920" s="56">
        <v>8.3699999999999992</v>
      </c>
      <c r="O920" s="56">
        <v>5.72</v>
      </c>
      <c r="P920" s="58">
        <v>46.09</v>
      </c>
      <c r="Q920" s="59">
        <v>53.6536648599985</v>
      </c>
      <c r="R920" s="59">
        <v>1.50478813693803</v>
      </c>
      <c r="S920" s="59">
        <v>0.89285143888537999</v>
      </c>
      <c r="X920" s="2">
        <f t="shared" si="42"/>
        <v>0.46346335140001499</v>
      </c>
      <c r="Y920" s="2">
        <f>SUMIF(收盤價!A:A,A920,收盤價!C:C)</f>
        <v>176.5</v>
      </c>
      <c r="Z920" s="2">
        <f t="shared" si="43"/>
        <v>13780163.342000002</v>
      </c>
      <c r="AA920" s="2">
        <f t="shared" si="44"/>
        <v>52770640.700000003</v>
      </c>
    </row>
    <row r="921" spans="1:27" ht="14.5" customHeight="1">
      <c r="A921" s="19" t="s">
        <v>5603</v>
      </c>
      <c r="B921" s="3" t="s">
        <v>1872</v>
      </c>
      <c r="C921" s="20">
        <v>13411677</v>
      </c>
      <c r="D921" s="20">
        <v>13393619</v>
      </c>
      <c r="E921" s="56">
        <v>0.13</v>
      </c>
      <c r="F921" s="57">
        <v>2533016</v>
      </c>
      <c r="G921" s="57">
        <v>2560635</v>
      </c>
      <c r="H921" s="57">
        <v>145802</v>
      </c>
      <c r="I921" s="57">
        <v>-15860</v>
      </c>
      <c r="J921" s="57">
        <v>2136561</v>
      </c>
      <c r="K921" s="57">
        <v>2046828</v>
      </c>
      <c r="L921" s="56">
        <v>4.38</v>
      </c>
      <c r="M921" s="20">
        <v>4511971</v>
      </c>
      <c r="N921" s="56">
        <v>4.8499999999999996</v>
      </c>
      <c r="O921" s="56">
        <v>4.6399999999999997</v>
      </c>
      <c r="P921" s="58">
        <v>24.36</v>
      </c>
      <c r="Q921" s="59">
        <v>47.732706486917202</v>
      </c>
      <c r="R921" s="59">
        <v>1.0323176824167599</v>
      </c>
      <c r="S921" s="59">
        <v>0.87869807468207495</v>
      </c>
      <c r="X921" s="2">
        <f t="shared" si="42"/>
        <v>0.52267293513082802</v>
      </c>
      <c r="Y921" s="2">
        <f>SUMIF(收盤價!A:A,A921,收盤價!C:C)</f>
        <v>88.8</v>
      </c>
      <c r="Z921" s="2">
        <f t="shared" si="43"/>
        <v>10991161.356000001</v>
      </c>
      <c r="AA921" s="2">
        <f t="shared" si="44"/>
        <v>40066302.480000004</v>
      </c>
    </row>
    <row r="922" spans="1:27" ht="14.5" customHeight="1">
      <c r="A922" s="19" t="s">
        <v>5604</v>
      </c>
      <c r="B922" s="3" t="s">
        <v>1876</v>
      </c>
      <c r="C922" s="20">
        <v>4056986</v>
      </c>
      <c r="D922" s="20">
        <v>3534235</v>
      </c>
      <c r="E922" s="56">
        <v>14.79</v>
      </c>
      <c r="F922" s="57">
        <v>25926</v>
      </c>
      <c r="G922" s="57">
        <v>-10665</v>
      </c>
      <c r="H922" s="57">
        <v>-9239</v>
      </c>
      <c r="I922" s="57">
        <v>-7232</v>
      </c>
      <c r="J922" s="57">
        <v>11976</v>
      </c>
      <c r="K922" s="57">
        <v>-16129</v>
      </c>
      <c r="L922" s="56"/>
      <c r="M922" s="20">
        <v>1953728</v>
      </c>
      <c r="N922" s="56">
        <v>0.06</v>
      </c>
      <c r="O922" s="56">
        <v>-0.08</v>
      </c>
      <c r="P922" s="58">
        <v>11.8</v>
      </c>
      <c r="Q922" s="59">
        <v>40.407721236696503</v>
      </c>
      <c r="R922" s="59">
        <v>1.98891639520577</v>
      </c>
      <c r="S922" s="59">
        <v>1.34206588999495</v>
      </c>
      <c r="X922" s="2">
        <f t="shared" si="42"/>
        <v>0.59592278763303497</v>
      </c>
      <c r="Y922" s="2">
        <f>SUMIF(收盤價!A:A,A922,收盤價!C:C)</f>
        <v>11.05</v>
      </c>
      <c r="Z922" s="2">
        <f t="shared" si="43"/>
        <v>2305399.04</v>
      </c>
      <c r="AA922" s="2">
        <f t="shared" si="44"/>
        <v>2158869.4400000004</v>
      </c>
    </row>
    <row r="923" spans="1:27" ht="14.5" customHeight="1">
      <c r="A923" s="19" t="s">
        <v>5605</v>
      </c>
      <c r="B923" s="3" t="s">
        <v>1878</v>
      </c>
      <c r="C923" s="20">
        <v>63449533</v>
      </c>
      <c r="D923" s="20">
        <v>60239417</v>
      </c>
      <c r="E923" s="56">
        <v>5.33</v>
      </c>
      <c r="F923" s="57">
        <v>4732283</v>
      </c>
      <c r="G923" s="57">
        <v>3903549</v>
      </c>
      <c r="H923" s="57">
        <v>77420</v>
      </c>
      <c r="I923" s="57">
        <v>341546</v>
      </c>
      <c r="J923" s="57">
        <v>3374633</v>
      </c>
      <c r="K923" s="57">
        <v>2863907</v>
      </c>
      <c r="L923" s="56">
        <v>17.829999999999998</v>
      </c>
      <c r="M923" s="20">
        <v>3750646</v>
      </c>
      <c r="N923" s="56">
        <v>9</v>
      </c>
      <c r="O923" s="56">
        <v>7.64</v>
      </c>
      <c r="P923" s="58">
        <v>58.24</v>
      </c>
      <c r="Q923" s="59">
        <v>37.003266974588399</v>
      </c>
      <c r="R923" s="59">
        <v>1.40180466813813</v>
      </c>
      <c r="S923" s="59">
        <v>0.79557900659904202</v>
      </c>
      <c r="X923" s="2">
        <f t="shared" si="42"/>
        <v>0.629967330254116</v>
      </c>
      <c r="Y923" s="2">
        <f>SUMIF(收盤價!A:A,A923,收盤價!C:C)</f>
        <v>213</v>
      </c>
      <c r="Z923" s="2">
        <f t="shared" si="43"/>
        <v>21843762.304000001</v>
      </c>
      <c r="AA923" s="2">
        <f t="shared" si="44"/>
        <v>79888759.799999997</v>
      </c>
    </row>
    <row r="924" spans="1:27" ht="14.5" customHeight="1">
      <c r="A924" s="19" t="s">
        <v>5606</v>
      </c>
      <c r="B924" s="3" t="s">
        <v>1880</v>
      </c>
      <c r="C924" s="20">
        <v>8681906</v>
      </c>
      <c r="D924" s="20">
        <v>8303458</v>
      </c>
      <c r="E924" s="56">
        <v>4.5599999999999996</v>
      </c>
      <c r="F924" s="57">
        <v>1139882</v>
      </c>
      <c r="G924" s="57">
        <v>826209</v>
      </c>
      <c r="H924" s="57">
        <v>14341</v>
      </c>
      <c r="I924" s="57">
        <v>149067</v>
      </c>
      <c r="J924" s="57">
        <v>825693</v>
      </c>
      <c r="K924" s="57">
        <v>693117</v>
      </c>
      <c r="L924" s="56">
        <v>19.13</v>
      </c>
      <c r="M924" s="20">
        <v>1884521</v>
      </c>
      <c r="N924" s="56">
        <v>4.38</v>
      </c>
      <c r="O924" s="56">
        <v>3.68</v>
      </c>
      <c r="P924" s="58">
        <v>28.97</v>
      </c>
      <c r="Q924" s="59">
        <v>65.288867344810896</v>
      </c>
      <c r="R924" s="59">
        <v>2.6616120699776902</v>
      </c>
      <c r="S924" s="59">
        <v>2.0036910136945401</v>
      </c>
      <c r="X924" s="2">
        <f t="shared" si="42"/>
        <v>0.34711132655189103</v>
      </c>
      <c r="Y924" s="2">
        <f>SUMIF(收盤價!A:A,A924,收盤價!C:C)</f>
        <v>43.9</v>
      </c>
      <c r="Z924" s="2">
        <f t="shared" si="43"/>
        <v>5459457.3369999994</v>
      </c>
      <c r="AA924" s="2">
        <f t="shared" si="44"/>
        <v>8273047.1899999995</v>
      </c>
    </row>
    <row r="925" spans="1:27" ht="14.5" customHeight="1">
      <c r="A925" s="19" t="s">
        <v>5607</v>
      </c>
      <c r="B925" s="3" t="s">
        <v>1882</v>
      </c>
      <c r="C925" s="20">
        <v>7078709</v>
      </c>
      <c r="D925" s="20">
        <v>7044265</v>
      </c>
      <c r="E925" s="56">
        <v>0.49</v>
      </c>
      <c r="F925" s="57">
        <v>771478</v>
      </c>
      <c r="G925" s="57">
        <v>732418</v>
      </c>
      <c r="H925" s="57">
        <v>274265</v>
      </c>
      <c r="I925" s="57">
        <v>322675</v>
      </c>
      <c r="J925" s="57">
        <v>814025</v>
      </c>
      <c r="K925" s="57">
        <v>832492</v>
      </c>
      <c r="L925" s="56">
        <v>-2.2200000000000002</v>
      </c>
      <c r="M925" s="20">
        <v>3836531</v>
      </c>
      <c r="N925" s="56">
        <v>2.13</v>
      </c>
      <c r="O925" s="56">
        <v>2.1800000000000002</v>
      </c>
      <c r="P925" s="58">
        <v>25.52</v>
      </c>
      <c r="Q925" s="59">
        <v>60.0830059934815</v>
      </c>
      <c r="R925" s="59">
        <v>1.8404566065974599</v>
      </c>
      <c r="S925" s="59">
        <v>1.02634328283568</v>
      </c>
      <c r="X925" s="2">
        <f t="shared" si="42"/>
        <v>0.39916994006518502</v>
      </c>
      <c r="Y925" s="2">
        <f>SUMIF(收盤價!A:A,A925,收盤價!C:C)</f>
        <v>37.299999999999997</v>
      </c>
      <c r="Z925" s="2">
        <f t="shared" si="43"/>
        <v>9790827.1119999997</v>
      </c>
      <c r="AA925" s="2">
        <f t="shared" si="44"/>
        <v>14310260.629999999</v>
      </c>
    </row>
    <row r="926" spans="1:27" ht="14.5" customHeight="1">
      <c r="A926" s="19" t="s">
        <v>5608</v>
      </c>
      <c r="B926" s="3" t="s">
        <v>1886</v>
      </c>
      <c r="C926" s="20">
        <v>9840519</v>
      </c>
      <c r="D926" s="20">
        <v>10590555</v>
      </c>
      <c r="E926" s="56">
        <v>-7.08</v>
      </c>
      <c r="F926" s="57">
        <v>589784</v>
      </c>
      <c r="G926" s="57">
        <v>499158</v>
      </c>
      <c r="H926" s="57">
        <v>58930</v>
      </c>
      <c r="I926" s="57">
        <v>9177</v>
      </c>
      <c r="J926" s="57">
        <v>511903</v>
      </c>
      <c r="K926" s="57">
        <v>365438</v>
      </c>
      <c r="L926" s="56">
        <v>40.08</v>
      </c>
      <c r="M926" s="20">
        <v>2091482</v>
      </c>
      <c r="N926" s="56">
        <v>2.4500000000000002</v>
      </c>
      <c r="O926" s="56">
        <v>1.75</v>
      </c>
      <c r="P926" s="58">
        <v>25.26</v>
      </c>
      <c r="Q926" s="59">
        <v>80.645488218921201</v>
      </c>
      <c r="R926" s="59">
        <v>5.3771446712632001</v>
      </c>
      <c r="S926" s="59">
        <v>2.6242963885925401</v>
      </c>
      <c r="X926" s="2">
        <f t="shared" si="42"/>
        <v>0.19354511781078798</v>
      </c>
      <c r="Y926" s="2">
        <f>SUMIF(收盤價!A:A,A926,收盤價!C:C)</f>
        <v>32.450000000000003</v>
      </c>
      <c r="Z926" s="2">
        <f t="shared" si="43"/>
        <v>5283083.5319999997</v>
      </c>
      <c r="AA926" s="2">
        <f t="shared" si="44"/>
        <v>6786859.0900000008</v>
      </c>
    </row>
    <row r="927" spans="1:27" ht="14.5" customHeight="1">
      <c r="A927" s="19" t="s">
        <v>5652</v>
      </c>
      <c r="B927" s="3" t="s">
        <v>1888</v>
      </c>
      <c r="C927" s="20">
        <v>732642</v>
      </c>
      <c r="D927" s="20">
        <v>763230</v>
      </c>
      <c r="E927" s="56">
        <v>-4.01</v>
      </c>
      <c r="F927" s="57">
        <v>-198185</v>
      </c>
      <c r="G927" s="57">
        <v>-247051</v>
      </c>
      <c r="H927" s="57">
        <v>57078</v>
      </c>
      <c r="I927" s="57">
        <v>56605</v>
      </c>
      <c r="J927" s="57">
        <v>-141692</v>
      </c>
      <c r="K927" s="57">
        <v>-191008</v>
      </c>
      <c r="L927" s="56"/>
      <c r="M927" s="20">
        <v>1507246</v>
      </c>
      <c r="N927" s="56">
        <v>-0.94</v>
      </c>
      <c r="O927" s="56">
        <v>-1.27</v>
      </c>
      <c r="P927" s="58">
        <v>2.95</v>
      </c>
      <c r="Q927" s="59">
        <v>12.005488686540801</v>
      </c>
      <c r="R927" s="59">
        <v>0.173069608609727</v>
      </c>
      <c r="S927" s="59">
        <v>0.12759396383496499</v>
      </c>
      <c r="X927" s="2">
        <f t="shared" si="42"/>
        <v>0.87994511313459201</v>
      </c>
      <c r="Y927" s="2">
        <f>SUMIF(收盤價!A:A,A927,收盤價!C:C)</f>
        <v>5</v>
      </c>
      <c r="Z927" s="2">
        <f t="shared" si="43"/>
        <v>444637.57</v>
      </c>
      <c r="AA927" s="2">
        <f t="shared" si="44"/>
        <v>753623</v>
      </c>
    </row>
    <row r="928" spans="1:27" ht="14.5" customHeight="1">
      <c r="A928" s="19" t="s">
        <v>5609</v>
      </c>
      <c r="B928" s="3" t="s">
        <v>1890</v>
      </c>
      <c r="C928" s="20">
        <v>1186340</v>
      </c>
      <c r="D928" s="20">
        <v>791315</v>
      </c>
      <c r="E928" s="56">
        <v>49.92</v>
      </c>
      <c r="F928" s="57">
        <v>-320636</v>
      </c>
      <c r="G928" s="57">
        <v>10906</v>
      </c>
      <c r="H928" s="57">
        <v>-46416</v>
      </c>
      <c r="I928" s="57">
        <v>44658</v>
      </c>
      <c r="J928" s="57">
        <v>-249714</v>
      </c>
      <c r="K928" s="57">
        <v>53734</v>
      </c>
      <c r="L928" s="56"/>
      <c r="M928" s="20">
        <v>1688000</v>
      </c>
      <c r="N928" s="56">
        <v>-1.48</v>
      </c>
      <c r="O928" s="56">
        <v>0.32</v>
      </c>
      <c r="P928" s="58">
        <v>5.45</v>
      </c>
      <c r="Q928" s="59">
        <v>23.6565786900969</v>
      </c>
      <c r="R928" s="59">
        <v>0.71353194668498299</v>
      </c>
      <c r="S928" s="59">
        <v>0.35434845150571698</v>
      </c>
      <c r="X928" s="2">
        <f t="shared" si="42"/>
        <v>0.76343421309903103</v>
      </c>
      <c r="Y928" s="2">
        <f>SUMIF(收盤價!A:A,A928,收盤價!C:C)</f>
        <v>12.75</v>
      </c>
      <c r="Z928" s="2">
        <f t="shared" si="43"/>
        <v>919960</v>
      </c>
      <c r="AA928" s="2">
        <f t="shared" si="44"/>
        <v>2152200</v>
      </c>
    </row>
    <row r="929" spans="1:27" ht="14.5" customHeight="1">
      <c r="A929" s="19" t="s">
        <v>5610</v>
      </c>
      <c r="B929" s="3" t="s">
        <v>1892</v>
      </c>
      <c r="C929" s="20">
        <v>9506160</v>
      </c>
      <c r="D929" s="20">
        <v>9229387</v>
      </c>
      <c r="E929" s="56">
        <v>3</v>
      </c>
      <c r="F929" s="57">
        <v>1092219</v>
      </c>
      <c r="G929" s="57">
        <v>1075557</v>
      </c>
      <c r="H929" s="57">
        <v>-38185</v>
      </c>
      <c r="I929" s="57">
        <v>2619</v>
      </c>
      <c r="J929" s="57">
        <v>816432</v>
      </c>
      <c r="K929" s="57">
        <v>834880</v>
      </c>
      <c r="L929" s="56">
        <v>-2.21</v>
      </c>
      <c r="M929" s="20">
        <v>2485404</v>
      </c>
      <c r="N929" s="56">
        <v>3.28</v>
      </c>
      <c r="O929" s="56">
        <v>3.36</v>
      </c>
      <c r="P929" s="58">
        <v>20.8</v>
      </c>
      <c r="Q929" s="59">
        <v>43.831508149945897</v>
      </c>
      <c r="R929" s="59">
        <v>0.95336545432796904</v>
      </c>
      <c r="S929" s="59">
        <v>0.56336306583060303</v>
      </c>
      <c r="X929" s="2">
        <f t="shared" si="42"/>
        <v>0.56168491850054103</v>
      </c>
      <c r="Y929" s="2">
        <f>SUMIF(收盤價!A:A,A929,收盤價!C:C)</f>
        <v>50.3</v>
      </c>
      <c r="Z929" s="2">
        <f t="shared" si="43"/>
        <v>5169640.32</v>
      </c>
      <c r="AA929" s="2">
        <f t="shared" si="44"/>
        <v>12501582.119999999</v>
      </c>
    </row>
    <row r="930" spans="1:27" ht="14.5" customHeight="1">
      <c r="A930" s="19" t="s">
        <v>5611</v>
      </c>
      <c r="B930" s="3" t="s">
        <v>1896</v>
      </c>
      <c r="C930" s="20">
        <v>58211022</v>
      </c>
      <c r="D930" s="20">
        <v>64069542</v>
      </c>
      <c r="E930" s="56">
        <v>-9.14</v>
      </c>
      <c r="F930" s="57">
        <v>2168150</v>
      </c>
      <c r="G930" s="57">
        <v>2715778</v>
      </c>
      <c r="H930" s="57">
        <v>62165</v>
      </c>
      <c r="I930" s="57">
        <v>349495</v>
      </c>
      <c r="J930" s="57">
        <v>1177011</v>
      </c>
      <c r="K930" s="57">
        <v>1827537</v>
      </c>
      <c r="L930" s="56">
        <v>-35.6</v>
      </c>
      <c r="M930" s="20">
        <v>7633182</v>
      </c>
      <c r="N930" s="56">
        <v>1.54</v>
      </c>
      <c r="O930" s="56">
        <v>2.4</v>
      </c>
      <c r="P930" s="58">
        <v>21.2</v>
      </c>
      <c r="Q930" s="59">
        <v>23.248516706592799</v>
      </c>
      <c r="R930" s="59">
        <v>1.3589971134579499</v>
      </c>
      <c r="S930" s="59">
        <v>1.2513706984587201</v>
      </c>
      <c r="X930" s="2">
        <f t="shared" si="42"/>
        <v>0.76751483293407208</v>
      </c>
      <c r="Y930" s="2">
        <f>SUMIF(收盤價!A:A,A930,收盤價!C:C)</f>
        <v>38.1</v>
      </c>
      <c r="Z930" s="2">
        <f t="shared" si="43"/>
        <v>16182345.84</v>
      </c>
      <c r="AA930" s="2">
        <f t="shared" si="44"/>
        <v>29082423.419999998</v>
      </c>
    </row>
    <row r="931" spans="1:27" ht="14.5" customHeight="1">
      <c r="A931" s="19" t="s">
        <v>5612</v>
      </c>
      <c r="B931" s="3" t="s">
        <v>1898</v>
      </c>
      <c r="C931" s="20">
        <v>17023426</v>
      </c>
      <c r="D931" s="20">
        <v>17879120</v>
      </c>
      <c r="E931" s="56">
        <v>-4.79</v>
      </c>
      <c r="F931" s="57">
        <v>391056</v>
      </c>
      <c r="G931" s="57">
        <v>626115</v>
      </c>
      <c r="H931" s="57">
        <v>92475</v>
      </c>
      <c r="I931" s="57">
        <v>177277</v>
      </c>
      <c r="J931" s="57">
        <v>335173</v>
      </c>
      <c r="K931" s="57">
        <v>618220</v>
      </c>
      <c r="L931" s="56">
        <v>-45.78</v>
      </c>
      <c r="M931" s="20">
        <v>3565977</v>
      </c>
      <c r="N931" s="56">
        <v>0.94</v>
      </c>
      <c r="O931" s="56">
        <v>1.69</v>
      </c>
      <c r="P931" s="58">
        <v>15.63</v>
      </c>
      <c r="Q931" s="59">
        <v>35.165077965436097</v>
      </c>
      <c r="R931" s="59">
        <v>1.8054069644738799</v>
      </c>
      <c r="S931" s="59">
        <v>1.0619654462900401</v>
      </c>
      <c r="X931" s="2">
        <f t="shared" si="42"/>
        <v>0.64834922034563902</v>
      </c>
      <c r="Y931" s="2">
        <f>SUMIF(收盤價!A:A,A931,收盤價!C:C)</f>
        <v>17.45</v>
      </c>
      <c r="Z931" s="2">
        <f t="shared" si="43"/>
        <v>5573622.0510000009</v>
      </c>
      <c r="AA931" s="2">
        <f t="shared" si="44"/>
        <v>6222629.8650000002</v>
      </c>
    </row>
    <row r="932" spans="1:27" ht="14.5" customHeight="1">
      <c r="A932" s="19" t="s">
        <v>5613</v>
      </c>
      <c r="B932" s="3" t="s">
        <v>1900</v>
      </c>
      <c r="C932" s="20">
        <v>5665280</v>
      </c>
      <c r="D932" s="20">
        <v>4454578</v>
      </c>
      <c r="E932" s="56">
        <v>27.18</v>
      </c>
      <c r="F932" s="57">
        <v>391682</v>
      </c>
      <c r="G932" s="57">
        <v>305353</v>
      </c>
      <c r="H932" s="57">
        <v>-76602</v>
      </c>
      <c r="I932" s="57">
        <v>-28547</v>
      </c>
      <c r="J932" s="57">
        <v>253798</v>
      </c>
      <c r="K932" s="57">
        <v>225780</v>
      </c>
      <c r="L932" s="56">
        <v>12.41</v>
      </c>
      <c r="M932" s="20">
        <v>1696233</v>
      </c>
      <c r="N932" s="56">
        <v>1.5</v>
      </c>
      <c r="O932" s="56">
        <v>1.43</v>
      </c>
      <c r="P932" s="58">
        <v>11.66</v>
      </c>
      <c r="Q932" s="59">
        <v>34.489083723579299</v>
      </c>
      <c r="R932" s="59">
        <v>2.13313337032212</v>
      </c>
      <c r="S932" s="59">
        <v>1.4320345701730901</v>
      </c>
      <c r="X932" s="2">
        <f t="shared" si="42"/>
        <v>0.65510916276420705</v>
      </c>
      <c r="Y932" s="2">
        <f>SUMIF(收盤價!A:A,A932,收盤價!C:C)</f>
        <v>40</v>
      </c>
      <c r="Z932" s="2">
        <f t="shared" si="43"/>
        <v>1977807.6780000001</v>
      </c>
      <c r="AA932" s="2">
        <f t="shared" si="44"/>
        <v>6784932</v>
      </c>
    </row>
    <row r="933" spans="1:27" ht="14.5" customHeight="1">
      <c r="A933" s="19" t="s">
        <v>5614</v>
      </c>
      <c r="B933" s="3" t="s">
        <v>1904</v>
      </c>
      <c r="C933" s="20">
        <v>15299654</v>
      </c>
      <c r="D933" s="20">
        <v>13716050</v>
      </c>
      <c r="E933" s="56">
        <v>11.55</v>
      </c>
      <c r="F933" s="57">
        <v>2758589</v>
      </c>
      <c r="G933" s="57">
        <v>2370607</v>
      </c>
      <c r="H933" s="57">
        <v>-222160</v>
      </c>
      <c r="I933" s="57">
        <v>-158087</v>
      </c>
      <c r="J933" s="57">
        <v>1522184</v>
      </c>
      <c r="K933" s="57">
        <v>1360306</v>
      </c>
      <c r="L933" s="56">
        <v>11.9</v>
      </c>
      <c r="M933" s="20">
        <v>2979639</v>
      </c>
      <c r="N933" s="56">
        <v>5.1100000000000003</v>
      </c>
      <c r="O933" s="56">
        <v>4.57</v>
      </c>
      <c r="P933" s="58">
        <v>31.2</v>
      </c>
      <c r="Q933" s="59">
        <v>33.650379579187998</v>
      </c>
      <c r="R933" s="59">
        <v>1.18722336312049</v>
      </c>
      <c r="S933" s="59">
        <v>0.61975555173966501</v>
      </c>
      <c r="X933" s="2">
        <f t="shared" si="42"/>
        <v>0.66349620420812006</v>
      </c>
      <c r="Y933" s="2">
        <f>SUMIF(收盤價!A:A,A933,收盤價!C:C)</f>
        <v>84.3</v>
      </c>
      <c r="Z933" s="2">
        <f t="shared" si="43"/>
        <v>9296473.6799999997</v>
      </c>
      <c r="AA933" s="2">
        <f t="shared" si="44"/>
        <v>25118356.77</v>
      </c>
    </row>
    <row r="934" spans="1:27" ht="14.5" customHeight="1">
      <c r="A934" s="19" t="s">
        <v>5615</v>
      </c>
      <c r="B934" s="3" t="s">
        <v>1906</v>
      </c>
      <c r="C934" s="20">
        <v>21527348</v>
      </c>
      <c r="D934" s="20">
        <v>19929717</v>
      </c>
      <c r="E934" s="56">
        <v>8.02</v>
      </c>
      <c r="F934" s="57">
        <v>2255948</v>
      </c>
      <c r="G934" s="57">
        <v>1576410</v>
      </c>
      <c r="H934" s="57">
        <v>-257099</v>
      </c>
      <c r="I934" s="57">
        <v>-94457</v>
      </c>
      <c r="J934" s="57">
        <v>1381036</v>
      </c>
      <c r="K934" s="57">
        <v>1092531</v>
      </c>
      <c r="L934" s="56">
        <v>26.41</v>
      </c>
      <c r="M934" s="20">
        <v>2928789</v>
      </c>
      <c r="N934" s="56">
        <v>4.72</v>
      </c>
      <c r="O934" s="56">
        <v>3.73</v>
      </c>
      <c r="P934" s="58">
        <v>44.19</v>
      </c>
      <c r="Q934" s="59">
        <v>41.053518487683696</v>
      </c>
      <c r="R934" s="59">
        <v>1.3328416175551401</v>
      </c>
      <c r="S934" s="59">
        <v>0.88019238169635505</v>
      </c>
      <c r="X934" s="2">
        <f t="shared" si="42"/>
        <v>0.58946481512316307</v>
      </c>
      <c r="Y934" s="2">
        <f>SUMIF(收盤價!A:A,A934,收盤價!C:C)</f>
        <v>62</v>
      </c>
      <c r="Z934" s="2">
        <f t="shared" si="43"/>
        <v>12942318.591</v>
      </c>
      <c r="AA934" s="2">
        <f t="shared" si="44"/>
        <v>18158491.800000001</v>
      </c>
    </row>
    <row r="935" spans="1:27" ht="14.5" customHeight="1">
      <c r="A935" s="19" t="s">
        <v>5616</v>
      </c>
      <c r="B935" s="3" t="s">
        <v>6323</v>
      </c>
      <c r="C935" s="20">
        <v>12438032</v>
      </c>
      <c r="D935" s="20">
        <v>12902958</v>
      </c>
      <c r="E935" s="56">
        <v>-3.6</v>
      </c>
      <c r="F935" s="57">
        <v>1971558</v>
      </c>
      <c r="G935" s="57">
        <v>2644902</v>
      </c>
      <c r="H935" s="57">
        <v>85128</v>
      </c>
      <c r="I935" s="57">
        <v>174650</v>
      </c>
      <c r="J935" s="57">
        <v>1262934</v>
      </c>
      <c r="K935" s="57">
        <v>1504587</v>
      </c>
      <c r="L935" s="56">
        <v>-16.059999999999999</v>
      </c>
      <c r="M935" s="20">
        <v>7368465</v>
      </c>
      <c r="N935" s="56">
        <v>1.71</v>
      </c>
      <c r="O935" s="56">
        <v>2.04</v>
      </c>
      <c r="P935" s="58">
        <v>14.76</v>
      </c>
      <c r="Q935" s="59">
        <v>34.3419674846688</v>
      </c>
      <c r="R935" s="59">
        <v>4.2582747609874296</v>
      </c>
      <c r="S935" s="59">
        <v>1.78285685632448</v>
      </c>
      <c r="X935" s="2">
        <f t="shared" si="42"/>
        <v>0.65658032515331199</v>
      </c>
      <c r="Y935" s="2">
        <f>SUMIF(收盤價!A:A,A935,收盤價!C:C)</f>
        <v>31.3</v>
      </c>
      <c r="Z935" s="2">
        <f t="shared" si="43"/>
        <v>10875854.34</v>
      </c>
      <c r="AA935" s="2">
        <f t="shared" si="44"/>
        <v>23063295.449999999</v>
      </c>
    </row>
    <row r="936" spans="1:27" ht="14.5" customHeight="1">
      <c r="A936" s="19" t="s">
        <v>5617</v>
      </c>
      <c r="B936" s="3" t="s">
        <v>1910</v>
      </c>
      <c r="C936" s="20">
        <v>28164620</v>
      </c>
      <c r="D936" s="20">
        <v>24930860</v>
      </c>
      <c r="E936" s="56">
        <v>12.97</v>
      </c>
      <c r="F936" s="57">
        <v>3844979</v>
      </c>
      <c r="G936" s="57">
        <v>3698446</v>
      </c>
      <c r="H936" s="57">
        <v>159772</v>
      </c>
      <c r="I936" s="57">
        <v>124588</v>
      </c>
      <c r="J936" s="57">
        <v>2962308</v>
      </c>
      <c r="K936" s="57">
        <v>2587988</v>
      </c>
      <c r="L936" s="56">
        <v>14.46</v>
      </c>
      <c r="M936" s="20">
        <v>4020921</v>
      </c>
      <c r="N936" s="56">
        <v>9.1199999999999992</v>
      </c>
      <c r="O936" s="56">
        <v>8.32</v>
      </c>
      <c r="P936" s="58">
        <v>43.72</v>
      </c>
      <c r="Q936" s="59">
        <v>8.7686656231909996</v>
      </c>
      <c r="R936" s="59">
        <v>1.00763832916914</v>
      </c>
      <c r="S936" s="59">
        <v>0.80504965926079897</v>
      </c>
      <c r="X936" s="2">
        <f t="shared" si="42"/>
        <v>0.91231334376809003</v>
      </c>
      <c r="Y936" s="2">
        <f>SUMIF(收盤價!A:A,A936,收盤價!C:C)</f>
        <v>114.5</v>
      </c>
      <c r="Z936" s="2">
        <f t="shared" si="43"/>
        <v>17579466.612</v>
      </c>
      <c r="AA936" s="2">
        <f t="shared" si="44"/>
        <v>46039545.450000003</v>
      </c>
    </row>
    <row r="937" spans="1:27" ht="14.5" customHeight="1">
      <c r="A937" s="19" t="s">
        <v>5620</v>
      </c>
      <c r="B937" s="3" t="s">
        <v>1912</v>
      </c>
      <c r="C937" s="20">
        <v>3016735</v>
      </c>
      <c r="D937" s="20">
        <v>3211762</v>
      </c>
      <c r="E937" s="56">
        <v>-6.07</v>
      </c>
      <c r="F937" s="57">
        <v>554342</v>
      </c>
      <c r="G937" s="57">
        <v>631040</v>
      </c>
      <c r="H937" s="57">
        <v>16747</v>
      </c>
      <c r="I937" s="57">
        <v>36666</v>
      </c>
      <c r="J937" s="57">
        <v>409164</v>
      </c>
      <c r="K937" s="57">
        <v>439048</v>
      </c>
      <c r="L937" s="56">
        <v>-6.81</v>
      </c>
      <c r="M937" s="20">
        <v>831613</v>
      </c>
      <c r="N937" s="56">
        <v>4.92</v>
      </c>
      <c r="O937" s="56">
        <v>5.28</v>
      </c>
      <c r="P937" s="58">
        <v>35.97</v>
      </c>
      <c r="Q937" s="59">
        <v>70.780608064253897</v>
      </c>
      <c r="R937" s="59">
        <v>3.69850682520971</v>
      </c>
      <c r="S937" s="59">
        <v>2.1826183520407301</v>
      </c>
      <c r="X937" s="2">
        <f t="shared" si="42"/>
        <v>0.29219391935746103</v>
      </c>
      <c r="Y937" s="2">
        <f>SUMIF(收盤價!A:A,A937,收盤價!C:C)</f>
        <v>70.099999999999994</v>
      </c>
      <c r="Z937" s="2">
        <f t="shared" si="43"/>
        <v>2991311.9610000001</v>
      </c>
      <c r="AA937" s="2">
        <f t="shared" si="44"/>
        <v>5829607.1299999999</v>
      </c>
    </row>
    <row r="938" spans="1:27" ht="14.5" customHeight="1">
      <c r="A938" s="19" t="s">
        <v>5621</v>
      </c>
      <c r="B938" s="3" t="s">
        <v>1916</v>
      </c>
      <c r="C938" s="20">
        <v>2848731</v>
      </c>
      <c r="D938" s="20">
        <v>3204651</v>
      </c>
      <c r="E938" s="56">
        <v>-11.11</v>
      </c>
      <c r="F938" s="57">
        <v>21621</v>
      </c>
      <c r="G938" s="57">
        <v>-1418</v>
      </c>
      <c r="H938" s="57">
        <v>-31336</v>
      </c>
      <c r="I938" s="57">
        <v>48598</v>
      </c>
      <c r="J938" s="57">
        <v>-49557</v>
      </c>
      <c r="K938" s="57">
        <v>793</v>
      </c>
      <c r="L938" s="56"/>
      <c r="M938" s="20">
        <v>1091071</v>
      </c>
      <c r="N938" s="56">
        <v>-0.45</v>
      </c>
      <c r="O938" s="56">
        <v>0.01</v>
      </c>
      <c r="P938" s="58">
        <v>25.63</v>
      </c>
      <c r="Q938" s="59">
        <v>54.9156976276102</v>
      </c>
      <c r="R938" s="59">
        <v>1.5075824004945</v>
      </c>
      <c r="S938" s="59">
        <v>1.0399196303616101</v>
      </c>
      <c r="X938" s="2">
        <f t="shared" si="42"/>
        <v>0.45084302372389801</v>
      </c>
      <c r="Y938" s="2">
        <f>SUMIF(收盤價!A:A,A938,收盤價!C:C)</f>
        <v>17.399999999999999</v>
      </c>
      <c r="Z938" s="2">
        <f t="shared" si="43"/>
        <v>2796414.9730000002</v>
      </c>
      <c r="AA938" s="2">
        <f t="shared" si="44"/>
        <v>1898463.5399999998</v>
      </c>
    </row>
    <row r="939" spans="1:27" ht="14.5" customHeight="1">
      <c r="A939" s="19" t="s">
        <v>5622</v>
      </c>
      <c r="B939" s="3" t="s">
        <v>1918</v>
      </c>
      <c r="C939" s="20">
        <v>17257930</v>
      </c>
      <c r="D939" s="20">
        <v>14859430</v>
      </c>
      <c r="E939" s="56">
        <v>16.14</v>
      </c>
      <c r="F939" s="57">
        <v>1899243</v>
      </c>
      <c r="G939" s="57">
        <v>1970099</v>
      </c>
      <c r="H939" s="57">
        <v>8111225</v>
      </c>
      <c r="I939" s="57">
        <v>10316086</v>
      </c>
      <c r="J939" s="57">
        <v>9067952</v>
      </c>
      <c r="K939" s="57">
        <v>9932094</v>
      </c>
      <c r="L939" s="56">
        <v>-8.6999999999999993</v>
      </c>
      <c r="M939" s="20">
        <v>10032540</v>
      </c>
      <c r="N939" s="56">
        <v>9.35</v>
      </c>
      <c r="O939" s="56">
        <v>7.22</v>
      </c>
      <c r="P939" s="58">
        <v>80.91</v>
      </c>
      <c r="Q939" s="59">
        <v>53.880932959859798</v>
      </c>
      <c r="R939" s="59">
        <v>1.85988201373457</v>
      </c>
      <c r="S939" s="59">
        <v>0.48385125703476101</v>
      </c>
      <c r="X939" s="2">
        <f t="shared" si="42"/>
        <v>0.46119067040140199</v>
      </c>
      <c r="Y939" s="2">
        <f>SUMIF(收盤價!A:A,A939,收盤價!C:C)</f>
        <v>45.2</v>
      </c>
      <c r="Z939" s="2">
        <f t="shared" si="43"/>
        <v>81173281.140000001</v>
      </c>
      <c r="AA939" s="2">
        <f t="shared" si="44"/>
        <v>45347080.799999997</v>
      </c>
    </row>
    <row r="940" spans="1:27" ht="14.5" customHeight="1">
      <c r="A940" s="19" t="s">
        <v>5623</v>
      </c>
      <c r="B940" s="3" t="s">
        <v>1922</v>
      </c>
      <c r="C940" s="20">
        <v>1723710</v>
      </c>
      <c r="D940" s="20">
        <v>2123228</v>
      </c>
      <c r="E940" s="56">
        <v>-18.82</v>
      </c>
      <c r="F940" s="57">
        <v>-35923</v>
      </c>
      <c r="G940" s="57">
        <v>-157951</v>
      </c>
      <c r="H940" s="57">
        <v>46150</v>
      </c>
      <c r="I940" s="57">
        <v>-116978</v>
      </c>
      <c r="J940" s="57">
        <v>10191</v>
      </c>
      <c r="K940" s="57">
        <v>-270247</v>
      </c>
      <c r="L940" s="56"/>
      <c r="M940" s="20">
        <v>1032082</v>
      </c>
      <c r="N940" s="56">
        <v>0.1</v>
      </c>
      <c r="O940" s="56">
        <v>-2.62</v>
      </c>
      <c r="P940" s="58">
        <v>16.579999999999998</v>
      </c>
      <c r="Q940" s="59">
        <v>58.484533285403103</v>
      </c>
      <c r="R940" s="59">
        <v>1.2949033086076001</v>
      </c>
      <c r="S940" s="59">
        <v>0.32881454250143199</v>
      </c>
      <c r="X940" s="2">
        <f t="shared" si="42"/>
        <v>0.41515466714596899</v>
      </c>
      <c r="Y940" s="2">
        <f>SUMIF(收盤價!A:A,A940,收盤價!C:C)</f>
        <v>18.899999999999999</v>
      </c>
      <c r="Z940" s="2">
        <f t="shared" si="43"/>
        <v>1711191.9559999998</v>
      </c>
      <c r="AA940" s="2">
        <f t="shared" si="44"/>
        <v>1950634.9799999997</v>
      </c>
    </row>
    <row r="941" spans="1:27" ht="14.5" customHeight="1">
      <c r="A941" s="7" t="s">
        <v>6324</v>
      </c>
      <c r="B941" s="8" t="s">
        <v>1933</v>
      </c>
      <c r="C941" s="27">
        <v>4076129</v>
      </c>
      <c r="D941" s="27">
        <v>3957774</v>
      </c>
      <c r="E941" s="69">
        <v>2.99</v>
      </c>
      <c r="F941" s="27">
        <v>722801</v>
      </c>
      <c r="G941" s="27">
        <v>690391</v>
      </c>
      <c r="H941" s="27">
        <v>18822</v>
      </c>
      <c r="I941" s="27">
        <v>14386</v>
      </c>
      <c r="J941" s="27">
        <v>472580</v>
      </c>
      <c r="K941" s="27">
        <v>447052</v>
      </c>
      <c r="L941" s="69">
        <v>5.71</v>
      </c>
      <c r="M941" s="27">
        <v>336960</v>
      </c>
      <c r="N941" s="69">
        <v>14.02</v>
      </c>
      <c r="O941" s="69">
        <v>13.27</v>
      </c>
      <c r="P941" s="69">
        <v>70.08</v>
      </c>
      <c r="Q941" s="27">
        <v>67</v>
      </c>
      <c r="R941" s="69">
        <v>4.55</v>
      </c>
      <c r="S941" s="69">
        <v>338.65</v>
      </c>
      <c r="X941" s="2">
        <f t="shared" si="42"/>
        <v>0.33</v>
      </c>
      <c r="Y941" s="2">
        <f>SUMIF(收盤價!A:A,A941,收盤價!C:C)</f>
        <v>222</v>
      </c>
      <c r="Z941" s="2">
        <f t="shared" si="43"/>
        <v>2361415.6800000002</v>
      </c>
      <c r="AA941" s="2">
        <f t="shared" si="44"/>
        <v>7480512</v>
      </c>
    </row>
    <row r="942" spans="1:27" ht="14.5" customHeight="1">
      <c r="A942" s="7" t="s">
        <v>6325</v>
      </c>
      <c r="B942" s="8" t="s">
        <v>1977</v>
      </c>
      <c r="C942" s="27">
        <v>328230</v>
      </c>
      <c r="D942" s="27">
        <v>357447</v>
      </c>
      <c r="E942" s="69">
        <v>-8.17</v>
      </c>
      <c r="F942" s="27">
        <v>-23378</v>
      </c>
      <c r="G942" s="27">
        <v>9358</v>
      </c>
      <c r="H942" s="27">
        <v>-9253</v>
      </c>
      <c r="I942" s="27">
        <v>4807</v>
      </c>
      <c r="J942" s="27">
        <v>-27550</v>
      </c>
      <c r="K942" s="27">
        <v>10315</v>
      </c>
      <c r="L942" s="69">
        <v>-367.09</v>
      </c>
      <c r="M942" s="27">
        <v>278934</v>
      </c>
      <c r="N942" s="69">
        <v>-0.99</v>
      </c>
      <c r="O942" s="69">
        <v>0.38</v>
      </c>
      <c r="P942" s="69">
        <v>13.97</v>
      </c>
      <c r="Q942" s="27">
        <v>39</v>
      </c>
      <c r="R942" s="69">
        <v>4.67</v>
      </c>
      <c r="S942" s="69">
        <v>387.65</v>
      </c>
      <c r="X942" s="2">
        <f t="shared" si="42"/>
        <v>0.61</v>
      </c>
      <c r="Y942" s="2">
        <f>SUMIF(收盤價!A:A,A942,收盤價!C:C)</f>
        <v>30.6</v>
      </c>
      <c r="Z942" s="2">
        <f t="shared" si="43"/>
        <v>389670.79800000001</v>
      </c>
      <c r="AA942" s="2">
        <f t="shared" si="44"/>
        <v>853538.04</v>
      </c>
    </row>
    <row r="943" spans="1:27" ht="14.5" customHeight="1">
      <c r="A943" s="7" t="s">
        <v>6326</v>
      </c>
      <c r="B943" s="8" t="s">
        <v>2463</v>
      </c>
      <c r="C943" s="27">
        <v>1583022</v>
      </c>
      <c r="D943" s="27">
        <v>1491890</v>
      </c>
      <c r="E943" s="69">
        <v>6.11</v>
      </c>
      <c r="F943" s="27">
        <v>350814</v>
      </c>
      <c r="G943" s="27">
        <v>299483</v>
      </c>
      <c r="H943" s="27">
        <v>4997</v>
      </c>
      <c r="I943" s="27">
        <v>8699</v>
      </c>
      <c r="J943" s="27">
        <v>284973</v>
      </c>
      <c r="K943" s="27">
        <v>246285</v>
      </c>
      <c r="L943" s="69">
        <v>15.71</v>
      </c>
      <c r="M943" s="27">
        <v>807018</v>
      </c>
      <c r="N943" s="69">
        <v>3.53</v>
      </c>
      <c r="O943" s="69">
        <v>3.05</v>
      </c>
      <c r="P943" s="69">
        <v>18.98</v>
      </c>
      <c r="Q943" s="27">
        <v>81</v>
      </c>
      <c r="R943" s="69">
        <v>4.72</v>
      </c>
      <c r="S943" s="69">
        <v>455.39</v>
      </c>
      <c r="X943" s="2">
        <f t="shared" si="42"/>
        <v>0.19</v>
      </c>
      <c r="Y943" s="2">
        <f>SUMIF(收盤價!A:A,A943,收盤價!C:C)</f>
        <v>89.5</v>
      </c>
      <c r="Z943" s="2">
        <f t="shared" si="43"/>
        <v>1531720.1640000001</v>
      </c>
      <c r="AA943" s="2">
        <f t="shared" si="44"/>
        <v>7222811.0999999996</v>
      </c>
    </row>
    <row r="944" spans="1:27" ht="14.5" customHeight="1">
      <c r="A944" s="7" t="s">
        <v>6327</v>
      </c>
      <c r="B944" s="8" t="s">
        <v>2465</v>
      </c>
      <c r="C944" s="27">
        <v>4109093</v>
      </c>
      <c r="D944" s="27">
        <v>3772091</v>
      </c>
      <c r="E944" s="69">
        <v>8.93</v>
      </c>
      <c r="F944" s="27">
        <v>171337</v>
      </c>
      <c r="G944" s="27">
        <v>169670</v>
      </c>
      <c r="H944" s="27">
        <v>-40822</v>
      </c>
      <c r="I944" s="27">
        <v>29401</v>
      </c>
      <c r="J944" s="27">
        <v>66691</v>
      </c>
      <c r="K944" s="27">
        <v>123921</v>
      </c>
      <c r="L944" s="69">
        <v>-46.18</v>
      </c>
      <c r="M944" s="27">
        <v>1729287</v>
      </c>
      <c r="N944" s="69">
        <v>0.39</v>
      </c>
      <c r="O944" s="69">
        <v>0.72</v>
      </c>
      <c r="P944" s="69">
        <v>11.91</v>
      </c>
      <c r="Q944" s="27">
        <v>40</v>
      </c>
      <c r="R944" s="69">
        <v>1.62</v>
      </c>
      <c r="S944" s="69">
        <v>104.24</v>
      </c>
      <c r="X944" s="2">
        <f t="shared" si="42"/>
        <v>0.6</v>
      </c>
      <c r="Y944" s="2">
        <f>SUMIF(收盤價!A:A,A944,收盤價!C:C)</f>
        <v>9.99</v>
      </c>
      <c r="Z944" s="2">
        <f t="shared" si="43"/>
        <v>2059580.8170000003</v>
      </c>
      <c r="AA944" s="2">
        <f t="shared" si="44"/>
        <v>1727557.713</v>
      </c>
    </row>
    <row r="945" spans="1:27" ht="14.5" customHeight="1">
      <c r="A945" s="7" t="s">
        <v>6328</v>
      </c>
      <c r="B945" s="8" t="s">
        <v>2557</v>
      </c>
      <c r="C945" s="27">
        <v>22812</v>
      </c>
      <c r="D945" s="27">
        <v>102382</v>
      </c>
      <c r="E945" s="69">
        <v>-77.72</v>
      </c>
      <c r="F945" s="27">
        <v>-152108</v>
      </c>
      <c r="G945" s="27">
        <v>-108127</v>
      </c>
      <c r="H945" s="27">
        <v>-39474</v>
      </c>
      <c r="I945" s="27">
        <v>9472</v>
      </c>
      <c r="J945" s="27">
        <v>-191271</v>
      </c>
      <c r="K945" s="27">
        <v>-98961</v>
      </c>
      <c r="L945" s="69">
        <v>-93.28</v>
      </c>
      <c r="M945" s="27">
        <v>656714</v>
      </c>
      <c r="N945" s="69">
        <v>-2.91</v>
      </c>
      <c r="O945" s="69">
        <v>-1.6</v>
      </c>
      <c r="P945" s="69">
        <v>3.85</v>
      </c>
      <c r="Q945" s="27">
        <v>88</v>
      </c>
      <c r="R945" s="69">
        <v>7.64</v>
      </c>
      <c r="S945" s="69">
        <v>700.35</v>
      </c>
      <c r="X945" s="2">
        <f t="shared" si="42"/>
        <v>0.12</v>
      </c>
      <c r="Y945" s="2">
        <f>SUMIF(收盤價!A:A,A945,收盤價!C:C)</f>
        <v>11.4</v>
      </c>
      <c r="Z945" s="2">
        <f t="shared" si="43"/>
        <v>252834.88999999998</v>
      </c>
      <c r="AA945" s="2">
        <f t="shared" si="44"/>
        <v>748653.96000000008</v>
      </c>
    </row>
    <row r="946" spans="1:27" ht="14.5" customHeight="1">
      <c r="A946" s="7" t="s">
        <v>6329</v>
      </c>
      <c r="B946" s="8" t="s">
        <v>2467</v>
      </c>
      <c r="C946" s="27">
        <v>422923</v>
      </c>
      <c r="D946" s="27">
        <v>431826</v>
      </c>
      <c r="E946" s="69">
        <v>-2.06</v>
      </c>
      <c r="F946" s="27">
        <v>11092</v>
      </c>
      <c r="G946" s="27">
        <v>8451</v>
      </c>
      <c r="H946" s="27">
        <v>106128</v>
      </c>
      <c r="I946" s="27">
        <v>89914</v>
      </c>
      <c r="J946" s="27">
        <v>114194</v>
      </c>
      <c r="K946" s="27">
        <v>90715</v>
      </c>
      <c r="L946" s="69">
        <v>25.88</v>
      </c>
      <c r="M946" s="27">
        <v>700000</v>
      </c>
      <c r="N946" s="69">
        <v>1.63</v>
      </c>
      <c r="O946" s="69">
        <v>1.3</v>
      </c>
      <c r="P946" s="69">
        <v>14.19</v>
      </c>
      <c r="Q946" s="27">
        <v>81</v>
      </c>
      <c r="R946" s="69">
        <v>3.2</v>
      </c>
      <c r="S946" s="69">
        <v>284.32</v>
      </c>
      <c r="X946" s="2">
        <f t="shared" si="42"/>
        <v>0.19</v>
      </c>
      <c r="Y946" s="2">
        <f>SUMIF(收盤價!A:A,A946,收盤價!C:C)</f>
        <v>21.85</v>
      </c>
      <c r="Z946" s="2">
        <f t="shared" si="43"/>
        <v>993300</v>
      </c>
      <c r="AA946" s="2">
        <f t="shared" si="44"/>
        <v>1529500.0000000002</v>
      </c>
    </row>
    <row r="947" spans="1:27" ht="14.5" customHeight="1">
      <c r="A947" s="7" t="s">
        <v>6330</v>
      </c>
      <c r="B947" s="8" t="s">
        <v>2469</v>
      </c>
      <c r="C947" s="27">
        <v>415583</v>
      </c>
      <c r="D947" s="27">
        <v>450676</v>
      </c>
      <c r="E947" s="69">
        <v>-7.79</v>
      </c>
      <c r="F947" s="27">
        <v>-14171</v>
      </c>
      <c r="G947" s="27">
        <v>-59328</v>
      </c>
      <c r="H947" s="27">
        <v>-27785</v>
      </c>
      <c r="I947" s="27">
        <v>-8291</v>
      </c>
      <c r="J947" s="27">
        <v>-42470</v>
      </c>
      <c r="K947" s="27">
        <v>-68229</v>
      </c>
      <c r="L947" s="69">
        <v>37.75</v>
      </c>
      <c r="M947" s="27">
        <v>360380</v>
      </c>
      <c r="N947" s="69">
        <v>-1.18</v>
      </c>
      <c r="O947" s="69">
        <v>-1.89</v>
      </c>
      <c r="P947" s="69">
        <v>4.24</v>
      </c>
      <c r="Q947" s="27">
        <v>27</v>
      </c>
      <c r="R947" s="69">
        <v>0.56999999999999995</v>
      </c>
      <c r="S947" s="69">
        <v>44.31</v>
      </c>
      <c r="X947" s="2">
        <f t="shared" si="42"/>
        <v>0.73</v>
      </c>
      <c r="Y947" s="2">
        <f>SUMIF(收盤價!A:A,A947,收盤價!C:C)</f>
        <v>7</v>
      </c>
      <c r="Z947" s="2">
        <f t="shared" si="43"/>
        <v>152801.12000000002</v>
      </c>
      <c r="AA947" s="2">
        <f t="shared" si="44"/>
        <v>252266</v>
      </c>
    </row>
    <row r="948" spans="1:27" ht="14.5" customHeight="1">
      <c r="A948" s="7" t="s">
        <v>6331</v>
      </c>
      <c r="B948" s="8" t="s">
        <v>2471</v>
      </c>
      <c r="C948" s="27">
        <v>1045670</v>
      </c>
      <c r="D948" s="27">
        <v>1139107</v>
      </c>
      <c r="E948" s="69">
        <v>-8.1999999999999993</v>
      </c>
      <c r="F948" s="27">
        <v>160746</v>
      </c>
      <c r="G948" s="27">
        <v>195531</v>
      </c>
      <c r="H948" s="27">
        <v>1089</v>
      </c>
      <c r="I948" s="27">
        <v>21973</v>
      </c>
      <c r="J948" s="27">
        <v>128715</v>
      </c>
      <c r="K948" s="27">
        <v>174761</v>
      </c>
      <c r="L948" s="69">
        <v>-26.35</v>
      </c>
      <c r="M948" s="27">
        <v>550140</v>
      </c>
      <c r="N948" s="69">
        <v>2.34</v>
      </c>
      <c r="O948" s="69">
        <v>3.18</v>
      </c>
      <c r="P948" s="69">
        <v>18.57</v>
      </c>
      <c r="Q948" s="27">
        <v>85</v>
      </c>
      <c r="R948" s="69">
        <v>6.33</v>
      </c>
      <c r="S948" s="69">
        <v>571.42999999999995</v>
      </c>
      <c r="X948" s="2">
        <f t="shared" si="42"/>
        <v>0.15</v>
      </c>
      <c r="Y948" s="2">
        <f>SUMIF(收盤價!A:A,A948,收盤價!C:C)</f>
        <v>37</v>
      </c>
      <c r="Z948" s="2">
        <f t="shared" si="43"/>
        <v>1021609.9800000001</v>
      </c>
      <c r="AA948" s="2">
        <f t="shared" si="44"/>
        <v>2035518</v>
      </c>
    </row>
    <row r="949" spans="1:27" ht="14.5" customHeight="1">
      <c r="A949" s="7" t="s">
        <v>6332</v>
      </c>
      <c r="B949" s="8" t="s">
        <v>3363</v>
      </c>
      <c r="C949" s="27">
        <v>769542</v>
      </c>
      <c r="D949" s="27">
        <v>777837</v>
      </c>
      <c r="E949" s="69">
        <v>-1.07</v>
      </c>
      <c r="F949" s="27">
        <v>19396</v>
      </c>
      <c r="G949" s="27">
        <v>10799</v>
      </c>
      <c r="H949" s="27">
        <v>89202</v>
      </c>
      <c r="I949" s="27">
        <v>230027</v>
      </c>
      <c r="J949" s="27">
        <v>98452</v>
      </c>
      <c r="K949" s="27">
        <v>223322</v>
      </c>
      <c r="L949" s="69">
        <v>-55.91</v>
      </c>
      <c r="M949" s="27">
        <v>785323</v>
      </c>
      <c r="N949" s="69">
        <v>1.25</v>
      </c>
      <c r="O949" s="69">
        <v>2.84</v>
      </c>
      <c r="P949" s="69">
        <v>22.08</v>
      </c>
      <c r="Q949" s="27">
        <v>50</v>
      </c>
      <c r="R949" s="69">
        <v>1.34</v>
      </c>
      <c r="S949" s="69">
        <v>113.59</v>
      </c>
      <c r="X949" s="2">
        <f t="shared" si="42"/>
        <v>0.5</v>
      </c>
      <c r="Y949" s="2">
        <f>SUMIF(收盤價!A:A,A949,收盤價!C:C)</f>
        <v>18.899999999999999</v>
      </c>
      <c r="Z949" s="2">
        <f t="shared" si="43"/>
        <v>1733993.1839999999</v>
      </c>
      <c r="AA949" s="2">
        <f t="shared" si="44"/>
        <v>1484260.47</v>
      </c>
    </row>
    <row r="950" spans="1:27" ht="14.5" customHeight="1">
      <c r="A950" s="7" t="s">
        <v>6333</v>
      </c>
      <c r="B950" s="8" t="s">
        <v>3475</v>
      </c>
      <c r="C950" s="27">
        <v>3274501</v>
      </c>
      <c r="D950" s="27">
        <v>2671301</v>
      </c>
      <c r="E950" s="69">
        <v>22.58</v>
      </c>
      <c r="F950" s="27">
        <v>-170228</v>
      </c>
      <c r="G950" s="27">
        <v>-305170</v>
      </c>
      <c r="H950" s="27">
        <v>2162</v>
      </c>
      <c r="I950" s="27">
        <v>23862</v>
      </c>
      <c r="J950" s="27">
        <v>-172272</v>
      </c>
      <c r="K950" s="27">
        <v>-295696</v>
      </c>
      <c r="L950" s="69">
        <v>41.74</v>
      </c>
      <c r="M950" s="27">
        <v>1477160</v>
      </c>
      <c r="N950" s="69">
        <v>-1.38</v>
      </c>
      <c r="O950" s="69">
        <v>-2.97</v>
      </c>
      <c r="P950" s="69">
        <v>8.82</v>
      </c>
      <c r="Q950" s="27">
        <v>27</v>
      </c>
      <c r="R950" s="69">
        <v>0.74</v>
      </c>
      <c r="S950" s="69">
        <v>39.590000000000003</v>
      </c>
      <c r="X950" s="2">
        <f t="shared" si="42"/>
        <v>0.73</v>
      </c>
      <c r="Y950" s="2">
        <f>SUMIF(收盤價!A:A,A950,收盤價!C:C)</f>
        <v>15.4</v>
      </c>
      <c r="Z950" s="2">
        <f t="shared" si="43"/>
        <v>1302855.1200000001</v>
      </c>
      <c r="AA950" s="2">
        <f t="shared" si="44"/>
        <v>2274826.4</v>
      </c>
    </row>
    <row r="951" spans="1:27" ht="14.5" customHeight="1">
      <c r="A951" s="7" t="s">
        <v>6334</v>
      </c>
      <c r="B951" s="8" t="s">
        <v>2473</v>
      </c>
      <c r="C951" s="27">
        <v>3563732</v>
      </c>
      <c r="D951" s="27">
        <v>4032988</v>
      </c>
      <c r="E951" s="69">
        <v>-11.64</v>
      </c>
      <c r="F951" s="27">
        <v>279714</v>
      </c>
      <c r="G951" s="27">
        <v>422678</v>
      </c>
      <c r="H951" s="27">
        <v>-3130</v>
      </c>
      <c r="I951" s="27">
        <v>-9258</v>
      </c>
      <c r="J951" s="27">
        <v>210299</v>
      </c>
      <c r="K951" s="27">
        <v>305117</v>
      </c>
      <c r="L951" s="69">
        <v>-31.08</v>
      </c>
      <c r="M951" s="27">
        <v>1202863</v>
      </c>
      <c r="N951" s="69">
        <v>1.75</v>
      </c>
      <c r="O951" s="69">
        <v>2.54</v>
      </c>
      <c r="P951" s="69">
        <v>21.32</v>
      </c>
      <c r="Q951" s="27">
        <v>44</v>
      </c>
      <c r="R951" s="69">
        <v>1.1200000000000001</v>
      </c>
      <c r="S951" s="69">
        <v>48.08</v>
      </c>
      <c r="X951" s="2">
        <f t="shared" si="42"/>
        <v>0.56000000000000005</v>
      </c>
      <c r="Y951" s="2">
        <f>SUMIF(收盤價!A:A,A951,收盤價!C:C)</f>
        <v>40.700000000000003</v>
      </c>
      <c r="Z951" s="2">
        <f t="shared" si="43"/>
        <v>2564503.9160000002</v>
      </c>
      <c r="AA951" s="2">
        <f t="shared" si="44"/>
        <v>4895652.41</v>
      </c>
    </row>
    <row r="952" spans="1:27" ht="14.5" customHeight="1">
      <c r="A952" s="7" t="s">
        <v>6335</v>
      </c>
      <c r="B952" s="8" t="s">
        <v>2475</v>
      </c>
      <c r="C952" s="27">
        <v>165572</v>
      </c>
      <c r="D952" s="27">
        <v>242795</v>
      </c>
      <c r="E952" s="69">
        <v>-31.81</v>
      </c>
      <c r="F952" s="27">
        <v>-47407</v>
      </c>
      <c r="G952" s="27">
        <v>-78006</v>
      </c>
      <c r="H952" s="27">
        <v>370130</v>
      </c>
      <c r="I952" s="27">
        <v>-31551</v>
      </c>
      <c r="J952" s="27">
        <v>313474</v>
      </c>
      <c r="K952" s="27">
        <v>-207099</v>
      </c>
      <c r="L952" s="69">
        <v>251.36</v>
      </c>
      <c r="M952" s="27">
        <v>459918</v>
      </c>
      <c r="N952" s="69">
        <v>6.82</v>
      </c>
      <c r="O952" s="69">
        <v>-4.5</v>
      </c>
      <c r="P952" s="69">
        <v>8.09</v>
      </c>
      <c r="Q952" s="27">
        <v>63</v>
      </c>
      <c r="R952" s="69">
        <v>2.2200000000000002</v>
      </c>
      <c r="S952" s="69">
        <v>201.89</v>
      </c>
      <c r="X952" s="2">
        <f t="shared" si="42"/>
        <v>0.37</v>
      </c>
      <c r="Y952" s="2">
        <f>SUMIF(收盤價!A:A,A952,收盤價!C:C)</f>
        <v>5.73</v>
      </c>
      <c r="Z952" s="2">
        <f t="shared" si="43"/>
        <v>372073.66200000001</v>
      </c>
      <c r="AA952" s="2">
        <f t="shared" si="44"/>
        <v>263533.01400000002</v>
      </c>
    </row>
    <row r="953" spans="1:27" ht="14.5" customHeight="1">
      <c r="A953" s="7" t="s">
        <v>6336</v>
      </c>
      <c r="B953" s="8" t="s">
        <v>2477</v>
      </c>
      <c r="C953" s="27">
        <v>625005</v>
      </c>
      <c r="D953" s="27">
        <v>786696</v>
      </c>
      <c r="E953" s="69">
        <v>-20.55</v>
      </c>
      <c r="F953" s="27">
        <v>-29314</v>
      </c>
      <c r="G953" s="27">
        <v>-11343</v>
      </c>
      <c r="H953" s="27">
        <v>17224</v>
      </c>
      <c r="I953" s="27">
        <v>6649</v>
      </c>
      <c r="J953" s="27">
        <v>-11966</v>
      </c>
      <c r="K953" s="27">
        <v>-4458</v>
      </c>
      <c r="L953" s="69">
        <v>-168.42</v>
      </c>
      <c r="M953" s="27">
        <v>519120</v>
      </c>
      <c r="N953" s="69">
        <v>-0.23</v>
      </c>
      <c r="O953" s="69">
        <v>-0.09</v>
      </c>
      <c r="P953" s="69">
        <v>12.58</v>
      </c>
      <c r="Q953" s="27">
        <v>72</v>
      </c>
      <c r="R953" s="69">
        <v>2.5099999999999998</v>
      </c>
      <c r="S953" s="69">
        <v>177.45</v>
      </c>
      <c r="X953" s="2">
        <f t="shared" si="42"/>
        <v>0.28000000000000003</v>
      </c>
      <c r="Y953" s="2">
        <f>SUMIF(收盤價!A:A,A953,收盤價!C:C)</f>
        <v>9.08</v>
      </c>
      <c r="Z953" s="2">
        <f t="shared" si="43"/>
        <v>653052.96</v>
      </c>
      <c r="AA953" s="2">
        <f t="shared" si="44"/>
        <v>471360.95999999996</v>
      </c>
    </row>
    <row r="954" spans="1:27" ht="14.5" customHeight="1">
      <c r="A954" s="7" t="s">
        <v>6337</v>
      </c>
      <c r="B954" s="8" t="s">
        <v>2479</v>
      </c>
      <c r="C954" s="27">
        <v>586845</v>
      </c>
      <c r="D954" s="27">
        <v>603600</v>
      </c>
      <c r="E954" s="69">
        <v>-2.78</v>
      </c>
      <c r="F954" s="27">
        <v>33472</v>
      </c>
      <c r="G954" s="27">
        <v>23661</v>
      </c>
      <c r="H954" s="27">
        <v>10904</v>
      </c>
      <c r="I954" s="27">
        <v>3858</v>
      </c>
      <c r="J954" s="27">
        <v>44376</v>
      </c>
      <c r="K954" s="27">
        <v>27519</v>
      </c>
      <c r="L954" s="69">
        <v>61.26</v>
      </c>
      <c r="M954" s="27">
        <v>313147</v>
      </c>
      <c r="N954" s="69">
        <v>1.42</v>
      </c>
      <c r="O954" s="69">
        <v>1.1000000000000001</v>
      </c>
      <c r="P954" s="69">
        <v>10.09</v>
      </c>
      <c r="Q954" s="27">
        <v>85</v>
      </c>
      <c r="R954" s="69">
        <v>6.98</v>
      </c>
      <c r="S954" s="69">
        <v>540.21</v>
      </c>
      <c r="X954" s="2">
        <f t="shared" si="42"/>
        <v>0.15</v>
      </c>
      <c r="Y954" s="2">
        <f>SUMIF(收盤價!A:A,A954,收盤價!C:C)</f>
        <v>12.65</v>
      </c>
      <c r="Z954" s="2">
        <f t="shared" si="43"/>
        <v>315965.32299999997</v>
      </c>
      <c r="AA954" s="2">
        <f t="shared" si="44"/>
        <v>396130.95500000002</v>
      </c>
    </row>
    <row r="955" spans="1:27" ht="14.5" customHeight="1">
      <c r="A955" s="7" t="s">
        <v>6338</v>
      </c>
      <c r="B955" s="8" t="s">
        <v>2483</v>
      </c>
      <c r="C955" s="27">
        <v>2898777</v>
      </c>
      <c r="D955" s="27">
        <v>3340319</v>
      </c>
      <c r="E955" s="69">
        <v>-13.22</v>
      </c>
      <c r="F955" s="27">
        <v>364659</v>
      </c>
      <c r="G955" s="27">
        <v>493412</v>
      </c>
      <c r="H955" s="27">
        <v>38796</v>
      </c>
      <c r="I955" s="27">
        <v>-5578</v>
      </c>
      <c r="J955" s="27">
        <v>301241</v>
      </c>
      <c r="K955" s="27">
        <v>368060</v>
      </c>
      <c r="L955" s="69">
        <v>-18.149999999999999</v>
      </c>
      <c r="M955" s="27">
        <v>839713</v>
      </c>
      <c r="N955" s="69">
        <v>3.59</v>
      </c>
      <c r="O955" s="69">
        <v>4.41</v>
      </c>
      <c r="P955" s="69">
        <v>27.78</v>
      </c>
      <c r="Q955" s="27">
        <v>55</v>
      </c>
      <c r="R955" s="69">
        <v>2.14</v>
      </c>
      <c r="S955" s="69">
        <v>128.94999999999999</v>
      </c>
      <c r="X955" s="2">
        <f t="shared" si="42"/>
        <v>0.45</v>
      </c>
      <c r="Y955" s="2">
        <f>SUMIF(收盤價!A:A,A955,收盤價!C:C)</f>
        <v>34.549999999999997</v>
      </c>
      <c r="Z955" s="2">
        <f t="shared" si="43"/>
        <v>2332722.7140000002</v>
      </c>
      <c r="AA955" s="2">
        <f t="shared" si="44"/>
        <v>2901208.415</v>
      </c>
    </row>
    <row r="956" spans="1:27" ht="14.5" customHeight="1">
      <c r="A956" s="7" t="s">
        <v>6339</v>
      </c>
      <c r="B956" s="8" t="s">
        <v>2485</v>
      </c>
      <c r="C956" s="27">
        <v>3316</v>
      </c>
      <c r="D956" s="27">
        <v>8028</v>
      </c>
      <c r="E956" s="69">
        <v>-58.69</v>
      </c>
      <c r="F956" s="27">
        <v>-19938</v>
      </c>
      <c r="G956" s="27">
        <v>-29331</v>
      </c>
      <c r="H956" s="27">
        <v>533</v>
      </c>
      <c r="I956" s="27">
        <v>966</v>
      </c>
      <c r="J956" s="27">
        <v>-19405</v>
      </c>
      <c r="K956" s="27">
        <v>-28365</v>
      </c>
      <c r="L956" s="69">
        <v>31.59</v>
      </c>
      <c r="M956" s="27">
        <v>355789</v>
      </c>
      <c r="N956" s="69">
        <v>-0.59</v>
      </c>
      <c r="O956" s="69">
        <v>-0.87</v>
      </c>
      <c r="P956" s="69">
        <v>2.94</v>
      </c>
      <c r="Q956" s="27">
        <v>96</v>
      </c>
      <c r="R956" s="69">
        <v>7.8</v>
      </c>
      <c r="S956" s="69">
        <v>637.42999999999995</v>
      </c>
      <c r="X956" s="2">
        <f t="shared" si="42"/>
        <v>0.04</v>
      </c>
      <c r="Y956" s="2">
        <f>SUMIF(收盤價!A:A,A956,收盤價!C:C)</f>
        <v>0</v>
      </c>
      <c r="Z956" s="2">
        <f t="shared" si="43"/>
        <v>104601.966</v>
      </c>
      <c r="AA956" s="2">
        <f t="shared" si="44"/>
        <v>0</v>
      </c>
    </row>
    <row r="957" spans="1:27" ht="14.5" customHeight="1">
      <c r="A957" s="7" t="s">
        <v>6340</v>
      </c>
      <c r="B957" s="8" t="s">
        <v>2487</v>
      </c>
      <c r="C957" s="27">
        <v>845034</v>
      </c>
      <c r="D957" s="27">
        <v>1098049</v>
      </c>
      <c r="E957" s="69">
        <v>-23.04</v>
      </c>
      <c r="F957" s="27">
        <v>589637</v>
      </c>
      <c r="G957" s="27">
        <v>85120</v>
      </c>
      <c r="H957" s="27">
        <v>-18050</v>
      </c>
      <c r="I957" s="27">
        <v>4761</v>
      </c>
      <c r="J957" s="27">
        <v>551761</v>
      </c>
      <c r="K957" s="27">
        <v>76075</v>
      </c>
      <c r="L957" s="69">
        <v>625.29</v>
      </c>
      <c r="M957" s="27">
        <v>404550</v>
      </c>
      <c r="N957" s="69">
        <v>13.64</v>
      </c>
      <c r="O957" s="69">
        <v>1.88</v>
      </c>
      <c r="P957" s="69">
        <v>33.14</v>
      </c>
      <c r="Q957" s="27">
        <v>55</v>
      </c>
      <c r="R957" s="69">
        <v>4.16</v>
      </c>
      <c r="S957" s="69">
        <v>297.17</v>
      </c>
      <c r="X957" s="2">
        <f t="shared" si="42"/>
        <v>0.45</v>
      </c>
      <c r="Y957" s="2">
        <f>SUMIF(收盤價!A:A,A957,收盤價!C:C)</f>
        <v>32.549999999999997</v>
      </c>
      <c r="Z957" s="2">
        <f t="shared" si="43"/>
        <v>1340678.7</v>
      </c>
      <c r="AA957" s="2">
        <f t="shared" si="44"/>
        <v>1316810.2499999998</v>
      </c>
    </row>
    <row r="958" spans="1:27" ht="14.5" customHeight="1">
      <c r="A958" s="7" t="s">
        <v>6341</v>
      </c>
      <c r="B958" s="8" t="s">
        <v>2489</v>
      </c>
      <c r="C958" s="27">
        <v>628204</v>
      </c>
      <c r="D958" s="27">
        <v>741908</v>
      </c>
      <c r="E958" s="69">
        <v>-15.33</v>
      </c>
      <c r="F958" s="27">
        <v>-160956</v>
      </c>
      <c r="G958" s="27">
        <v>-56438</v>
      </c>
      <c r="H958" s="27">
        <v>-1391</v>
      </c>
      <c r="I958" s="27">
        <v>33066</v>
      </c>
      <c r="J958" s="27">
        <v>-163127</v>
      </c>
      <c r="K958" s="27">
        <v>-27436</v>
      </c>
      <c r="L958" s="69">
        <v>-494.57</v>
      </c>
      <c r="M958" s="27">
        <v>343500</v>
      </c>
      <c r="N958" s="69">
        <v>-4.75</v>
      </c>
      <c r="O958" s="69">
        <v>-0.8</v>
      </c>
      <c r="P958" s="69">
        <v>22.41</v>
      </c>
      <c r="Q958" s="27">
        <v>78</v>
      </c>
      <c r="R958" s="69">
        <v>1.64</v>
      </c>
      <c r="S958" s="69">
        <v>102.97</v>
      </c>
      <c r="X958" s="2">
        <f t="shared" si="42"/>
        <v>0.22</v>
      </c>
      <c r="Y958" s="2">
        <f>SUMIF(收盤價!A:A,A958,收盤價!C:C)</f>
        <v>0</v>
      </c>
      <c r="Z958" s="2">
        <f t="shared" si="43"/>
        <v>769783.5</v>
      </c>
      <c r="AA958" s="2">
        <f t="shared" si="44"/>
        <v>0</v>
      </c>
    </row>
    <row r="959" spans="1:27" ht="14.5" customHeight="1">
      <c r="A959" s="7" t="s">
        <v>6342</v>
      </c>
      <c r="B959" s="8" t="s">
        <v>2493</v>
      </c>
      <c r="C959" s="27">
        <v>1838059</v>
      </c>
      <c r="D959" s="27">
        <v>1985862</v>
      </c>
      <c r="E959" s="69">
        <v>-7.44</v>
      </c>
      <c r="F959" s="27">
        <v>-57864</v>
      </c>
      <c r="G959" s="27">
        <v>63447</v>
      </c>
      <c r="H959" s="27">
        <v>-1686</v>
      </c>
      <c r="I959" s="27">
        <v>38685</v>
      </c>
      <c r="J959" s="27">
        <v>-73979</v>
      </c>
      <c r="K959" s="27">
        <v>73556</v>
      </c>
      <c r="L959" s="69">
        <v>-200.58</v>
      </c>
      <c r="M959" s="27">
        <v>505890</v>
      </c>
      <c r="N959" s="69">
        <v>-1.46</v>
      </c>
      <c r="O959" s="69">
        <v>1.45</v>
      </c>
      <c r="P959" s="69">
        <v>23.98</v>
      </c>
      <c r="Q959" s="27">
        <v>83</v>
      </c>
      <c r="R959" s="69">
        <v>5.08</v>
      </c>
      <c r="S959" s="69">
        <v>296.41000000000003</v>
      </c>
      <c r="X959" s="2">
        <f t="shared" si="42"/>
        <v>0.17</v>
      </c>
      <c r="Y959" s="2">
        <f>SUMIF(收盤價!A:A,A959,收盤價!C:C)</f>
        <v>19.8</v>
      </c>
      <c r="Z959" s="2">
        <f t="shared" si="43"/>
        <v>1213124.2200000002</v>
      </c>
      <c r="AA959" s="2">
        <f t="shared" si="44"/>
        <v>1001662.2</v>
      </c>
    </row>
    <row r="960" spans="1:27" ht="14.5" customHeight="1">
      <c r="A960" s="7" t="s">
        <v>6343</v>
      </c>
      <c r="B960" s="8" t="s">
        <v>2495</v>
      </c>
      <c r="C960" s="27">
        <v>1580098</v>
      </c>
      <c r="D960" s="27">
        <v>1603890</v>
      </c>
      <c r="E960" s="69">
        <v>-1.48</v>
      </c>
      <c r="F960" s="27">
        <v>45052</v>
      </c>
      <c r="G960" s="27">
        <v>68162</v>
      </c>
      <c r="H960" s="27">
        <v>-4556</v>
      </c>
      <c r="I960" s="27">
        <v>18294</v>
      </c>
      <c r="J960" s="27">
        <v>20335</v>
      </c>
      <c r="K960" s="27">
        <v>63307</v>
      </c>
      <c r="L960" s="69">
        <v>-67.88</v>
      </c>
      <c r="M960" s="27">
        <v>464009</v>
      </c>
      <c r="N960" s="69">
        <v>0.5</v>
      </c>
      <c r="O960" s="69">
        <v>1.75</v>
      </c>
      <c r="P960" s="69">
        <v>21.18</v>
      </c>
      <c r="Q960" s="27">
        <v>60</v>
      </c>
      <c r="R960" s="69">
        <v>1.83</v>
      </c>
      <c r="S960" s="69">
        <v>106.67</v>
      </c>
      <c r="X960" s="2">
        <f t="shared" si="42"/>
        <v>0.4</v>
      </c>
      <c r="Y960" s="2">
        <f>SUMIF(收盤價!A:A,A960,收盤價!C:C)</f>
        <v>36.5</v>
      </c>
      <c r="Z960" s="2">
        <f t="shared" si="43"/>
        <v>982771.06199999992</v>
      </c>
      <c r="AA960" s="2">
        <f t="shared" si="44"/>
        <v>1693632.85</v>
      </c>
    </row>
    <row r="961" spans="1:27" ht="14.5" customHeight="1">
      <c r="A961" s="7" t="s">
        <v>6344</v>
      </c>
      <c r="B961" s="8" t="s">
        <v>1945</v>
      </c>
      <c r="C961" s="27">
        <v>626693</v>
      </c>
      <c r="D961" s="27">
        <v>642264</v>
      </c>
      <c r="E961" s="69">
        <v>-2.42</v>
      </c>
      <c r="F961" s="27">
        <v>89478</v>
      </c>
      <c r="G961" s="27">
        <v>91437</v>
      </c>
      <c r="H961" s="27">
        <v>4307</v>
      </c>
      <c r="I961" s="27">
        <v>14326</v>
      </c>
      <c r="J961" s="27">
        <v>73298</v>
      </c>
      <c r="K961" s="27">
        <v>83512</v>
      </c>
      <c r="L961" s="69">
        <v>-12.23</v>
      </c>
      <c r="M961" s="27">
        <v>515008</v>
      </c>
      <c r="N961" s="69">
        <v>1.42</v>
      </c>
      <c r="O961" s="69">
        <v>1.62</v>
      </c>
      <c r="P961" s="69">
        <v>14.88</v>
      </c>
      <c r="Q961" s="27">
        <v>83</v>
      </c>
      <c r="R961" s="69">
        <v>4.9000000000000004</v>
      </c>
      <c r="S961" s="69">
        <v>359.07</v>
      </c>
      <c r="X961" s="2">
        <f t="shared" si="42"/>
        <v>0.17</v>
      </c>
      <c r="Y961" s="2">
        <f>SUMIF(收盤價!A:A,A961,收盤價!C:C)</f>
        <v>14.15</v>
      </c>
      <c r="Z961" s="2">
        <f t="shared" si="43"/>
        <v>766331.90399999998</v>
      </c>
      <c r="AA961" s="2">
        <f t="shared" si="44"/>
        <v>728736.32000000007</v>
      </c>
    </row>
    <row r="962" spans="1:27" ht="14.5" customHeight="1">
      <c r="A962" s="7" t="s">
        <v>6345</v>
      </c>
      <c r="B962" s="8" t="s">
        <v>1947</v>
      </c>
      <c r="C962" s="27">
        <v>4164628</v>
      </c>
      <c r="D962" s="27">
        <v>4312015</v>
      </c>
      <c r="E962" s="69">
        <v>-3.42</v>
      </c>
      <c r="F962" s="27">
        <v>662080</v>
      </c>
      <c r="G962" s="27">
        <v>657300</v>
      </c>
      <c r="H962" s="27">
        <v>25471</v>
      </c>
      <c r="I962" s="27">
        <v>31961</v>
      </c>
      <c r="J962" s="27">
        <v>503361</v>
      </c>
      <c r="K962" s="27">
        <v>473613</v>
      </c>
      <c r="L962" s="69">
        <v>6.28</v>
      </c>
      <c r="M962" s="27">
        <v>502302</v>
      </c>
      <c r="N962" s="69">
        <v>10.02</v>
      </c>
      <c r="O962" s="69">
        <v>9.43</v>
      </c>
      <c r="P962" s="69">
        <v>43.34</v>
      </c>
      <c r="Q962" s="27">
        <v>66</v>
      </c>
      <c r="R962" s="69">
        <v>2.3199999999999998</v>
      </c>
      <c r="S962" s="69">
        <v>156.61000000000001</v>
      </c>
      <c r="X962" s="2">
        <f t="shared" si="42"/>
        <v>0.34</v>
      </c>
      <c r="Y962" s="2">
        <f>SUMIF(收盤價!A:A,A962,收盤價!C:C)</f>
        <v>116.5</v>
      </c>
      <c r="Z962" s="2">
        <f t="shared" si="43"/>
        <v>2176976.8680000002</v>
      </c>
      <c r="AA962" s="2">
        <f t="shared" si="44"/>
        <v>5851818.2999999998</v>
      </c>
    </row>
    <row r="963" spans="1:27" ht="14.5" customHeight="1">
      <c r="A963" s="7" t="s">
        <v>6346</v>
      </c>
      <c r="B963" s="8" t="s">
        <v>1951</v>
      </c>
      <c r="C963" s="27">
        <v>2092780</v>
      </c>
      <c r="D963" s="27">
        <v>2453364</v>
      </c>
      <c r="E963" s="69">
        <v>-14.7</v>
      </c>
      <c r="F963" s="27">
        <v>61466</v>
      </c>
      <c r="G963" s="27">
        <v>168154</v>
      </c>
      <c r="H963" s="27">
        <v>-23939</v>
      </c>
      <c r="I963" s="27">
        <v>-13579</v>
      </c>
      <c r="J963" s="27">
        <v>20061</v>
      </c>
      <c r="K963" s="27">
        <v>102009</v>
      </c>
      <c r="L963" s="69">
        <v>-80.33</v>
      </c>
      <c r="M963" s="27">
        <v>801512</v>
      </c>
      <c r="N963" s="69">
        <v>0.26</v>
      </c>
      <c r="O963" s="69">
        <v>1.29</v>
      </c>
      <c r="P963" s="69">
        <v>17.84</v>
      </c>
      <c r="Q963" s="27">
        <v>38</v>
      </c>
      <c r="R963" s="69">
        <v>1.1499999999999999</v>
      </c>
      <c r="S963" s="69">
        <v>73.25</v>
      </c>
      <c r="X963" s="2">
        <f t="shared" si="42"/>
        <v>0.62</v>
      </c>
      <c r="Y963" s="2">
        <f>SUMIF(收盤價!A:A,A963,收盤價!C:C)</f>
        <v>34.9</v>
      </c>
      <c r="Z963" s="2">
        <f t="shared" si="43"/>
        <v>1429897.4080000001</v>
      </c>
      <c r="AA963" s="2">
        <f t="shared" si="44"/>
        <v>2797276.88</v>
      </c>
    </row>
    <row r="964" spans="1:27" ht="14.5" customHeight="1">
      <c r="A964" s="7" t="s">
        <v>6347</v>
      </c>
      <c r="B964" s="8" t="s">
        <v>1959</v>
      </c>
      <c r="C964" s="27">
        <v>1300351</v>
      </c>
      <c r="D964" s="27">
        <v>2078901</v>
      </c>
      <c r="E964" s="69">
        <v>-37.450000000000003</v>
      </c>
      <c r="F964" s="27">
        <v>241539</v>
      </c>
      <c r="G964" s="27">
        <v>604894</v>
      </c>
      <c r="H964" s="27">
        <v>-19312</v>
      </c>
      <c r="I964" s="27">
        <v>4943</v>
      </c>
      <c r="J964" s="27">
        <v>174644</v>
      </c>
      <c r="K964" s="27">
        <v>472717</v>
      </c>
      <c r="L964" s="69">
        <v>-63.06</v>
      </c>
      <c r="M964" s="27">
        <v>811876</v>
      </c>
      <c r="N964" s="69">
        <v>2.15</v>
      </c>
      <c r="O964" s="69">
        <v>5.82</v>
      </c>
      <c r="P964" s="69">
        <v>24.94</v>
      </c>
      <c r="Q964" s="27">
        <v>60</v>
      </c>
      <c r="R964" s="69">
        <v>2.4900000000000002</v>
      </c>
      <c r="S964" s="69">
        <v>150.4</v>
      </c>
      <c r="X964" s="2">
        <f t="shared" si="42"/>
        <v>0.4</v>
      </c>
      <c r="Y964" s="2">
        <f>SUMIF(收盤價!A:A,A964,收盤價!C:C)</f>
        <v>93.9</v>
      </c>
      <c r="Z964" s="2">
        <f t="shared" si="43"/>
        <v>2024818.7440000002</v>
      </c>
      <c r="AA964" s="2">
        <f t="shared" si="44"/>
        <v>7623515.6400000006</v>
      </c>
    </row>
    <row r="965" spans="1:27" ht="14.5" customHeight="1">
      <c r="A965" s="7" t="s">
        <v>6348</v>
      </c>
      <c r="B965" s="8" t="s">
        <v>1961</v>
      </c>
      <c r="C965" s="27">
        <v>2399203</v>
      </c>
      <c r="D965" s="27">
        <v>2599350</v>
      </c>
      <c r="E965" s="69">
        <v>-7.7</v>
      </c>
      <c r="F965" s="27">
        <v>121185</v>
      </c>
      <c r="G965" s="27">
        <v>227699</v>
      </c>
      <c r="H965" s="27">
        <v>58238</v>
      </c>
      <c r="I965" s="27">
        <v>51689</v>
      </c>
      <c r="J965" s="27">
        <v>140602</v>
      </c>
      <c r="K965" s="27">
        <v>215295</v>
      </c>
      <c r="L965" s="69">
        <v>-34.69</v>
      </c>
      <c r="M965" s="27">
        <v>738118</v>
      </c>
      <c r="N965" s="69">
        <v>1.98</v>
      </c>
      <c r="O965" s="69">
        <v>2.99</v>
      </c>
      <c r="P965" s="69">
        <v>22.83</v>
      </c>
      <c r="Q965" s="27">
        <v>79</v>
      </c>
      <c r="R965" s="69">
        <v>2.66</v>
      </c>
      <c r="S965" s="69">
        <v>173.34</v>
      </c>
      <c r="X965" s="2">
        <f t="shared" ref="X965:X1028" si="45">IF(W965&lt;&gt;"",ROUND(W965/U965,2),(100-Q965)/100)</f>
        <v>0.21</v>
      </c>
      <c r="Y965" s="2">
        <f>SUMIF(收盤價!A:A,A965,收盤價!C:C)</f>
        <v>36.950000000000003</v>
      </c>
      <c r="Z965" s="2">
        <f t="shared" ref="Z965:Z1028" si="46">IF(W965&lt;&gt;"",U965-W965,M965*P965/10)</f>
        <v>1685123.3939999999</v>
      </c>
      <c r="AA965" s="2">
        <f t="shared" ref="AA965:AA1028" si="47">Y965*M965/10</f>
        <v>2727346.0100000002</v>
      </c>
    </row>
    <row r="966" spans="1:27" ht="14.5" customHeight="1">
      <c r="A966" s="7" t="s">
        <v>6349</v>
      </c>
      <c r="B966" s="8" t="s">
        <v>1995</v>
      </c>
      <c r="C966" s="27">
        <v>2431674</v>
      </c>
      <c r="D966" s="27">
        <v>1974129</v>
      </c>
      <c r="E966" s="69">
        <v>23.18</v>
      </c>
      <c r="F966" s="27">
        <v>106383</v>
      </c>
      <c r="G966" s="27">
        <v>100385</v>
      </c>
      <c r="H966" s="27">
        <v>80874</v>
      </c>
      <c r="I966" s="27">
        <v>50059</v>
      </c>
      <c r="J966" s="27">
        <v>163656</v>
      </c>
      <c r="K966" s="27">
        <v>151940</v>
      </c>
      <c r="L966" s="69">
        <v>7.71</v>
      </c>
      <c r="M966" s="27">
        <v>365029</v>
      </c>
      <c r="N966" s="69">
        <v>4.51</v>
      </c>
      <c r="O966" s="69">
        <v>4.18</v>
      </c>
      <c r="P966" s="69">
        <v>31.14</v>
      </c>
      <c r="Q966" s="27">
        <v>39</v>
      </c>
      <c r="R966" s="69">
        <v>1.62</v>
      </c>
      <c r="S966" s="69">
        <v>84.17</v>
      </c>
      <c r="X966" s="2">
        <f t="shared" si="45"/>
        <v>0.61</v>
      </c>
      <c r="Y966" s="2">
        <f>SUMIF(收盤價!A:A,A966,收盤價!C:C)</f>
        <v>70.2</v>
      </c>
      <c r="Z966" s="2">
        <f t="shared" si="46"/>
        <v>1136700.3060000001</v>
      </c>
      <c r="AA966" s="2">
        <f t="shared" si="47"/>
        <v>2562503.58</v>
      </c>
    </row>
    <row r="967" spans="1:27" ht="14.5" customHeight="1">
      <c r="A967" s="7" t="s">
        <v>6350</v>
      </c>
      <c r="B967" s="8" t="s">
        <v>1997</v>
      </c>
      <c r="C967" s="27">
        <v>883908</v>
      </c>
      <c r="D967" s="27">
        <v>1411788</v>
      </c>
      <c r="E967" s="69">
        <v>-37.39</v>
      </c>
      <c r="F967" s="27">
        <v>-39118</v>
      </c>
      <c r="G967" s="27">
        <v>73465</v>
      </c>
      <c r="H967" s="27">
        <v>-30914</v>
      </c>
      <c r="I967" s="27">
        <v>12097</v>
      </c>
      <c r="J967" s="27">
        <v>-56512</v>
      </c>
      <c r="K967" s="27">
        <v>64007</v>
      </c>
      <c r="L967" s="69">
        <v>-188.29</v>
      </c>
      <c r="M967" s="27">
        <v>451382</v>
      </c>
      <c r="N967" s="69">
        <v>-1.25</v>
      </c>
      <c r="O967" s="69">
        <v>1.42</v>
      </c>
      <c r="P967" s="69">
        <v>10.199999999999999</v>
      </c>
      <c r="Q967" s="27">
        <v>30</v>
      </c>
      <c r="R967" s="69">
        <v>0.86</v>
      </c>
      <c r="S967" s="69">
        <v>55.62</v>
      </c>
      <c r="X967" s="2">
        <f t="shared" si="45"/>
        <v>0.7</v>
      </c>
      <c r="Y967" s="2">
        <f>SUMIF(收盤價!A:A,A967,收盤價!C:C)</f>
        <v>11.45</v>
      </c>
      <c r="Z967" s="2">
        <f t="shared" si="46"/>
        <v>460409.63999999996</v>
      </c>
      <c r="AA967" s="2">
        <f t="shared" si="47"/>
        <v>516832.38999999996</v>
      </c>
    </row>
    <row r="968" spans="1:27" ht="14.5" customHeight="1">
      <c r="A968" s="7" t="s">
        <v>6351</v>
      </c>
      <c r="B968" s="8" t="s">
        <v>1999</v>
      </c>
      <c r="C968" s="27">
        <v>606140</v>
      </c>
      <c r="D968" s="27">
        <v>881516</v>
      </c>
      <c r="E968" s="69">
        <v>-31.24</v>
      </c>
      <c r="F968" s="27">
        <v>39310</v>
      </c>
      <c r="G968" s="27">
        <v>89249</v>
      </c>
      <c r="H968" s="27">
        <v>-17503</v>
      </c>
      <c r="I968" s="27">
        <v>22151</v>
      </c>
      <c r="J968" s="27">
        <v>20468</v>
      </c>
      <c r="K968" s="27">
        <v>84661</v>
      </c>
      <c r="L968" s="69">
        <v>-75.819999999999993</v>
      </c>
      <c r="M968" s="27">
        <v>367828</v>
      </c>
      <c r="N968" s="69">
        <v>0.56000000000000005</v>
      </c>
      <c r="O968" s="69">
        <v>2.6</v>
      </c>
      <c r="P968" s="69">
        <v>24.52</v>
      </c>
      <c r="Q968" s="27">
        <v>55</v>
      </c>
      <c r="R968" s="69">
        <v>2.12</v>
      </c>
      <c r="S968" s="69">
        <v>116.58</v>
      </c>
      <c r="X968" s="2">
        <f t="shared" si="45"/>
        <v>0.45</v>
      </c>
      <c r="Y968" s="2">
        <f>SUMIF(收盤價!A:A,A968,收盤價!C:C)</f>
        <v>33</v>
      </c>
      <c r="Z968" s="2">
        <f t="shared" si="46"/>
        <v>901914.25600000005</v>
      </c>
      <c r="AA968" s="2">
        <f t="shared" si="47"/>
        <v>1213832.3999999999</v>
      </c>
    </row>
    <row r="969" spans="1:27" ht="14.5" customHeight="1">
      <c r="A969" s="7" t="s">
        <v>6352</v>
      </c>
      <c r="B969" s="8" t="s">
        <v>2003</v>
      </c>
      <c r="C969" s="27">
        <v>541986</v>
      </c>
      <c r="D969" s="27">
        <v>565039</v>
      </c>
      <c r="E969" s="69">
        <v>-4.08</v>
      </c>
      <c r="F969" s="27">
        <v>-1635</v>
      </c>
      <c r="G969" s="27">
        <v>12212</v>
      </c>
      <c r="H969" s="27">
        <v>-2458</v>
      </c>
      <c r="I969" s="27">
        <v>2919</v>
      </c>
      <c r="J969" s="27">
        <v>1230</v>
      </c>
      <c r="K969" s="27">
        <v>10091</v>
      </c>
      <c r="L969" s="69">
        <v>-87.81</v>
      </c>
      <c r="M969" s="27">
        <v>399132</v>
      </c>
      <c r="N969" s="69">
        <v>0.03</v>
      </c>
      <c r="O969" s="69">
        <v>0.25</v>
      </c>
      <c r="P969" s="69">
        <v>11.78</v>
      </c>
      <c r="Q969" s="27">
        <v>54</v>
      </c>
      <c r="R969" s="69">
        <v>1.43</v>
      </c>
      <c r="S969" s="69">
        <v>89.06</v>
      </c>
      <c r="X969" s="2">
        <f t="shared" si="45"/>
        <v>0.46</v>
      </c>
      <c r="Y969" s="2">
        <f>SUMIF(收盤價!A:A,A969,收盤價!C:C)</f>
        <v>12.75</v>
      </c>
      <c r="Z969" s="2">
        <f t="shared" si="46"/>
        <v>470177.49599999998</v>
      </c>
      <c r="AA969" s="2">
        <f t="shared" si="47"/>
        <v>508893.3</v>
      </c>
    </row>
    <row r="970" spans="1:27" ht="14.5" customHeight="1">
      <c r="A970" s="7" t="s">
        <v>6353</v>
      </c>
      <c r="B970" s="8" t="s">
        <v>2005</v>
      </c>
      <c r="C970" s="27">
        <v>792495</v>
      </c>
      <c r="D970" s="27">
        <v>781193</v>
      </c>
      <c r="E970" s="69">
        <v>1.45</v>
      </c>
      <c r="F970" s="27">
        <v>128073</v>
      </c>
      <c r="G970" s="27">
        <v>97149</v>
      </c>
      <c r="H970" s="27">
        <v>10576</v>
      </c>
      <c r="I970" s="27">
        <v>36975</v>
      </c>
      <c r="J970" s="27">
        <v>110747</v>
      </c>
      <c r="K970" s="27">
        <v>107349</v>
      </c>
      <c r="L970" s="69">
        <v>3.17</v>
      </c>
      <c r="M970" s="27">
        <v>358780</v>
      </c>
      <c r="N970" s="69">
        <v>3.09</v>
      </c>
      <c r="O970" s="69">
        <v>3.01</v>
      </c>
      <c r="P970" s="69">
        <v>36.270000000000003</v>
      </c>
      <c r="Q970" s="27">
        <v>73</v>
      </c>
      <c r="R970" s="69">
        <v>1.65</v>
      </c>
      <c r="S970" s="69">
        <v>112.03</v>
      </c>
      <c r="X970" s="2">
        <f t="shared" si="45"/>
        <v>0.27</v>
      </c>
      <c r="Y970" s="2">
        <f>SUMIF(收盤價!A:A,A970,收盤價!C:C)</f>
        <v>60.1</v>
      </c>
      <c r="Z970" s="2">
        <f t="shared" si="46"/>
        <v>1301295.06</v>
      </c>
      <c r="AA970" s="2">
        <f t="shared" si="47"/>
        <v>2156267.7999999998</v>
      </c>
    </row>
    <row r="971" spans="1:27" ht="14.5" customHeight="1">
      <c r="A971" s="7" t="s">
        <v>6354</v>
      </c>
      <c r="B971" s="8" t="s">
        <v>2101</v>
      </c>
      <c r="C971" s="27">
        <v>835672</v>
      </c>
      <c r="D971" s="27">
        <v>645131</v>
      </c>
      <c r="E971" s="69">
        <v>29.54</v>
      </c>
      <c r="F971" s="27">
        <v>-44054</v>
      </c>
      <c r="G971" s="27">
        <v>-64065</v>
      </c>
      <c r="H971" s="27">
        <v>-34176</v>
      </c>
      <c r="I971" s="27">
        <v>-908</v>
      </c>
      <c r="J971" s="27">
        <v>-78642</v>
      </c>
      <c r="K971" s="27">
        <v>-63137</v>
      </c>
      <c r="L971" s="69">
        <v>-24.56</v>
      </c>
      <c r="M971" s="27">
        <v>1265313</v>
      </c>
      <c r="N971" s="69">
        <v>-0.62</v>
      </c>
      <c r="O971" s="69">
        <v>-0.5</v>
      </c>
      <c r="P971" s="69">
        <v>3.47</v>
      </c>
      <c r="Q971" s="27">
        <v>41</v>
      </c>
      <c r="R971" s="69">
        <v>1.1000000000000001</v>
      </c>
      <c r="S971" s="69">
        <v>72.02</v>
      </c>
      <c r="X971" s="2">
        <f t="shared" si="45"/>
        <v>0.59</v>
      </c>
      <c r="Y971" s="2">
        <f>SUMIF(收盤價!A:A,A971,收盤價!C:C)</f>
        <v>11.7</v>
      </c>
      <c r="Z971" s="2">
        <f t="shared" si="46"/>
        <v>439063.61100000003</v>
      </c>
      <c r="AA971" s="2">
        <f t="shared" si="47"/>
        <v>1480416.21</v>
      </c>
    </row>
    <row r="972" spans="1:27" ht="14.5" customHeight="1">
      <c r="A972" s="7" t="s">
        <v>6355</v>
      </c>
      <c r="B972" s="8" t="s">
        <v>2111</v>
      </c>
      <c r="C972" s="27">
        <v>1096270</v>
      </c>
      <c r="D972" s="27">
        <v>1080002</v>
      </c>
      <c r="E972" s="69">
        <v>1.51</v>
      </c>
      <c r="F972" s="27">
        <v>75883</v>
      </c>
      <c r="G972" s="27">
        <v>78474</v>
      </c>
      <c r="H972" s="27">
        <v>-5644</v>
      </c>
      <c r="I972" s="27">
        <v>26101</v>
      </c>
      <c r="J972" s="27">
        <v>54877</v>
      </c>
      <c r="K972" s="27">
        <v>85792</v>
      </c>
      <c r="L972" s="69">
        <v>-36.03</v>
      </c>
      <c r="M972" s="27">
        <v>450500</v>
      </c>
      <c r="N972" s="69">
        <v>1.22</v>
      </c>
      <c r="O972" s="69">
        <v>2.12</v>
      </c>
      <c r="P972" s="69">
        <v>19.43</v>
      </c>
      <c r="Q972" s="27">
        <v>39</v>
      </c>
      <c r="R972" s="69">
        <v>0.95</v>
      </c>
      <c r="S972" s="69">
        <v>53.68</v>
      </c>
      <c r="X972" s="2">
        <f t="shared" si="45"/>
        <v>0.61</v>
      </c>
      <c r="Y972" s="2">
        <f>SUMIF(收盤價!A:A,A972,收盤價!C:C)</f>
        <v>39.299999999999997</v>
      </c>
      <c r="Z972" s="2">
        <f t="shared" si="46"/>
        <v>875321.5</v>
      </c>
      <c r="AA972" s="2">
        <f t="shared" si="47"/>
        <v>1770465</v>
      </c>
    </row>
    <row r="973" spans="1:27" ht="14.5" customHeight="1">
      <c r="A973" s="7" t="s">
        <v>6356</v>
      </c>
      <c r="B973" s="8" t="s">
        <v>2139</v>
      </c>
      <c r="C973" s="27">
        <v>1932664</v>
      </c>
      <c r="D973" s="27">
        <v>1761274</v>
      </c>
      <c r="E973" s="69">
        <v>9.73</v>
      </c>
      <c r="F973" s="27">
        <v>341400</v>
      </c>
      <c r="G973" s="27">
        <v>317411</v>
      </c>
      <c r="H973" s="27">
        <v>-2274</v>
      </c>
      <c r="I973" s="27">
        <v>43279</v>
      </c>
      <c r="J973" s="27">
        <v>269695</v>
      </c>
      <c r="K973" s="27">
        <v>288515</v>
      </c>
      <c r="L973" s="69">
        <v>-6.52</v>
      </c>
      <c r="M973" s="27">
        <v>644306</v>
      </c>
      <c r="N973" s="69">
        <v>4.1900000000000004</v>
      </c>
      <c r="O973" s="69">
        <v>4.4800000000000004</v>
      </c>
      <c r="P973" s="69">
        <v>18.239999999999998</v>
      </c>
      <c r="Q973" s="27">
        <v>69</v>
      </c>
      <c r="R973" s="69">
        <v>2.62</v>
      </c>
      <c r="S973" s="69">
        <v>236.96</v>
      </c>
      <c r="X973" s="2">
        <f t="shared" si="45"/>
        <v>0.31</v>
      </c>
      <c r="Y973" s="2">
        <f>SUMIF(收盤價!A:A,A973,收盤價!C:C)</f>
        <v>58</v>
      </c>
      <c r="Z973" s="2">
        <f t="shared" si="46"/>
        <v>1175214.1439999999</v>
      </c>
      <c r="AA973" s="2">
        <f t="shared" si="47"/>
        <v>3736974.8</v>
      </c>
    </row>
    <row r="974" spans="1:27" ht="14.5" customHeight="1">
      <c r="A974" s="7" t="s">
        <v>6357</v>
      </c>
      <c r="B974" s="8" t="s">
        <v>2223</v>
      </c>
      <c r="C974" s="27">
        <v>510645</v>
      </c>
      <c r="D974" s="27">
        <v>523196</v>
      </c>
      <c r="E974" s="69">
        <v>-2.4</v>
      </c>
      <c r="F974" s="27">
        <v>-68216</v>
      </c>
      <c r="G974" s="27">
        <v>-54528</v>
      </c>
      <c r="H974" s="27">
        <v>3372</v>
      </c>
      <c r="I974" s="27">
        <v>9979</v>
      </c>
      <c r="J974" s="27">
        <v>-61304</v>
      </c>
      <c r="K974" s="27">
        <v>-39119</v>
      </c>
      <c r="L974" s="69">
        <v>-56.71</v>
      </c>
      <c r="M974" s="27">
        <v>380417</v>
      </c>
      <c r="N974" s="69">
        <v>-1.61</v>
      </c>
      <c r="O974" s="69">
        <v>-1.03</v>
      </c>
      <c r="P974" s="69">
        <v>11.75</v>
      </c>
      <c r="Q974" s="27">
        <v>44</v>
      </c>
      <c r="R974" s="69">
        <v>1.1000000000000001</v>
      </c>
      <c r="S974" s="69">
        <v>57.56</v>
      </c>
      <c r="X974" s="2">
        <f t="shared" si="45"/>
        <v>0.56000000000000005</v>
      </c>
      <c r="Y974" s="2">
        <f>SUMIF(收盤價!A:A,A974,收盤價!C:C)</f>
        <v>10.1</v>
      </c>
      <c r="Z974" s="2">
        <f t="shared" si="46"/>
        <v>446989.97499999998</v>
      </c>
      <c r="AA974" s="2">
        <f t="shared" si="47"/>
        <v>384221.17</v>
      </c>
    </row>
    <row r="975" spans="1:27" ht="14.5" customHeight="1">
      <c r="A975" s="7" t="s">
        <v>6358</v>
      </c>
      <c r="B975" s="8" t="s">
        <v>2231</v>
      </c>
      <c r="C975" s="27">
        <v>609348</v>
      </c>
      <c r="D975" s="27">
        <v>832018</v>
      </c>
      <c r="E975" s="69">
        <v>-26.76</v>
      </c>
      <c r="F975" s="27">
        <v>67153</v>
      </c>
      <c r="G975" s="27">
        <v>127982</v>
      </c>
      <c r="H975" s="27">
        <v>16263</v>
      </c>
      <c r="I975" s="27">
        <v>27711</v>
      </c>
      <c r="J975" s="27">
        <v>58356</v>
      </c>
      <c r="K975" s="27">
        <v>99379</v>
      </c>
      <c r="L975" s="69">
        <v>-41.28</v>
      </c>
      <c r="M975" s="27">
        <v>264000</v>
      </c>
      <c r="N975" s="69">
        <v>2.21</v>
      </c>
      <c r="O975" s="69">
        <v>3.76</v>
      </c>
      <c r="P975" s="69">
        <v>24.24</v>
      </c>
      <c r="Q975" s="27">
        <v>67</v>
      </c>
      <c r="R975" s="69">
        <v>4.33</v>
      </c>
      <c r="S975" s="69">
        <v>414.89</v>
      </c>
      <c r="X975" s="2">
        <f t="shared" si="45"/>
        <v>0.33</v>
      </c>
      <c r="Y975" s="2">
        <f>SUMIF(收盤價!A:A,A975,收盤價!C:C)</f>
        <v>41.45</v>
      </c>
      <c r="Z975" s="2">
        <f t="shared" si="46"/>
        <v>639936</v>
      </c>
      <c r="AA975" s="2">
        <f t="shared" si="47"/>
        <v>1094280</v>
      </c>
    </row>
    <row r="976" spans="1:27" ht="14.5" customHeight="1">
      <c r="A976" s="7" t="s">
        <v>6359</v>
      </c>
      <c r="B976" s="8" t="s">
        <v>2497</v>
      </c>
      <c r="C976" s="27">
        <v>1534295</v>
      </c>
      <c r="D976" s="27">
        <v>2513827</v>
      </c>
      <c r="E976" s="69">
        <v>-38.97</v>
      </c>
      <c r="F976" s="27">
        <v>24117</v>
      </c>
      <c r="G976" s="27">
        <v>123302</v>
      </c>
      <c r="H976" s="27">
        <v>-33145</v>
      </c>
      <c r="I976" s="27">
        <v>4197</v>
      </c>
      <c r="J976" s="27">
        <v>2729</v>
      </c>
      <c r="K976" s="27">
        <v>91212</v>
      </c>
      <c r="L976" s="69">
        <v>-97.01</v>
      </c>
      <c r="M976" s="27">
        <v>497681</v>
      </c>
      <c r="N976" s="69">
        <v>0.06</v>
      </c>
      <c r="O976" s="69">
        <v>1.83</v>
      </c>
      <c r="P976" s="69">
        <v>13.95</v>
      </c>
      <c r="Q976" s="27">
        <v>32</v>
      </c>
      <c r="R976" s="69">
        <v>1.02</v>
      </c>
      <c r="S976" s="69">
        <v>68.849999999999994</v>
      </c>
      <c r="X976" s="2">
        <f t="shared" si="45"/>
        <v>0.68</v>
      </c>
      <c r="Y976" s="2">
        <f>SUMIF(收盤價!A:A,A976,收盤價!C:C)</f>
        <v>60.5</v>
      </c>
      <c r="Z976" s="2">
        <f t="shared" si="46"/>
        <v>694264.99499999988</v>
      </c>
      <c r="AA976" s="2">
        <f t="shared" si="47"/>
        <v>3010970.05</v>
      </c>
    </row>
    <row r="977" spans="1:27" ht="14.5" customHeight="1">
      <c r="A977" s="7" t="s">
        <v>6360</v>
      </c>
      <c r="B977" s="8" t="s">
        <v>2499</v>
      </c>
      <c r="C977" s="27">
        <v>400396</v>
      </c>
      <c r="D977" s="27">
        <v>324625</v>
      </c>
      <c r="E977" s="69">
        <v>23.34</v>
      </c>
      <c r="F977" s="27">
        <v>26059</v>
      </c>
      <c r="G977" s="27">
        <v>36952</v>
      </c>
      <c r="H977" s="27">
        <v>360</v>
      </c>
      <c r="I977" s="27">
        <v>6967</v>
      </c>
      <c r="J977" s="27">
        <v>26173</v>
      </c>
      <c r="K977" s="27">
        <v>36423</v>
      </c>
      <c r="L977" s="69">
        <v>-28.14</v>
      </c>
      <c r="M977" s="27">
        <v>392633</v>
      </c>
      <c r="N977" s="69">
        <v>0.67</v>
      </c>
      <c r="O977" s="69">
        <v>0.93</v>
      </c>
      <c r="P977" s="69">
        <v>12.7</v>
      </c>
      <c r="Q977" s="27">
        <v>72</v>
      </c>
      <c r="R977" s="69">
        <v>2.0299999999999998</v>
      </c>
      <c r="S977" s="69">
        <v>155.41</v>
      </c>
      <c r="X977" s="2">
        <f t="shared" si="45"/>
        <v>0.28000000000000003</v>
      </c>
      <c r="Y977" s="2">
        <f>SUMIF(收盤價!A:A,A977,收盤價!C:C)</f>
        <v>24.2</v>
      </c>
      <c r="Z977" s="2">
        <f t="shared" si="46"/>
        <v>498643.91</v>
      </c>
      <c r="AA977" s="2">
        <f t="shared" si="47"/>
        <v>950171.86</v>
      </c>
    </row>
    <row r="978" spans="1:27" ht="14.5" customHeight="1">
      <c r="A978" s="7" t="s">
        <v>6361</v>
      </c>
      <c r="B978" s="8" t="s">
        <v>2501</v>
      </c>
      <c r="C978" s="27">
        <v>4280041</v>
      </c>
      <c r="D978" s="27">
        <v>4249443</v>
      </c>
      <c r="E978" s="69">
        <v>0.72</v>
      </c>
      <c r="F978" s="27">
        <v>797266</v>
      </c>
      <c r="G978" s="27">
        <v>740356</v>
      </c>
      <c r="H978" s="27">
        <v>36012</v>
      </c>
      <c r="I978" s="27">
        <v>27573</v>
      </c>
      <c r="J978" s="27">
        <v>679312</v>
      </c>
      <c r="K978" s="27">
        <v>642511</v>
      </c>
      <c r="L978" s="69">
        <v>5.73</v>
      </c>
      <c r="M978" s="27">
        <v>1770120</v>
      </c>
      <c r="N978" s="69">
        <v>3.84</v>
      </c>
      <c r="O978" s="69">
        <v>3.63</v>
      </c>
      <c r="P978" s="69">
        <v>24.01</v>
      </c>
      <c r="Q978" s="27">
        <v>58</v>
      </c>
      <c r="R978" s="69">
        <v>1.6</v>
      </c>
      <c r="S978" s="69">
        <v>94.08</v>
      </c>
      <c r="X978" s="2">
        <f t="shared" si="45"/>
        <v>0.42</v>
      </c>
      <c r="Y978" s="2">
        <f>SUMIF(收盤價!A:A,A978,收盤價!C:C)</f>
        <v>61.4</v>
      </c>
      <c r="Z978" s="2">
        <f t="shared" si="46"/>
        <v>4250058.12</v>
      </c>
      <c r="AA978" s="2">
        <f t="shared" si="47"/>
        <v>10868536.800000001</v>
      </c>
    </row>
    <row r="979" spans="1:27" ht="14.5" customHeight="1">
      <c r="A979" s="7" t="s">
        <v>6362</v>
      </c>
      <c r="B979" s="8" t="s">
        <v>2503</v>
      </c>
      <c r="C979" s="27">
        <v>1882727</v>
      </c>
      <c r="D979" s="27">
        <v>2731237</v>
      </c>
      <c r="E979" s="69">
        <v>-31.07</v>
      </c>
      <c r="F979" s="27">
        <v>-32562</v>
      </c>
      <c r="G979" s="27">
        <v>36152</v>
      </c>
      <c r="H979" s="27">
        <v>539</v>
      </c>
      <c r="I979" s="27">
        <v>90248</v>
      </c>
      <c r="J979" s="27">
        <v>-28202</v>
      </c>
      <c r="K979" s="27">
        <v>120404</v>
      </c>
      <c r="L979" s="69">
        <v>-123.42</v>
      </c>
      <c r="M979" s="27">
        <v>1080107</v>
      </c>
      <c r="N979" s="69">
        <v>-0.26</v>
      </c>
      <c r="O979" s="69">
        <v>1.1100000000000001</v>
      </c>
      <c r="P979" s="69">
        <v>19.399999999999999</v>
      </c>
      <c r="Q979" s="27">
        <v>47</v>
      </c>
      <c r="R979" s="69">
        <v>1.92</v>
      </c>
      <c r="S979" s="69">
        <v>131.91999999999999</v>
      </c>
      <c r="X979" s="2">
        <f t="shared" si="45"/>
        <v>0.53</v>
      </c>
      <c r="Y979" s="2">
        <f>SUMIF(收盤價!A:A,A979,收盤價!C:C)</f>
        <v>12.1</v>
      </c>
      <c r="Z979" s="2">
        <f t="shared" si="46"/>
        <v>2095407.5799999996</v>
      </c>
      <c r="AA979" s="2">
        <f t="shared" si="47"/>
        <v>1306929.47</v>
      </c>
    </row>
    <row r="980" spans="1:27" ht="14.5" customHeight="1">
      <c r="A980" s="7" t="s">
        <v>6363</v>
      </c>
      <c r="B980" s="8" t="s">
        <v>2505</v>
      </c>
      <c r="C980" s="27">
        <v>1376241</v>
      </c>
      <c r="D980" s="27">
        <v>2056050</v>
      </c>
      <c r="E980" s="69">
        <v>-33.06</v>
      </c>
      <c r="F980" s="27">
        <v>1610</v>
      </c>
      <c r="G980" s="27">
        <v>111823</v>
      </c>
      <c r="H980" s="27">
        <v>-4158</v>
      </c>
      <c r="I980" s="27">
        <v>2731</v>
      </c>
      <c r="J980" s="27">
        <v>-12515</v>
      </c>
      <c r="K980" s="27">
        <v>97461</v>
      </c>
      <c r="L980" s="69">
        <v>-112.84</v>
      </c>
      <c r="M980" s="27">
        <v>768803</v>
      </c>
      <c r="N980" s="69">
        <v>-0.16</v>
      </c>
      <c r="O980" s="69">
        <v>1.27</v>
      </c>
      <c r="P980" s="69">
        <v>10.85</v>
      </c>
      <c r="Q980" s="27">
        <v>35</v>
      </c>
      <c r="R980" s="69">
        <v>1.42</v>
      </c>
      <c r="S980" s="69">
        <v>49.49</v>
      </c>
      <c r="X980" s="2">
        <f t="shared" si="45"/>
        <v>0.65</v>
      </c>
      <c r="Y980" s="2">
        <f>SUMIF(收盤價!A:A,A980,收盤價!C:C)</f>
        <v>9.8800000000000008</v>
      </c>
      <c r="Z980" s="2">
        <f t="shared" si="46"/>
        <v>834151.255</v>
      </c>
      <c r="AA980" s="2">
        <f t="shared" si="47"/>
        <v>759577.36400000006</v>
      </c>
    </row>
    <row r="981" spans="1:27" ht="14.5" customHeight="1">
      <c r="A981" s="7" t="s">
        <v>6364</v>
      </c>
      <c r="B981" s="8" t="s">
        <v>2507</v>
      </c>
      <c r="C981" s="27">
        <v>969595</v>
      </c>
      <c r="D981" s="27">
        <v>1018033</v>
      </c>
      <c r="E981" s="69">
        <v>-4.76</v>
      </c>
      <c r="F981" s="27">
        <v>-152307</v>
      </c>
      <c r="G981" s="27">
        <v>-206784</v>
      </c>
      <c r="H981" s="27">
        <v>-20317</v>
      </c>
      <c r="I981" s="27">
        <v>55559</v>
      </c>
      <c r="J981" s="27">
        <v>-175927</v>
      </c>
      <c r="K981" s="27">
        <v>-161352</v>
      </c>
      <c r="L981" s="69">
        <v>-9.0299999999999994</v>
      </c>
      <c r="M981" s="27">
        <v>640000</v>
      </c>
      <c r="N981" s="69">
        <v>-2.75</v>
      </c>
      <c r="O981" s="69">
        <v>-2.52</v>
      </c>
      <c r="P981" s="69">
        <v>19.71</v>
      </c>
      <c r="Q981" s="27">
        <v>63</v>
      </c>
      <c r="R981" s="69">
        <v>1.17</v>
      </c>
      <c r="S981" s="69">
        <v>62.71</v>
      </c>
      <c r="X981" s="2">
        <f t="shared" si="45"/>
        <v>0.37</v>
      </c>
      <c r="Y981" s="2">
        <f>SUMIF(收盤價!A:A,A981,收盤價!C:C)</f>
        <v>30.65</v>
      </c>
      <c r="Z981" s="2">
        <f t="shared" si="46"/>
        <v>1261440</v>
      </c>
      <c r="AA981" s="2">
        <f t="shared" si="47"/>
        <v>1961600</v>
      </c>
    </row>
    <row r="982" spans="1:27" ht="14.5" customHeight="1">
      <c r="A982" s="7" t="s">
        <v>6365</v>
      </c>
      <c r="B982" s="8" t="s">
        <v>2509</v>
      </c>
      <c r="C982" s="27">
        <v>2677510</v>
      </c>
      <c r="D982" s="27">
        <v>2975329</v>
      </c>
      <c r="E982" s="69">
        <v>-10.01</v>
      </c>
      <c r="F982" s="27">
        <v>195268</v>
      </c>
      <c r="G982" s="27">
        <v>265019</v>
      </c>
      <c r="H982" s="27">
        <v>14365</v>
      </c>
      <c r="I982" s="27">
        <v>12025</v>
      </c>
      <c r="J982" s="27">
        <v>163270</v>
      </c>
      <c r="K982" s="27">
        <v>213864</v>
      </c>
      <c r="L982" s="69">
        <v>-23.66</v>
      </c>
      <c r="M982" s="27">
        <v>761524</v>
      </c>
      <c r="N982" s="69">
        <v>2.14</v>
      </c>
      <c r="O982" s="69">
        <v>2.81</v>
      </c>
      <c r="P982" s="69">
        <v>17.809999999999999</v>
      </c>
      <c r="Q982" s="27">
        <v>52</v>
      </c>
      <c r="R982" s="69">
        <v>2.1800000000000002</v>
      </c>
      <c r="S982" s="69">
        <v>168.86</v>
      </c>
      <c r="X982" s="2">
        <f t="shared" si="45"/>
        <v>0.48</v>
      </c>
      <c r="Y982" s="2">
        <f>SUMIF(收盤價!A:A,A982,收盤價!C:C)</f>
        <v>24.3</v>
      </c>
      <c r="Z982" s="2">
        <f t="shared" si="46"/>
        <v>1356274.2439999999</v>
      </c>
      <c r="AA982" s="2">
        <f t="shared" si="47"/>
        <v>1850503.3199999998</v>
      </c>
    </row>
    <row r="983" spans="1:27" ht="14.5" customHeight="1">
      <c r="A983" s="7" t="s">
        <v>6366</v>
      </c>
      <c r="B983" s="8" t="s">
        <v>2511</v>
      </c>
      <c r="C983" s="27">
        <v>2835826</v>
      </c>
      <c r="D983" s="27">
        <v>2812876</v>
      </c>
      <c r="E983" s="69">
        <v>0.82</v>
      </c>
      <c r="F983" s="27">
        <v>312731</v>
      </c>
      <c r="G983" s="27">
        <v>387612</v>
      </c>
      <c r="H983" s="27">
        <v>-4598</v>
      </c>
      <c r="I983" s="27">
        <v>-9206</v>
      </c>
      <c r="J983" s="27">
        <v>234338</v>
      </c>
      <c r="K983" s="27">
        <v>277860</v>
      </c>
      <c r="L983" s="69">
        <v>-15.66</v>
      </c>
      <c r="M983" s="27">
        <v>765143</v>
      </c>
      <c r="N983" s="69">
        <v>3.06</v>
      </c>
      <c r="O983" s="69">
        <v>3.63</v>
      </c>
      <c r="P983" s="69">
        <v>26.02</v>
      </c>
      <c r="Q983" s="27">
        <v>50</v>
      </c>
      <c r="R983" s="69">
        <v>1.43</v>
      </c>
      <c r="S983" s="69">
        <v>106.94</v>
      </c>
      <c r="X983" s="2">
        <f t="shared" si="45"/>
        <v>0.5</v>
      </c>
      <c r="Y983" s="2">
        <f>SUMIF(收盤價!A:A,A983,收盤價!C:C)</f>
        <v>49</v>
      </c>
      <c r="Z983" s="2">
        <f t="shared" si="46"/>
        <v>1990902.0859999999</v>
      </c>
      <c r="AA983" s="2">
        <f t="shared" si="47"/>
        <v>3749200.7</v>
      </c>
    </row>
    <row r="984" spans="1:27" ht="14.5" customHeight="1">
      <c r="A984" s="7" t="s">
        <v>6367</v>
      </c>
      <c r="B984" s="8" t="s">
        <v>2515</v>
      </c>
      <c r="C984" s="27">
        <v>29108</v>
      </c>
      <c r="D984" s="27">
        <v>36546</v>
      </c>
      <c r="E984" s="69">
        <v>-20.350000000000001</v>
      </c>
      <c r="F984" s="27">
        <v>-14762</v>
      </c>
      <c r="G984" s="27">
        <v>-16425</v>
      </c>
      <c r="H984" s="27">
        <v>-1923</v>
      </c>
      <c r="I984" s="27">
        <v>22663</v>
      </c>
      <c r="J984" s="27">
        <v>-17590</v>
      </c>
      <c r="K984" s="27">
        <v>4853</v>
      </c>
      <c r="L984" s="69">
        <v>-462.46</v>
      </c>
      <c r="M984" s="27">
        <v>461723</v>
      </c>
      <c r="N984" s="69">
        <v>-0.38</v>
      </c>
      <c r="O984" s="69">
        <v>0.11</v>
      </c>
      <c r="P984" s="69">
        <v>6.37</v>
      </c>
      <c r="Q984" s="27">
        <v>86</v>
      </c>
      <c r="R984" s="69">
        <v>17.350000000000001</v>
      </c>
      <c r="S984" s="69">
        <v>1660.63</v>
      </c>
      <c r="X984" s="2">
        <f t="shared" si="45"/>
        <v>0.14000000000000001</v>
      </c>
      <c r="Y984" s="2">
        <f>SUMIF(收盤價!A:A,A984,收盤價!C:C)</f>
        <v>9</v>
      </c>
      <c r="Z984" s="2">
        <f t="shared" si="46"/>
        <v>294117.55100000004</v>
      </c>
      <c r="AA984" s="2">
        <f t="shared" si="47"/>
        <v>415550.7</v>
      </c>
    </row>
    <row r="985" spans="1:27" ht="14.5" customHeight="1">
      <c r="A985" s="7" t="s">
        <v>6368</v>
      </c>
      <c r="B985" s="8" t="s">
        <v>2517</v>
      </c>
      <c r="C985" s="27">
        <v>3356940</v>
      </c>
      <c r="D985" s="27">
        <v>3902498</v>
      </c>
      <c r="E985" s="69">
        <v>-13.98</v>
      </c>
      <c r="F985" s="27">
        <v>37758</v>
      </c>
      <c r="G985" s="27">
        <v>82890</v>
      </c>
      <c r="H985" s="27">
        <v>-10164</v>
      </c>
      <c r="I985" s="27">
        <v>27153</v>
      </c>
      <c r="J985" s="27">
        <v>18618</v>
      </c>
      <c r="K985" s="27">
        <v>94668</v>
      </c>
      <c r="L985" s="69">
        <v>-80.33</v>
      </c>
      <c r="M985" s="27">
        <v>1584341</v>
      </c>
      <c r="N985" s="69">
        <v>0.12</v>
      </c>
      <c r="O985" s="69">
        <v>0.6</v>
      </c>
      <c r="P985" s="69">
        <v>15.26</v>
      </c>
      <c r="Q985" s="27">
        <v>46</v>
      </c>
      <c r="R985" s="69">
        <v>1.92</v>
      </c>
      <c r="S985" s="69">
        <v>131.30000000000001</v>
      </c>
      <c r="X985" s="2">
        <f t="shared" si="45"/>
        <v>0.54</v>
      </c>
      <c r="Y985" s="2">
        <f>SUMIF(收盤價!A:A,A985,收盤價!C:C)</f>
        <v>11.7</v>
      </c>
      <c r="Z985" s="2">
        <f t="shared" si="46"/>
        <v>2417704.3659999999</v>
      </c>
      <c r="AA985" s="2">
        <f t="shared" si="47"/>
        <v>1853678.97</v>
      </c>
    </row>
    <row r="986" spans="1:27" ht="14.5" customHeight="1">
      <c r="A986" s="7" t="s">
        <v>6369</v>
      </c>
      <c r="B986" s="8" t="s">
        <v>2519</v>
      </c>
      <c r="C986" s="27">
        <v>1293587</v>
      </c>
      <c r="D986" s="27">
        <v>1553690</v>
      </c>
      <c r="E986" s="69">
        <v>-16.739999999999998</v>
      </c>
      <c r="F986" s="27">
        <v>-25396</v>
      </c>
      <c r="G986" s="27">
        <v>-3253</v>
      </c>
      <c r="H986" s="27">
        <v>-641</v>
      </c>
      <c r="I986" s="27">
        <v>3278</v>
      </c>
      <c r="J986" s="27">
        <v>-20449</v>
      </c>
      <c r="K986" s="27">
        <v>-10629</v>
      </c>
      <c r="L986" s="69">
        <v>-92.39</v>
      </c>
      <c r="M986" s="27">
        <v>891939</v>
      </c>
      <c r="N986" s="69">
        <v>-0.24</v>
      </c>
      <c r="O986" s="69">
        <v>-0.12</v>
      </c>
      <c r="P986" s="69">
        <v>10.9</v>
      </c>
      <c r="Q986" s="27">
        <v>55</v>
      </c>
      <c r="R986" s="69">
        <v>1.58</v>
      </c>
      <c r="S986" s="69">
        <v>108.8</v>
      </c>
      <c r="X986" s="2">
        <f t="shared" si="45"/>
        <v>0.45</v>
      </c>
      <c r="Y986" s="2">
        <f>SUMIF(收盤價!A:A,A986,收盤價!C:C)</f>
        <v>8.39</v>
      </c>
      <c r="Z986" s="2">
        <f t="shared" si="46"/>
        <v>972213.51</v>
      </c>
      <c r="AA986" s="2">
        <f t="shared" si="47"/>
        <v>748336.82100000011</v>
      </c>
    </row>
    <row r="987" spans="1:27" ht="14.5" customHeight="1">
      <c r="A987" s="7" t="s">
        <v>6370</v>
      </c>
      <c r="B987" s="8" t="s">
        <v>2521</v>
      </c>
      <c r="C987" s="27">
        <v>2342201</v>
      </c>
      <c r="D987" s="27">
        <v>2886839</v>
      </c>
      <c r="E987" s="69">
        <v>-18.87</v>
      </c>
      <c r="F987" s="27">
        <v>148422</v>
      </c>
      <c r="G987" s="27">
        <v>179718</v>
      </c>
      <c r="H987" s="27">
        <v>32389</v>
      </c>
      <c r="I987" s="27">
        <v>25650</v>
      </c>
      <c r="J987" s="27">
        <v>55371</v>
      </c>
      <c r="K987" s="27">
        <v>97192</v>
      </c>
      <c r="L987" s="69">
        <v>-43.03</v>
      </c>
      <c r="M987" s="27">
        <v>756617</v>
      </c>
      <c r="N987" s="69">
        <v>0.73</v>
      </c>
      <c r="O987" s="69">
        <v>1.28</v>
      </c>
      <c r="P987" s="69">
        <v>28.78</v>
      </c>
      <c r="Q987" s="27">
        <v>77</v>
      </c>
      <c r="R987" s="69">
        <v>4.67</v>
      </c>
      <c r="S987" s="69">
        <v>365.67</v>
      </c>
      <c r="X987" s="2">
        <f t="shared" si="45"/>
        <v>0.23</v>
      </c>
      <c r="Y987" s="2">
        <f>SUMIF(收盤價!A:A,A987,收盤價!C:C)</f>
        <v>27.75</v>
      </c>
      <c r="Z987" s="2">
        <f t="shared" si="46"/>
        <v>2177543.7260000003</v>
      </c>
      <c r="AA987" s="2">
        <f t="shared" si="47"/>
        <v>2099612.1749999998</v>
      </c>
    </row>
    <row r="988" spans="1:27" ht="14.5" customHeight="1">
      <c r="A988" s="7" t="s">
        <v>6064</v>
      </c>
      <c r="B988" s="8" t="s">
        <v>2523</v>
      </c>
      <c r="C988" s="27">
        <v>433351</v>
      </c>
      <c r="D988" s="27">
        <v>689548</v>
      </c>
      <c r="E988" s="69">
        <v>-37.15</v>
      </c>
      <c r="F988" s="27">
        <v>54730</v>
      </c>
      <c r="G988" s="27">
        <v>100169</v>
      </c>
      <c r="H988" s="27">
        <v>3176</v>
      </c>
      <c r="I988" s="27">
        <v>-2124</v>
      </c>
      <c r="J988" s="27">
        <v>46022</v>
      </c>
      <c r="K988" s="27">
        <v>79232</v>
      </c>
      <c r="L988" s="69">
        <v>-41.91</v>
      </c>
      <c r="M988" s="27">
        <v>476000</v>
      </c>
      <c r="N988" s="69">
        <v>0.97</v>
      </c>
      <c r="O988" s="69">
        <v>1.89</v>
      </c>
      <c r="P988" s="69">
        <v>14.23</v>
      </c>
      <c r="Q988" s="27">
        <v>86</v>
      </c>
      <c r="R988" s="69">
        <v>7.16</v>
      </c>
      <c r="S988" s="69">
        <v>636.16</v>
      </c>
      <c r="X988" s="2">
        <f t="shared" si="45"/>
        <v>0.14000000000000001</v>
      </c>
      <c r="Y988" s="2">
        <f>SUMIF(收盤價!A:A,A988,收盤價!C:C)</f>
        <v>37.61</v>
      </c>
      <c r="Z988" s="2">
        <f t="shared" si="46"/>
        <v>677348</v>
      </c>
      <c r="AA988" s="2">
        <f t="shared" si="47"/>
        <v>1790236</v>
      </c>
    </row>
    <row r="989" spans="1:27" ht="14.5" customHeight="1">
      <c r="A989" s="7" t="s">
        <v>6371</v>
      </c>
      <c r="B989" s="8" t="s">
        <v>2529</v>
      </c>
      <c r="C989" s="27">
        <v>918276</v>
      </c>
      <c r="D989" s="27">
        <v>1059003</v>
      </c>
      <c r="E989" s="69">
        <v>-13.29</v>
      </c>
      <c r="F989" s="27">
        <v>25034</v>
      </c>
      <c r="G989" s="27">
        <v>103927</v>
      </c>
      <c r="H989" s="27">
        <v>2658</v>
      </c>
      <c r="I989" s="27">
        <v>26316</v>
      </c>
      <c r="J989" s="27">
        <v>18327</v>
      </c>
      <c r="K989" s="27">
        <v>104225</v>
      </c>
      <c r="L989" s="69">
        <v>-82.42</v>
      </c>
      <c r="M989" s="27">
        <v>569700</v>
      </c>
      <c r="N989" s="69">
        <v>0.32</v>
      </c>
      <c r="O989" s="69">
        <v>1.83</v>
      </c>
      <c r="P989" s="69">
        <v>26.62</v>
      </c>
      <c r="Q989" s="27">
        <v>71</v>
      </c>
      <c r="R989" s="69">
        <v>2.2799999999999998</v>
      </c>
      <c r="S989" s="69">
        <v>172.01</v>
      </c>
      <c r="X989" s="2">
        <f t="shared" si="45"/>
        <v>0.28999999999999998</v>
      </c>
      <c r="Y989" s="2">
        <f>SUMIF(收盤價!A:A,A989,收盤價!C:C)</f>
        <v>18.350000000000001</v>
      </c>
      <c r="Z989" s="2">
        <f t="shared" si="46"/>
        <v>1516541.4</v>
      </c>
      <c r="AA989" s="2">
        <f t="shared" si="47"/>
        <v>1045399.5</v>
      </c>
    </row>
    <row r="990" spans="1:27" ht="14.5" customHeight="1">
      <c r="A990" s="7" t="s">
        <v>6372</v>
      </c>
      <c r="B990" s="8" t="s">
        <v>2531</v>
      </c>
      <c r="C990" s="27">
        <v>1109808</v>
      </c>
      <c r="D990" s="27">
        <v>1094038</v>
      </c>
      <c r="E990" s="69">
        <v>1.44</v>
      </c>
      <c r="F990" s="27">
        <v>268409</v>
      </c>
      <c r="G990" s="27">
        <v>260313</v>
      </c>
      <c r="H990" s="27">
        <v>26709</v>
      </c>
      <c r="I990" s="27">
        <v>37044</v>
      </c>
      <c r="J990" s="27">
        <v>214009</v>
      </c>
      <c r="K990" s="27">
        <v>215603</v>
      </c>
      <c r="L990" s="69">
        <v>-0.74</v>
      </c>
      <c r="M990" s="27">
        <v>423837</v>
      </c>
      <c r="N990" s="69">
        <v>5.1100000000000003</v>
      </c>
      <c r="O990" s="69">
        <v>5.0999999999999996</v>
      </c>
      <c r="P990" s="69">
        <v>32.51</v>
      </c>
      <c r="Q990" s="27">
        <v>81</v>
      </c>
      <c r="R990" s="69">
        <v>4.12</v>
      </c>
      <c r="S990" s="69">
        <v>338.99</v>
      </c>
      <c r="X990" s="2">
        <f t="shared" si="45"/>
        <v>0.19</v>
      </c>
      <c r="Y990" s="2">
        <f>SUMIF(收盤價!A:A,A990,收盤價!C:C)</f>
        <v>87.9</v>
      </c>
      <c r="Z990" s="2">
        <f t="shared" si="46"/>
        <v>1377894.0869999998</v>
      </c>
      <c r="AA990" s="2">
        <f t="shared" si="47"/>
        <v>3725527.2300000004</v>
      </c>
    </row>
    <row r="991" spans="1:27" ht="14.5" customHeight="1">
      <c r="A991" s="7" t="s">
        <v>6373</v>
      </c>
      <c r="B991" s="8" t="s">
        <v>2533</v>
      </c>
      <c r="C991" s="27">
        <v>1153747</v>
      </c>
      <c r="D991" s="27">
        <v>1203324</v>
      </c>
      <c r="E991" s="69">
        <v>-4.12</v>
      </c>
      <c r="F991" s="27">
        <v>121056</v>
      </c>
      <c r="G991" s="27">
        <v>57331</v>
      </c>
      <c r="H991" s="27">
        <v>8319</v>
      </c>
      <c r="I991" s="27">
        <v>8617</v>
      </c>
      <c r="J991" s="27">
        <v>103046</v>
      </c>
      <c r="K991" s="27">
        <v>53043</v>
      </c>
      <c r="L991" s="69">
        <v>94.27</v>
      </c>
      <c r="M991" s="27">
        <v>370968</v>
      </c>
      <c r="N991" s="69">
        <v>2.8</v>
      </c>
      <c r="O991" s="69">
        <v>1.51</v>
      </c>
      <c r="P991" s="69">
        <v>21.62</v>
      </c>
      <c r="Q991" s="27">
        <v>47</v>
      </c>
      <c r="R991" s="69">
        <v>1.32</v>
      </c>
      <c r="S991" s="69">
        <v>132.28</v>
      </c>
      <c r="X991" s="2">
        <f t="shared" si="45"/>
        <v>0.53</v>
      </c>
      <c r="Y991" s="2">
        <f>SUMIF(收盤價!A:A,A991,收盤價!C:C)</f>
        <v>27.4</v>
      </c>
      <c r="Z991" s="2">
        <f t="shared" si="46"/>
        <v>802032.81599999999</v>
      </c>
      <c r="AA991" s="2">
        <f t="shared" si="47"/>
        <v>1016452.32</v>
      </c>
    </row>
    <row r="992" spans="1:27" ht="14.5" customHeight="1">
      <c r="A992" s="7" t="s">
        <v>6374</v>
      </c>
      <c r="B992" s="8" t="s">
        <v>2539</v>
      </c>
      <c r="C992" s="27">
        <v>707898</v>
      </c>
      <c r="D992" s="27">
        <v>978701</v>
      </c>
      <c r="E992" s="69">
        <v>-27.67</v>
      </c>
      <c r="F992" s="27">
        <v>53469</v>
      </c>
      <c r="G992" s="27">
        <v>149130</v>
      </c>
      <c r="H992" s="27">
        <v>-21480</v>
      </c>
      <c r="I992" s="27">
        <v>-17259</v>
      </c>
      <c r="J992" s="27">
        <v>25593</v>
      </c>
      <c r="K992" s="27">
        <v>108269</v>
      </c>
      <c r="L992" s="69">
        <v>-76.36</v>
      </c>
      <c r="M992" s="27">
        <v>585216</v>
      </c>
      <c r="N992" s="69">
        <v>0.44</v>
      </c>
      <c r="O992" s="69">
        <v>1.92</v>
      </c>
      <c r="P992" s="69">
        <v>15.8</v>
      </c>
      <c r="Q992" s="27">
        <v>55</v>
      </c>
      <c r="R992" s="69">
        <v>2.5099999999999998</v>
      </c>
      <c r="S992" s="69">
        <v>137.22</v>
      </c>
      <c r="X992" s="2">
        <f t="shared" si="45"/>
        <v>0.45</v>
      </c>
      <c r="Y992" s="2">
        <f>SUMIF(收盤價!A:A,A992,收盤價!C:C)</f>
        <v>24.5</v>
      </c>
      <c r="Z992" s="2">
        <f t="shared" si="46"/>
        <v>924641.28000000003</v>
      </c>
      <c r="AA992" s="2">
        <f t="shared" si="47"/>
        <v>1433779.2</v>
      </c>
    </row>
    <row r="993" spans="1:27" ht="14.5" customHeight="1">
      <c r="A993" s="7" t="s">
        <v>6375</v>
      </c>
      <c r="B993" s="8" t="s">
        <v>2541</v>
      </c>
      <c r="C993" s="27">
        <v>1915076</v>
      </c>
      <c r="D993" s="27">
        <v>2018851</v>
      </c>
      <c r="E993" s="69">
        <v>-5.14</v>
      </c>
      <c r="F993" s="27">
        <v>-81042</v>
      </c>
      <c r="G993" s="27">
        <v>135760</v>
      </c>
      <c r="H993" s="27">
        <v>-30999</v>
      </c>
      <c r="I993" s="27">
        <v>15176</v>
      </c>
      <c r="J993" s="27">
        <v>-90831</v>
      </c>
      <c r="K993" s="27">
        <v>121450</v>
      </c>
      <c r="L993" s="69">
        <v>-174.79</v>
      </c>
      <c r="M993" s="27">
        <v>449500</v>
      </c>
      <c r="N993" s="69">
        <v>-2.23</v>
      </c>
      <c r="O993" s="69">
        <v>3.24</v>
      </c>
      <c r="P993" s="69">
        <v>29.7</v>
      </c>
      <c r="Q993" s="27">
        <v>28</v>
      </c>
      <c r="R993" s="69">
        <v>1.34</v>
      </c>
      <c r="S993" s="69">
        <v>75.349999999999994</v>
      </c>
      <c r="X993" s="2">
        <f t="shared" si="45"/>
        <v>0.72</v>
      </c>
      <c r="Y993" s="2">
        <f>SUMIF(收盤價!A:A,A993,收盤價!C:C)</f>
        <v>46.85</v>
      </c>
      <c r="Z993" s="2">
        <f t="shared" si="46"/>
        <v>1335015</v>
      </c>
      <c r="AA993" s="2">
        <f t="shared" si="47"/>
        <v>2105907.5</v>
      </c>
    </row>
    <row r="994" spans="1:27" ht="14.5" customHeight="1">
      <c r="A994" s="7" t="s">
        <v>6376</v>
      </c>
      <c r="B994" s="8" t="s">
        <v>2543</v>
      </c>
      <c r="C994" s="27">
        <v>1123497</v>
      </c>
      <c r="D994" s="27">
        <v>1223036</v>
      </c>
      <c r="E994" s="69">
        <v>-8.14</v>
      </c>
      <c r="F994" s="27">
        <v>149764</v>
      </c>
      <c r="G994" s="27">
        <v>202734</v>
      </c>
      <c r="H994" s="27">
        <v>32372</v>
      </c>
      <c r="I994" s="27">
        <v>27696</v>
      </c>
      <c r="J994" s="27">
        <v>136491</v>
      </c>
      <c r="K994" s="27">
        <v>160361</v>
      </c>
      <c r="L994" s="69">
        <v>-14.89</v>
      </c>
      <c r="M994" s="27">
        <v>303350</v>
      </c>
      <c r="N994" s="69">
        <v>4.58</v>
      </c>
      <c r="O994" s="69">
        <v>5.79</v>
      </c>
      <c r="P994" s="69">
        <v>34.14</v>
      </c>
      <c r="Q994" s="27">
        <v>66</v>
      </c>
      <c r="R994" s="69">
        <v>2.88</v>
      </c>
      <c r="S994" s="69">
        <v>256.67</v>
      </c>
      <c r="X994" s="2">
        <f t="shared" si="45"/>
        <v>0.34</v>
      </c>
      <c r="Y994" s="2">
        <f>SUMIF(收盤價!A:A,A994,收盤價!C:C)</f>
        <v>64.5</v>
      </c>
      <c r="Z994" s="2">
        <f t="shared" si="46"/>
        <v>1035636.9</v>
      </c>
      <c r="AA994" s="2">
        <f t="shared" si="47"/>
        <v>1956607.5</v>
      </c>
    </row>
    <row r="995" spans="1:27" ht="14.5" customHeight="1">
      <c r="A995" s="7" t="s">
        <v>6075</v>
      </c>
      <c r="B995" s="8" t="s">
        <v>2545</v>
      </c>
      <c r="C995" s="27">
        <v>2351701</v>
      </c>
      <c r="D995" s="27">
        <v>1835007</v>
      </c>
      <c r="E995" s="69">
        <v>28.16</v>
      </c>
      <c r="F995" s="27">
        <v>404432</v>
      </c>
      <c r="G995" s="27">
        <v>284422</v>
      </c>
      <c r="H995" s="27">
        <v>-15754</v>
      </c>
      <c r="I995" s="27">
        <v>-10754</v>
      </c>
      <c r="J995" s="27">
        <v>284698</v>
      </c>
      <c r="K995" s="27">
        <v>195146</v>
      </c>
      <c r="L995" s="69">
        <v>45.89</v>
      </c>
      <c r="M995" s="27">
        <v>361210</v>
      </c>
      <c r="N995" s="69">
        <v>8</v>
      </c>
      <c r="O995" s="69">
        <v>5.83</v>
      </c>
      <c r="P995" s="69">
        <v>33.200000000000003</v>
      </c>
      <c r="Q995" s="27">
        <v>46</v>
      </c>
      <c r="R995" s="69">
        <v>1.36</v>
      </c>
      <c r="S995" s="69">
        <v>79.34</v>
      </c>
      <c r="X995" s="2">
        <f t="shared" si="45"/>
        <v>0.54</v>
      </c>
      <c r="Y995" s="2">
        <f>SUMIF(收盤價!A:A,A995,收盤價!C:C)</f>
        <v>115.72</v>
      </c>
      <c r="Z995" s="2">
        <f t="shared" si="46"/>
        <v>1199217.2000000002</v>
      </c>
      <c r="AA995" s="2">
        <f t="shared" si="47"/>
        <v>4179922.12</v>
      </c>
    </row>
    <row r="996" spans="1:27" ht="14.5" customHeight="1">
      <c r="A996" s="7" t="s">
        <v>6377</v>
      </c>
      <c r="B996" s="8" t="s">
        <v>2901</v>
      </c>
      <c r="C996" s="27">
        <v>1925979</v>
      </c>
      <c r="D996" s="27">
        <v>2006559</v>
      </c>
      <c r="E996" s="69">
        <v>-4.0199999999999996</v>
      </c>
      <c r="F996" s="27">
        <v>45239</v>
      </c>
      <c r="G996" s="27">
        <v>5343</v>
      </c>
      <c r="H996" s="27">
        <v>142158</v>
      </c>
      <c r="I996" s="27">
        <v>19290</v>
      </c>
      <c r="J996" s="27">
        <v>167986</v>
      </c>
      <c r="K996" s="27">
        <v>13818</v>
      </c>
      <c r="L996" s="28" t="s">
        <v>6378</v>
      </c>
      <c r="M996" s="27">
        <v>687291</v>
      </c>
      <c r="N996" s="69">
        <v>2.44</v>
      </c>
      <c r="O996" s="69">
        <v>0.2</v>
      </c>
      <c r="P996" s="69">
        <v>16.670000000000002</v>
      </c>
      <c r="Q996" s="27">
        <v>55</v>
      </c>
      <c r="R996" s="69">
        <v>2.04</v>
      </c>
      <c r="S996" s="69">
        <v>173.26</v>
      </c>
      <c r="X996" s="2">
        <f t="shared" si="45"/>
        <v>0.45</v>
      </c>
      <c r="Y996" s="2">
        <f>SUMIF(收盤價!A:A,A996,收盤價!C:C)</f>
        <v>12.85</v>
      </c>
      <c r="Z996" s="2">
        <f t="shared" si="46"/>
        <v>1145714.0970000001</v>
      </c>
      <c r="AA996" s="2">
        <f t="shared" si="47"/>
        <v>883168.93499999994</v>
      </c>
    </row>
    <row r="997" spans="1:27" ht="14.5" customHeight="1">
      <c r="A997" s="7" t="s">
        <v>6116</v>
      </c>
      <c r="B997" s="8" t="s">
        <v>3091</v>
      </c>
      <c r="C997" s="27">
        <v>1434701</v>
      </c>
      <c r="D997" s="27">
        <v>1953244</v>
      </c>
      <c r="E997" s="69">
        <v>-26.55</v>
      </c>
      <c r="F997" s="27">
        <v>-145474</v>
      </c>
      <c r="G997" s="27">
        <v>175512</v>
      </c>
      <c r="H997" s="27">
        <v>-7002</v>
      </c>
      <c r="I997" s="27">
        <v>37422</v>
      </c>
      <c r="J997" s="27">
        <v>-140018</v>
      </c>
      <c r="K997" s="27">
        <v>164413</v>
      </c>
      <c r="L997" s="69">
        <v>-185.16</v>
      </c>
      <c r="M997" s="27">
        <v>425370</v>
      </c>
      <c r="N997" s="69">
        <v>-3.33</v>
      </c>
      <c r="O997" s="69">
        <v>4.3899999999999997</v>
      </c>
      <c r="P997" s="69">
        <v>24.9</v>
      </c>
      <c r="Q997" s="27">
        <v>53</v>
      </c>
      <c r="R997" s="69">
        <v>1.46</v>
      </c>
      <c r="S997" s="69">
        <v>100.63</v>
      </c>
      <c r="X997" s="2">
        <f t="shared" si="45"/>
        <v>0.47</v>
      </c>
      <c r="Y997" s="2">
        <f>SUMIF(收盤價!A:A,A997,收盤價!C:C)</f>
        <v>74.010000000000005</v>
      </c>
      <c r="Z997" s="2">
        <f t="shared" si="46"/>
        <v>1059171.3</v>
      </c>
      <c r="AA997" s="2">
        <f t="shared" si="47"/>
        <v>3148163.37</v>
      </c>
    </row>
    <row r="998" spans="1:27" ht="14.5" customHeight="1">
      <c r="A998" s="7" t="s">
        <v>6379</v>
      </c>
      <c r="B998" s="8" t="s">
        <v>3199</v>
      </c>
      <c r="C998" s="27">
        <v>3309608</v>
      </c>
      <c r="D998" s="27">
        <v>3466788</v>
      </c>
      <c r="E998" s="69">
        <v>-4.53</v>
      </c>
      <c r="F998" s="27">
        <v>4697</v>
      </c>
      <c r="G998" s="27">
        <v>155048</v>
      </c>
      <c r="H998" s="27">
        <v>35652</v>
      </c>
      <c r="I998" s="27">
        <v>71846</v>
      </c>
      <c r="J998" s="27">
        <v>14527</v>
      </c>
      <c r="K998" s="27">
        <v>100082</v>
      </c>
      <c r="L998" s="69">
        <v>-85.48</v>
      </c>
      <c r="M998" s="27">
        <v>1476488</v>
      </c>
      <c r="N998" s="69">
        <v>0.1</v>
      </c>
      <c r="O998" s="69">
        <v>0.69</v>
      </c>
      <c r="P998" s="69">
        <v>13.55</v>
      </c>
      <c r="Q998" s="27">
        <v>35</v>
      </c>
      <c r="R998" s="69">
        <v>1.66</v>
      </c>
      <c r="S998" s="69">
        <v>110.56</v>
      </c>
      <c r="X998" s="2">
        <f t="shared" si="45"/>
        <v>0.65</v>
      </c>
      <c r="Y998" s="2">
        <f>SUMIF(收盤價!A:A,A998,收盤價!C:C)</f>
        <v>10.8</v>
      </c>
      <c r="Z998" s="2">
        <f t="shared" si="46"/>
        <v>2000641.2400000002</v>
      </c>
      <c r="AA998" s="2">
        <f t="shared" si="47"/>
        <v>1594607.04</v>
      </c>
    </row>
    <row r="999" spans="1:27" ht="14.5" customHeight="1">
      <c r="A999" s="7" t="s">
        <v>6380</v>
      </c>
      <c r="B999" s="8" t="s">
        <v>3201</v>
      </c>
      <c r="C999" s="27">
        <v>2646506</v>
      </c>
      <c r="D999" s="27">
        <v>3302009</v>
      </c>
      <c r="E999" s="69">
        <v>-19.850000000000001</v>
      </c>
      <c r="F999" s="27">
        <v>223942</v>
      </c>
      <c r="G999" s="27">
        <v>336543</v>
      </c>
      <c r="H999" s="27">
        <v>-29637</v>
      </c>
      <c r="I999" s="27">
        <v>54443</v>
      </c>
      <c r="J999" s="27">
        <v>134835</v>
      </c>
      <c r="K999" s="27">
        <v>290912</v>
      </c>
      <c r="L999" s="69">
        <v>-53.65</v>
      </c>
      <c r="M999" s="27">
        <v>724562</v>
      </c>
      <c r="N999" s="69">
        <v>1.86</v>
      </c>
      <c r="O999" s="69">
        <v>4.0199999999999996</v>
      </c>
      <c r="P999" s="69">
        <v>29.49</v>
      </c>
      <c r="Q999" s="27">
        <v>54</v>
      </c>
      <c r="R999" s="69">
        <v>2.14</v>
      </c>
      <c r="S999" s="69">
        <v>135.03</v>
      </c>
      <c r="X999" s="2">
        <f t="shared" si="45"/>
        <v>0.46</v>
      </c>
      <c r="Y999" s="2">
        <f>SUMIF(收盤價!A:A,A999,收盤價!C:C)</f>
        <v>28.15</v>
      </c>
      <c r="Z999" s="2">
        <f t="shared" si="46"/>
        <v>2136733.338</v>
      </c>
      <c r="AA999" s="2">
        <f t="shared" si="47"/>
        <v>2039642.03</v>
      </c>
    </row>
    <row r="1000" spans="1:27" ht="14.5" customHeight="1">
      <c r="A1000" s="7" t="s">
        <v>6381</v>
      </c>
      <c r="B1000" s="8" t="s">
        <v>3249</v>
      </c>
      <c r="C1000" s="27">
        <v>1468944</v>
      </c>
      <c r="D1000" s="27">
        <v>2051365</v>
      </c>
      <c r="E1000" s="69">
        <v>-28.39</v>
      </c>
      <c r="F1000" s="27">
        <v>-103811</v>
      </c>
      <c r="G1000" s="27">
        <v>86726</v>
      </c>
      <c r="H1000" s="27">
        <v>10409</v>
      </c>
      <c r="I1000" s="27">
        <v>11364</v>
      </c>
      <c r="J1000" s="27">
        <v>-80860</v>
      </c>
      <c r="K1000" s="27">
        <v>100215</v>
      </c>
      <c r="L1000" s="69">
        <v>-180.69</v>
      </c>
      <c r="M1000" s="27">
        <v>814617</v>
      </c>
      <c r="N1000" s="69">
        <v>-1.01</v>
      </c>
      <c r="O1000" s="69">
        <v>1.24</v>
      </c>
      <c r="P1000" s="69">
        <v>13.26</v>
      </c>
      <c r="Q1000" s="27">
        <v>47</v>
      </c>
      <c r="R1000" s="69">
        <v>2.85</v>
      </c>
      <c r="S1000" s="69">
        <v>161.61000000000001</v>
      </c>
      <c r="X1000" s="2">
        <f t="shared" si="45"/>
        <v>0.53</v>
      </c>
      <c r="Y1000" s="2">
        <f>SUMIF(收盤價!A:A,A1000,收盤價!C:C)</f>
        <v>33.200000000000003</v>
      </c>
      <c r="Z1000" s="2">
        <f t="shared" si="46"/>
        <v>1080182.142</v>
      </c>
      <c r="AA1000" s="2">
        <f t="shared" si="47"/>
        <v>2704528.4400000004</v>
      </c>
    </row>
    <row r="1001" spans="1:27" ht="14.5" customHeight="1">
      <c r="A1001" s="7" t="s">
        <v>6382</v>
      </c>
      <c r="B1001" s="8" t="s">
        <v>3297</v>
      </c>
      <c r="C1001" s="27">
        <v>1469489</v>
      </c>
      <c r="D1001" s="27">
        <v>1378057</v>
      </c>
      <c r="E1001" s="69">
        <v>6.63</v>
      </c>
      <c r="F1001" s="27">
        <v>402945</v>
      </c>
      <c r="G1001" s="27">
        <v>361775</v>
      </c>
      <c r="H1001" s="27">
        <v>-6380</v>
      </c>
      <c r="I1001" s="27">
        <v>17760</v>
      </c>
      <c r="J1001" s="27">
        <v>316181</v>
      </c>
      <c r="K1001" s="27">
        <v>304425</v>
      </c>
      <c r="L1001" s="69">
        <v>3.86</v>
      </c>
      <c r="M1001" s="27">
        <v>351332</v>
      </c>
      <c r="N1001" s="69">
        <v>9</v>
      </c>
      <c r="O1001" s="69">
        <v>8.66</v>
      </c>
      <c r="P1001" s="69">
        <v>33.119999999999997</v>
      </c>
      <c r="Q1001" s="27">
        <v>68</v>
      </c>
      <c r="R1001" s="69">
        <v>1.57</v>
      </c>
      <c r="S1001" s="69">
        <v>95.43</v>
      </c>
      <c r="X1001" s="2">
        <f t="shared" si="45"/>
        <v>0.32</v>
      </c>
      <c r="Y1001" s="2">
        <f>SUMIF(收盤價!A:A,A1001,收盤價!C:C)</f>
        <v>145</v>
      </c>
      <c r="Z1001" s="2">
        <f t="shared" si="46"/>
        <v>1163611.584</v>
      </c>
      <c r="AA1001" s="2">
        <f t="shared" si="47"/>
        <v>5094314</v>
      </c>
    </row>
    <row r="1002" spans="1:27" ht="14.5" customHeight="1">
      <c r="A1002" s="7" t="s">
        <v>6383</v>
      </c>
      <c r="B1002" s="8" t="s">
        <v>3321</v>
      </c>
      <c r="C1002" s="27">
        <v>803088</v>
      </c>
      <c r="D1002" s="27">
        <v>991424</v>
      </c>
      <c r="E1002" s="69">
        <v>-19</v>
      </c>
      <c r="F1002" s="27">
        <v>29640</v>
      </c>
      <c r="G1002" s="27">
        <v>54053</v>
      </c>
      <c r="H1002" s="27">
        <v>147741</v>
      </c>
      <c r="I1002" s="27">
        <v>88512</v>
      </c>
      <c r="J1002" s="27">
        <v>174429</v>
      </c>
      <c r="K1002" s="27">
        <v>124414</v>
      </c>
      <c r="L1002" s="69">
        <v>40.200000000000003</v>
      </c>
      <c r="M1002" s="27">
        <v>750000</v>
      </c>
      <c r="N1002" s="69">
        <v>2.33</v>
      </c>
      <c r="O1002" s="69">
        <v>1.66</v>
      </c>
      <c r="P1002" s="69">
        <v>20.170000000000002</v>
      </c>
      <c r="Q1002" s="27">
        <v>70</v>
      </c>
      <c r="R1002" s="69">
        <v>1.68</v>
      </c>
      <c r="S1002" s="69">
        <v>110.63</v>
      </c>
      <c r="X1002" s="2">
        <f t="shared" si="45"/>
        <v>0.3</v>
      </c>
      <c r="Y1002" s="2">
        <f>SUMIF(收盤價!A:A,A1002,收盤價!C:C)</f>
        <v>22.5</v>
      </c>
      <c r="Z1002" s="2">
        <f t="shared" si="46"/>
        <v>1512750.0000000002</v>
      </c>
      <c r="AA1002" s="2">
        <f t="shared" si="47"/>
        <v>1687500</v>
      </c>
    </row>
    <row r="1003" spans="1:27" ht="14.5" customHeight="1">
      <c r="A1003" s="7" t="s">
        <v>6384</v>
      </c>
      <c r="B1003" s="8" t="s">
        <v>3345</v>
      </c>
      <c r="C1003" s="27">
        <v>3359902</v>
      </c>
      <c r="D1003" s="27">
        <v>3596491</v>
      </c>
      <c r="E1003" s="69">
        <v>-6.58</v>
      </c>
      <c r="F1003" s="27">
        <v>370274</v>
      </c>
      <c r="G1003" s="27">
        <v>621129</v>
      </c>
      <c r="H1003" s="27">
        <v>-10348</v>
      </c>
      <c r="I1003" s="27">
        <v>42618</v>
      </c>
      <c r="J1003" s="27">
        <v>322058</v>
      </c>
      <c r="K1003" s="27">
        <v>529882</v>
      </c>
      <c r="L1003" s="69">
        <v>-39.22</v>
      </c>
      <c r="M1003" s="27">
        <v>915130</v>
      </c>
      <c r="N1003" s="69">
        <v>4.1100000000000003</v>
      </c>
      <c r="O1003" s="69">
        <v>7.08</v>
      </c>
      <c r="P1003" s="69">
        <v>53.46</v>
      </c>
      <c r="Q1003" s="27">
        <v>68</v>
      </c>
      <c r="R1003" s="69">
        <v>2.71</v>
      </c>
      <c r="S1003" s="69">
        <v>224.71</v>
      </c>
      <c r="X1003" s="2">
        <f t="shared" si="45"/>
        <v>0.32</v>
      </c>
      <c r="Y1003" s="2">
        <f>SUMIF(收盤價!A:A,A1003,收盤價!C:C)</f>
        <v>97.3</v>
      </c>
      <c r="Z1003" s="2">
        <f t="shared" si="46"/>
        <v>4892284.9800000004</v>
      </c>
      <c r="AA1003" s="2">
        <f t="shared" si="47"/>
        <v>8904214.9000000004</v>
      </c>
    </row>
    <row r="1004" spans="1:27" ht="14.5" customHeight="1">
      <c r="A1004" s="7" t="s">
        <v>6385</v>
      </c>
      <c r="B1004" s="8" t="s">
        <v>3477</v>
      </c>
      <c r="C1004" s="27">
        <v>5825190</v>
      </c>
      <c r="D1004" s="27">
        <v>6119718</v>
      </c>
      <c r="E1004" s="69">
        <v>-4.8099999999999996</v>
      </c>
      <c r="F1004" s="27">
        <v>681600</v>
      </c>
      <c r="G1004" s="27">
        <v>695313</v>
      </c>
      <c r="H1004" s="27">
        <v>9945</v>
      </c>
      <c r="I1004" s="27">
        <v>28546</v>
      </c>
      <c r="J1004" s="27">
        <v>563844</v>
      </c>
      <c r="K1004" s="27">
        <v>576631</v>
      </c>
      <c r="L1004" s="69">
        <v>-2.2200000000000002</v>
      </c>
      <c r="M1004" s="27">
        <v>749000</v>
      </c>
      <c r="N1004" s="69">
        <v>7.53</v>
      </c>
      <c r="O1004" s="69">
        <v>7.7</v>
      </c>
      <c r="P1004" s="69">
        <v>38.340000000000003</v>
      </c>
      <c r="Q1004" s="27">
        <v>53</v>
      </c>
      <c r="R1004" s="69">
        <v>1.74</v>
      </c>
      <c r="S1004" s="69">
        <v>112.03</v>
      </c>
      <c r="X1004" s="2">
        <f t="shared" si="45"/>
        <v>0.47</v>
      </c>
      <c r="Y1004" s="2">
        <f>SUMIF(收盤價!A:A,A1004,收盤價!C:C)</f>
        <v>90.9</v>
      </c>
      <c r="Z1004" s="2">
        <f t="shared" si="46"/>
        <v>2871666.0000000005</v>
      </c>
      <c r="AA1004" s="2">
        <f t="shared" si="47"/>
        <v>6808410</v>
      </c>
    </row>
    <row r="1005" spans="1:27" ht="14.5" customHeight="1">
      <c r="A1005" s="7" t="s">
        <v>6386</v>
      </c>
      <c r="B1005" s="8" t="s">
        <v>1987</v>
      </c>
      <c r="C1005" s="27">
        <v>899548</v>
      </c>
      <c r="D1005" s="27">
        <v>1337846</v>
      </c>
      <c r="E1005" s="69">
        <v>-32.76</v>
      </c>
      <c r="F1005" s="27">
        <v>-9772</v>
      </c>
      <c r="G1005" s="27">
        <v>-6164</v>
      </c>
      <c r="H1005" s="27">
        <v>-4202</v>
      </c>
      <c r="I1005" s="27">
        <v>-13185</v>
      </c>
      <c r="J1005" s="27">
        <v>-10187</v>
      </c>
      <c r="K1005" s="27">
        <v>-19179</v>
      </c>
      <c r="L1005" s="69">
        <v>46.88</v>
      </c>
      <c r="M1005" s="27">
        <v>586609</v>
      </c>
      <c r="N1005" s="69">
        <v>-0.18</v>
      </c>
      <c r="O1005" s="69">
        <v>-0.32</v>
      </c>
      <c r="P1005" s="69">
        <v>10.02</v>
      </c>
      <c r="Q1005" s="27">
        <v>71</v>
      </c>
      <c r="R1005" s="69">
        <v>3.31</v>
      </c>
      <c r="S1005" s="69">
        <v>262.58999999999997</v>
      </c>
      <c r="X1005" s="2">
        <f t="shared" si="45"/>
        <v>0.28999999999999998</v>
      </c>
      <c r="Y1005" s="2">
        <f>SUMIF(收盤價!A:A,A1005,收盤價!C:C)</f>
        <v>11.15</v>
      </c>
      <c r="Z1005" s="2">
        <f t="shared" si="46"/>
        <v>587782.21799999999</v>
      </c>
      <c r="AA1005" s="2">
        <f t="shared" si="47"/>
        <v>654069.03500000003</v>
      </c>
    </row>
    <row r="1006" spans="1:27" ht="14.5" customHeight="1">
      <c r="A1006" s="7" t="s">
        <v>6387</v>
      </c>
      <c r="B1006" s="8" t="s">
        <v>2547</v>
      </c>
      <c r="C1006" s="27">
        <v>611279</v>
      </c>
      <c r="D1006" s="27">
        <v>782931</v>
      </c>
      <c r="E1006" s="69">
        <v>-21.92</v>
      </c>
      <c r="F1006" s="27">
        <v>-85563</v>
      </c>
      <c r="G1006" s="27">
        <v>-98572</v>
      </c>
      <c r="H1006" s="27">
        <v>37319</v>
      </c>
      <c r="I1006" s="27">
        <v>36836</v>
      </c>
      <c r="J1006" s="27">
        <v>-50393</v>
      </c>
      <c r="K1006" s="27">
        <v>-61736</v>
      </c>
      <c r="L1006" s="69">
        <v>18.37</v>
      </c>
      <c r="M1006" s="27">
        <v>479468</v>
      </c>
      <c r="N1006" s="69">
        <v>-1.05</v>
      </c>
      <c r="O1006" s="69">
        <v>-1.29</v>
      </c>
      <c r="P1006" s="69">
        <v>5.54</v>
      </c>
      <c r="Q1006" s="27">
        <v>32</v>
      </c>
      <c r="R1006" s="69">
        <v>1.74</v>
      </c>
      <c r="S1006" s="69">
        <v>151.83000000000001</v>
      </c>
      <c r="X1006" s="2">
        <f t="shared" si="45"/>
        <v>0.68</v>
      </c>
      <c r="Y1006" s="2">
        <f>SUMIF(收盤價!A:A,A1006,收盤價!C:C)</f>
        <v>12.1</v>
      </c>
      <c r="Z1006" s="2">
        <f t="shared" si="46"/>
        <v>265625.272</v>
      </c>
      <c r="AA1006" s="2">
        <f t="shared" si="47"/>
        <v>580156.28</v>
      </c>
    </row>
    <row r="1007" spans="1:27" ht="14.5" customHeight="1">
      <c r="A1007" s="7" t="s">
        <v>6388</v>
      </c>
      <c r="B1007" s="8" t="s">
        <v>1985</v>
      </c>
      <c r="C1007" s="27">
        <v>12350956</v>
      </c>
      <c r="D1007" s="27">
        <v>14879535</v>
      </c>
      <c r="E1007" s="69">
        <v>-16.989999999999998</v>
      </c>
      <c r="F1007" s="27">
        <v>-1013836</v>
      </c>
      <c r="G1007" s="27">
        <v>-1392888</v>
      </c>
      <c r="H1007" s="27">
        <v>1062603</v>
      </c>
      <c r="I1007" s="27">
        <v>-49768</v>
      </c>
      <c r="J1007" s="27">
        <v>14953</v>
      </c>
      <c r="K1007" s="27">
        <v>-1441675</v>
      </c>
      <c r="L1007" s="69">
        <v>101.04</v>
      </c>
      <c r="M1007" s="27">
        <v>3500000</v>
      </c>
      <c r="N1007" s="69">
        <v>0.04</v>
      </c>
      <c r="O1007" s="69">
        <v>-4.12</v>
      </c>
      <c r="P1007" s="69">
        <v>13.74</v>
      </c>
      <c r="Q1007" s="27">
        <v>26</v>
      </c>
      <c r="R1007" s="69">
        <v>1.17</v>
      </c>
      <c r="S1007" s="69">
        <v>6.9</v>
      </c>
      <c r="X1007" s="2">
        <f t="shared" si="45"/>
        <v>0.74</v>
      </c>
      <c r="Y1007" s="2">
        <f>SUMIF(收盤價!A:A,A1007,收盤價!C:C)</f>
        <v>42.9</v>
      </c>
      <c r="Z1007" s="2">
        <f t="shared" si="46"/>
        <v>4809000</v>
      </c>
      <c r="AA1007" s="2">
        <f t="shared" si="47"/>
        <v>15015000</v>
      </c>
    </row>
    <row r="1008" spans="1:27" ht="14.5" customHeight="1">
      <c r="A1008" s="7" t="s">
        <v>6389</v>
      </c>
      <c r="B1008" s="8" t="s">
        <v>1989</v>
      </c>
      <c r="C1008" s="27">
        <v>1117875</v>
      </c>
      <c r="D1008" s="27">
        <v>1089468</v>
      </c>
      <c r="E1008" s="69">
        <v>2.61</v>
      </c>
      <c r="F1008" s="27">
        <v>201528</v>
      </c>
      <c r="G1008" s="27">
        <v>212567</v>
      </c>
      <c r="H1008" s="27">
        <v>-12927</v>
      </c>
      <c r="I1008" s="27">
        <v>-4305</v>
      </c>
      <c r="J1008" s="27">
        <v>151331</v>
      </c>
      <c r="K1008" s="27">
        <v>165036</v>
      </c>
      <c r="L1008" s="69">
        <v>-8.3000000000000007</v>
      </c>
      <c r="M1008" s="27">
        <v>450000</v>
      </c>
      <c r="N1008" s="69">
        <v>3.36</v>
      </c>
      <c r="O1008" s="69">
        <v>3.67</v>
      </c>
      <c r="P1008" s="69">
        <v>17.05</v>
      </c>
      <c r="Q1008" s="27">
        <v>46</v>
      </c>
      <c r="R1008" s="69">
        <v>2.2200000000000002</v>
      </c>
      <c r="S1008" s="69">
        <v>115.62</v>
      </c>
      <c r="X1008" s="2">
        <f t="shared" si="45"/>
        <v>0.54</v>
      </c>
      <c r="Y1008" s="2">
        <f>SUMIF(收盤價!A:A,A1008,收盤價!C:C)</f>
        <v>40</v>
      </c>
      <c r="Z1008" s="2">
        <f t="shared" si="46"/>
        <v>767250</v>
      </c>
      <c r="AA1008" s="2">
        <f t="shared" si="47"/>
        <v>1800000</v>
      </c>
    </row>
    <row r="1009" spans="1:27" ht="14.5" customHeight="1">
      <c r="A1009" s="7" t="s">
        <v>6390</v>
      </c>
      <c r="B1009" s="8" t="s">
        <v>1991</v>
      </c>
      <c r="C1009" s="27">
        <v>2131369</v>
      </c>
      <c r="D1009" s="27">
        <v>2741976</v>
      </c>
      <c r="E1009" s="69">
        <v>-22.27</v>
      </c>
      <c r="F1009" s="27">
        <v>-50736</v>
      </c>
      <c r="G1009" s="27">
        <v>73560</v>
      </c>
      <c r="H1009" s="27">
        <v>-1794</v>
      </c>
      <c r="I1009" s="27">
        <v>14890</v>
      </c>
      <c r="J1009" s="27">
        <v>-57678</v>
      </c>
      <c r="K1009" s="27">
        <v>71246</v>
      </c>
      <c r="L1009" s="69">
        <v>-180.96</v>
      </c>
      <c r="M1009" s="27">
        <v>700000</v>
      </c>
      <c r="N1009" s="69">
        <v>-0.82</v>
      </c>
      <c r="O1009" s="69">
        <v>1.02</v>
      </c>
      <c r="P1009" s="69">
        <v>18.05</v>
      </c>
      <c r="Q1009" s="27">
        <v>42</v>
      </c>
      <c r="R1009" s="69">
        <v>0.99</v>
      </c>
      <c r="S1009" s="69">
        <v>63.86</v>
      </c>
      <c r="X1009" s="2">
        <f t="shared" si="45"/>
        <v>0.57999999999999996</v>
      </c>
      <c r="Y1009" s="2">
        <f>SUMIF(收盤價!A:A,A1009,收盤價!C:C)</f>
        <v>0</v>
      </c>
      <c r="Z1009" s="2">
        <f t="shared" si="46"/>
        <v>1263500</v>
      </c>
      <c r="AA1009" s="2">
        <f t="shared" si="47"/>
        <v>0</v>
      </c>
    </row>
    <row r="1010" spans="1:27" ht="14.5" customHeight="1">
      <c r="A1010" s="7" t="s">
        <v>6391</v>
      </c>
      <c r="B1010" s="8" t="s">
        <v>1993</v>
      </c>
      <c r="C1010" s="27">
        <v>1817019</v>
      </c>
      <c r="D1010" s="27">
        <v>1400282</v>
      </c>
      <c r="E1010" s="69">
        <v>29.76</v>
      </c>
      <c r="F1010" s="27">
        <v>171715</v>
      </c>
      <c r="G1010" s="27">
        <v>96341</v>
      </c>
      <c r="H1010" s="27">
        <v>1645</v>
      </c>
      <c r="I1010" s="27">
        <v>18770</v>
      </c>
      <c r="J1010" s="27">
        <v>139098</v>
      </c>
      <c r="K1010" s="27">
        <v>93636</v>
      </c>
      <c r="L1010" s="69">
        <v>48.55</v>
      </c>
      <c r="M1010" s="27">
        <v>326792</v>
      </c>
      <c r="N1010" s="69">
        <v>4.26</v>
      </c>
      <c r="O1010" s="69">
        <v>2.87</v>
      </c>
      <c r="P1010" s="69">
        <v>31.59</v>
      </c>
      <c r="Q1010" s="27">
        <v>53</v>
      </c>
      <c r="R1010" s="69">
        <v>1.86</v>
      </c>
      <c r="S1010" s="69">
        <v>103.33</v>
      </c>
      <c r="X1010" s="2">
        <f t="shared" si="45"/>
        <v>0.47</v>
      </c>
      <c r="Y1010" s="2">
        <f>SUMIF(收盤價!A:A,A1010,收盤價!C:C)</f>
        <v>41.35</v>
      </c>
      <c r="Z1010" s="2">
        <f t="shared" si="46"/>
        <v>1032335.928</v>
      </c>
      <c r="AA1010" s="2">
        <f t="shared" si="47"/>
        <v>1351284.9200000002</v>
      </c>
    </row>
    <row r="1011" spans="1:27" ht="14.5" customHeight="1">
      <c r="A1011" s="7" t="s">
        <v>6392</v>
      </c>
      <c r="B1011" s="8" t="s">
        <v>2645</v>
      </c>
      <c r="C1011" s="27">
        <v>10561734</v>
      </c>
      <c r="D1011" s="27">
        <v>10276140</v>
      </c>
      <c r="E1011" s="69">
        <v>2.78</v>
      </c>
      <c r="F1011" s="27">
        <v>484135</v>
      </c>
      <c r="G1011" s="27">
        <v>432296</v>
      </c>
      <c r="H1011" s="27">
        <v>-132561</v>
      </c>
      <c r="I1011" s="27">
        <v>-99723</v>
      </c>
      <c r="J1011" s="27">
        <v>279759</v>
      </c>
      <c r="K1011" s="27">
        <v>243213</v>
      </c>
      <c r="L1011" s="69">
        <v>15.03</v>
      </c>
      <c r="M1011" s="27">
        <v>4667360</v>
      </c>
      <c r="N1011" s="69">
        <v>0.64</v>
      </c>
      <c r="O1011" s="69">
        <v>0.55000000000000004</v>
      </c>
      <c r="P1011" s="69">
        <v>19.55</v>
      </c>
      <c r="Q1011" s="27">
        <v>40</v>
      </c>
      <c r="R1011" s="69">
        <v>2.4300000000000002</v>
      </c>
      <c r="S1011" s="69">
        <v>93.58</v>
      </c>
      <c r="X1011" s="2">
        <f t="shared" si="45"/>
        <v>0.6</v>
      </c>
      <c r="Y1011" s="2">
        <f>SUMIF(收盤價!A:A,A1011,收盤價!C:C)</f>
        <v>18.649999999999999</v>
      </c>
      <c r="Z1011" s="2">
        <f t="shared" si="46"/>
        <v>9124688.8000000007</v>
      </c>
      <c r="AA1011" s="2">
        <f t="shared" si="47"/>
        <v>8704626.4000000004</v>
      </c>
    </row>
    <row r="1012" spans="1:27" ht="14.5" customHeight="1">
      <c r="A1012" s="7" t="s">
        <v>6393</v>
      </c>
      <c r="B1012" s="8" t="s">
        <v>2647</v>
      </c>
      <c r="C1012" s="27">
        <v>1147717</v>
      </c>
      <c r="D1012" s="27">
        <v>1233014</v>
      </c>
      <c r="E1012" s="69">
        <v>-6.92</v>
      </c>
      <c r="F1012" s="27">
        <v>-51249</v>
      </c>
      <c r="G1012" s="27">
        <v>62756</v>
      </c>
      <c r="H1012" s="27">
        <v>12402</v>
      </c>
      <c r="I1012" s="27">
        <v>2117</v>
      </c>
      <c r="J1012" s="27">
        <v>-29914</v>
      </c>
      <c r="K1012" s="27">
        <v>54091</v>
      </c>
      <c r="L1012" s="69">
        <v>-155.30000000000001</v>
      </c>
      <c r="M1012" s="27">
        <v>411359</v>
      </c>
      <c r="N1012" s="69">
        <v>-0.73</v>
      </c>
      <c r="O1012" s="69">
        <v>1.31</v>
      </c>
      <c r="P1012" s="69">
        <v>12.36</v>
      </c>
      <c r="Q1012" s="27">
        <v>32</v>
      </c>
      <c r="R1012" s="69">
        <v>1.43</v>
      </c>
      <c r="S1012" s="69">
        <v>86.76</v>
      </c>
      <c r="X1012" s="2">
        <f t="shared" si="45"/>
        <v>0.68</v>
      </c>
      <c r="Y1012" s="2">
        <f>SUMIF(收盤價!A:A,A1012,收盤價!C:C)</f>
        <v>15.5</v>
      </c>
      <c r="Z1012" s="2">
        <f t="shared" si="46"/>
        <v>508439.72400000005</v>
      </c>
      <c r="AA1012" s="2">
        <f t="shared" si="47"/>
        <v>637606.44999999995</v>
      </c>
    </row>
    <row r="1013" spans="1:27" ht="14.5" customHeight="1">
      <c r="A1013" s="7" t="s">
        <v>6394</v>
      </c>
      <c r="B1013" s="8" t="s">
        <v>2649</v>
      </c>
      <c r="C1013" s="27">
        <v>6241040</v>
      </c>
      <c r="D1013" s="27">
        <v>7673963</v>
      </c>
      <c r="E1013" s="69">
        <v>-18.670000000000002</v>
      </c>
      <c r="F1013" s="27">
        <v>362807</v>
      </c>
      <c r="G1013" s="27">
        <v>622170</v>
      </c>
      <c r="H1013" s="27">
        <v>-56284</v>
      </c>
      <c r="I1013" s="27">
        <v>-75960</v>
      </c>
      <c r="J1013" s="27">
        <v>164797</v>
      </c>
      <c r="K1013" s="27">
        <v>293223</v>
      </c>
      <c r="L1013" s="69">
        <v>-43.8</v>
      </c>
      <c r="M1013" s="27">
        <v>1334160</v>
      </c>
      <c r="N1013" s="69">
        <v>1.24</v>
      </c>
      <c r="O1013" s="69">
        <v>2.2000000000000002</v>
      </c>
      <c r="P1013" s="69">
        <v>19.36</v>
      </c>
      <c r="Q1013" s="27">
        <v>35</v>
      </c>
      <c r="R1013" s="69">
        <v>1.85</v>
      </c>
      <c r="S1013" s="69">
        <v>97.01</v>
      </c>
      <c r="X1013" s="2">
        <f t="shared" si="45"/>
        <v>0.65</v>
      </c>
      <c r="Y1013" s="2">
        <f>SUMIF(收盤價!A:A,A1013,收盤價!C:C)</f>
        <v>25.75</v>
      </c>
      <c r="Z1013" s="2">
        <f t="shared" si="46"/>
        <v>2582933.7599999998</v>
      </c>
      <c r="AA1013" s="2">
        <f t="shared" si="47"/>
        <v>3435462</v>
      </c>
    </row>
    <row r="1014" spans="1:27" ht="14.5" customHeight="1">
      <c r="A1014" s="7" t="s">
        <v>6395</v>
      </c>
      <c r="B1014" s="8" t="s">
        <v>2651</v>
      </c>
      <c r="C1014" s="27">
        <v>16771806</v>
      </c>
      <c r="D1014" s="27">
        <v>16412458</v>
      </c>
      <c r="E1014" s="69">
        <v>2.19</v>
      </c>
      <c r="F1014" s="27">
        <v>183445</v>
      </c>
      <c r="G1014" s="27">
        <v>45945</v>
      </c>
      <c r="H1014" s="27">
        <v>-111208</v>
      </c>
      <c r="I1014" s="27">
        <v>-112296</v>
      </c>
      <c r="J1014" s="27">
        <v>15343</v>
      </c>
      <c r="K1014" s="27">
        <v>-83439</v>
      </c>
      <c r="L1014" s="69">
        <v>118.39</v>
      </c>
      <c r="M1014" s="27">
        <v>1653330</v>
      </c>
      <c r="N1014" s="69">
        <v>0.09</v>
      </c>
      <c r="O1014" s="69">
        <v>-0.5</v>
      </c>
      <c r="P1014" s="69">
        <v>10.29</v>
      </c>
      <c r="Q1014" s="27">
        <v>26</v>
      </c>
      <c r="R1014" s="69">
        <v>1</v>
      </c>
      <c r="S1014" s="69">
        <v>55.31</v>
      </c>
      <c r="X1014" s="2">
        <f t="shared" si="45"/>
        <v>0.74</v>
      </c>
      <c r="Y1014" s="2">
        <f>SUMIF(收盤價!A:A,A1014,收盤價!C:C)</f>
        <v>9.33</v>
      </c>
      <c r="Z1014" s="2">
        <f t="shared" si="46"/>
        <v>1701276.5699999998</v>
      </c>
      <c r="AA1014" s="2">
        <f t="shared" si="47"/>
        <v>1542556.8900000001</v>
      </c>
    </row>
    <row r="1015" spans="1:27" ht="14.5" customHeight="1">
      <c r="A1015" s="7" t="s">
        <v>6396</v>
      </c>
      <c r="B1015" s="8" t="s">
        <v>2653</v>
      </c>
      <c r="C1015" s="27">
        <v>2419478</v>
      </c>
      <c r="D1015" s="27">
        <v>2620056</v>
      </c>
      <c r="E1015" s="69">
        <v>-7.66</v>
      </c>
      <c r="F1015" s="27">
        <v>184156</v>
      </c>
      <c r="G1015" s="27">
        <v>334183</v>
      </c>
      <c r="H1015" s="27">
        <v>-7381</v>
      </c>
      <c r="I1015" s="27">
        <v>18040</v>
      </c>
      <c r="J1015" s="27">
        <v>144245</v>
      </c>
      <c r="K1015" s="27">
        <v>304562</v>
      </c>
      <c r="L1015" s="69">
        <v>-52.64</v>
      </c>
      <c r="M1015" s="27">
        <v>606392</v>
      </c>
      <c r="N1015" s="69">
        <v>2.38</v>
      </c>
      <c r="O1015" s="69">
        <v>5.0199999999999996</v>
      </c>
      <c r="P1015" s="69">
        <v>19.41</v>
      </c>
      <c r="Q1015" s="27">
        <v>56</v>
      </c>
      <c r="R1015" s="69">
        <v>2.04</v>
      </c>
      <c r="S1015" s="69">
        <v>128.93</v>
      </c>
      <c r="X1015" s="2">
        <f t="shared" si="45"/>
        <v>0.44</v>
      </c>
      <c r="Y1015" s="2">
        <f>SUMIF(收盤價!A:A,A1015,收盤價!C:C)</f>
        <v>37.799999999999997</v>
      </c>
      <c r="Z1015" s="2">
        <f t="shared" si="46"/>
        <v>1177006.872</v>
      </c>
      <c r="AA1015" s="2">
        <f t="shared" si="47"/>
        <v>2292161.7599999998</v>
      </c>
    </row>
    <row r="1016" spans="1:27" ht="14.5" customHeight="1">
      <c r="A1016" s="7" t="s">
        <v>6397</v>
      </c>
      <c r="B1016" s="8" t="s">
        <v>2655</v>
      </c>
      <c r="C1016" s="27">
        <v>2389182</v>
      </c>
      <c r="D1016" s="27">
        <v>2651836</v>
      </c>
      <c r="E1016" s="69">
        <v>-9.9</v>
      </c>
      <c r="F1016" s="27">
        <v>126728</v>
      </c>
      <c r="G1016" s="27">
        <v>232328</v>
      </c>
      <c r="H1016" s="27">
        <v>-6003</v>
      </c>
      <c r="I1016" s="27">
        <v>5101</v>
      </c>
      <c r="J1016" s="27">
        <v>94543</v>
      </c>
      <c r="K1016" s="27">
        <v>189036</v>
      </c>
      <c r="L1016" s="69">
        <v>-49.99</v>
      </c>
      <c r="M1016" s="27">
        <v>496221</v>
      </c>
      <c r="N1016" s="69">
        <v>1.91</v>
      </c>
      <c r="O1016" s="69">
        <v>3.81</v>
      </c>
      <c r="P1016" s="69">
        <v>26.14</v>
      </c>
      <c r="Q1016" s="27">
        <v>46</v>
      </c>
      <c r="R1016" s="69">
        <v>2.0499999999999998</v>
      </c>
      <c r="S1016" s="69">
        <v>112.08</v>
      </c>
      <c r="X1016" s="2">
        <f t="shared" si="45"/>
        <v>0.54</v>
      </c>
      <c r="Y1016" s="2">
        <f>SUMIF(收盤價!A:A,A1016,收盤價!C:C)</f>
        <v>28.8</v>
      </c>
      <c r="Z1016" s="2">
        <f t="shared" si="46"/>
        <v>1297121.6939999999</v>
      </c>
      <c r="AA1016" s="2">
        <f t="shared" si="47"/>
        <v>1429116.48</v>
      </c>
    </row>
    <row r="1017" spans="1:27" ht="14.5" customHeight="1">
      <c r="A1017" s="7" t="s">
        <v>6398</v>
      </c>
      <c r="B1017" s="8" t="s">
        <v>3045</v>
      </c>
      <c r="C1017" s="27">
        <v>3012489</v>
      </c>
      <c r="D1017" s="27">
        <v>2432772</v>
      </c>
      <c r="E1017" s="69">
        <v>23.83</v>
      </c>
      <c r="F1017" s="27">
        <v>96086</v>
      </c>
      <c r="G1017" s="27">
        <v>3574</v>
      </c>
      <c r="H1017" s="27">
        <v>4697</v>
      </c>
      <c r="I1017" s="27">
        <v>-2812</v>
      </c>
      <c r="J1017" s="27">
        <v>88641</v>
      </c>
      <c r="K1017" s="27">
        <v>278</v>
      </c>
      <c r="L1017" s="28" t="s">
        <v>6378</v>
      </c>
      <c r="M1017" s="27">
        <v>306752</v>
      </c>
      <c r="N1017" s="69">
        <v>2.89</v>
      </c>
      <c r="O1017" s="69">
        <v>0.01</v>
      </c>
      <c r="P1017" s="69">
        <v>13.58</v>
      </c>
      <c r="Q1017" s="27">
        <v>34</v>
      </c>
      <c r="R1017" s="69">
        <v>2.4500000000000002</v>
      </c>
      <c r="S1017" s="69">
        <v>213.37</v>
      </c>
      <c r="X1017" s="2">
        <f t="shared" si="45"/>
        <v>0.66</v>
      </c>
      <c r="Y1017" s="2">
        <f>SUMIF(收盤價!A:A,A1017,收盤價!C:C)</f>
        <v>27.85</v>
      </c>
      <c r="Z1017" s="2">
        <f t="shared" si="46"/>
        <v>416569.21600000001</v>
      </c>
      <c r="AA1017" s="2">
        <f t="shared" si="47"/>
        <v>854304.32000000007</v>
      </c>
    </row>
    <row r="1018" spans="1:27" ht="14.5" customHeight="1">
      <c r="A1018" s="7" t="s">
        <v>6399</v>
      </c>
      <c r="B1018" s="8" t="s">
        <v>3361</v>
      </c>
      <c r="C1018" s="27">
        <v>9925200</v>
      </c>
      <c r="D1018" s="27">
        <v>10840288</v>
      </c>
      <c r="E1018" s="69">
        <v>-8.44</v>
      </c>
      <c r="F1018" s="27">
        <v>374899</v>
      </c>
      <c r="G1018" s="27">
        <v>820964</v>
      </c>
      <c r="H1018" s="27">
        <v>-37838</v>
      </c>
      <c r="I1018" s="27">
        <v>124438</v>
      </c>
      <c r="J1018" s="27">
        <v>251235</v>
      </c>
      <c r="K1018" s="27">
        <v>627295</v>
      </c>
      <c r="L1018" s="69">
        <v>-59.95</v>
      </c>
      <c r="M1018" s="27">
        <v>1163830</v>
      </c>
      <c r="N1018" s="69">
        <v>2.16</v>
      </c>
      <c r="O1018" s="69">
        <v>5.43</v>
      </c>
      <c r="P1018" s="69">
        <v>31.99</v>
      </c>
      <c r="Q1018" s="27">
        <v>30</v>
      </c>
      <c r="R1018" s="69">
        <v>1.26</v>
      </c>
      <c r="S1018" s="69">
        <v>64.989999999999995</v>
      </c>
      <c r="X1018" s="2">
        <f t="shared" si="45"/>
        <v>0.7</v>
      </c>
      <c r="Y1018" s="2">
        <f>SUMIF(收盤價!A:A,A1018,收盤價!C:C)</f>
        <v>65</v>
      </c>
      <c r="Z1018" s="2">
        <f t="shared" si="46"/>
        <v>3723092.1699999995</v>
      </c>
      <c r="AA1018" s="2">
        <f t="shared" si="47"/>
        <v>7564895</v>
      </c>
    </row>
    <row r="1019" spans="1:27" ht="14.5" customHeight="1">
      <c r="A1019" s="7" t="s">
        <v>6400</v>
      </c>
      <c r="B1019" s="8" t="s">
        <v>3381</v>
      </c>
      <c r="C1019" s="27">
        <v>19415191</v>
      </c>
      <c r="D1019" s="27">
        <v>16710217</v>
      </c>
      <c r="E1019" s="69">
        <v>16.190000000000001</v>
      </c>
      <c r="F1019" s="27">
        <v>1554065</v>
      </c>
      <c r="G1019" s="27">
        <v>1590944</v>
      </c>
      <c r="H1019" s="27">
        <v>-457967</v>
      </c>
      <c r="I1019" s="27">
        <v>-101529</v>
      </c>
      <c r="J1019" s="27">
        <v>839462</v>
      </c>
      <c r="K1019" s="27">
        <v>1188606</v>
      </c>
      <c r="L1019" s="69">
        <v>-29.37</v>
      </c>
      <c r="M1019" s="27">
        <v>10315000</v>
      </c>
      <c r="N1019" s="69">
        <v>0.81</v>
      </c>
      <c r="O1019" s="69">
        <v>1.64</v>
      </c>
      <c r="P1019" s="69">
        <v>16.649999999999999</v>
      </c>
      <c r="Q1019" s="27">
        <v>56</v>
      </c>
      <c r="R1019" s="69">
        <v>3.01</v>
      </c>
      <c r="S1019" s="69">
        <v>139.38999999999999</v>
      </c>
      <c r="X1019" s="2">
        <f t="shared" si="45"/>
        <v>0.44</v>
      </c>
      <c r="Y1019" s="2">
        <f>SUMIF(收盤價!A:A,A1019,收盤價!C:C)</f>
        <v>28</v>
      </c>
      <c r="Z1019" s="2">
        <f t="shared" si="46"/>
        <v>17174475</v>
      </c>
      <c r="AA1019" s="2">
        <f t="shared" si="47"/>
        <v>28882000</v>
      </c>
    </row>
    <row r="1020" spans="1:27" ht="14.5" customHeight="1">
      <c r="A1020" s="7" t="s">
        <v>6401</v>
      </c>
      <c r="B1020" s="8" t="s">
        <v>3449</v>
      </c>
      <c r="C1020" s="27">
        <v>1060341</v>
      </c>
      <c r="D1020" s="27">
        <v>1139107</v>
      </c>
      <c r="E1020" s="69">
        <v>-6.91</v>
      </c>
      <c r="F1020" s="27">
        <v>92137</v>
      </c>
      <c r="G1020" s="27">
        <v>67067</v>
      </c>
      <c r="H1020" s="27">
        <v>-8297</v>
      </c>
      <c r="I1020" s="27">
        <v>3784</v>
      </c>
      <c r="J1020" s="27">
        <v>65605</v>
      </c>
      <c r="K1020" s="27">
        <v>57220</v>
      </c>
      <c r="L1020" s="69">
        <v>14.65</v>
      </c>
      <c r="M1020" s="27">
        <v>795594</v>
      </c>
      <c r="N1020" s="69">
        <v>0.84</v>
      </c>
      <c r="O1020" s="69">
        <v>0.72</v>
      </c>
      <c r="P1020" s="69">
        <v>14.85</v>
      </c>
      <c r="Q1020" s="27">
        <v>66</v>
      </c>
      <c r="R1020" s="69">
        <v>4.9800000000000004</v>
      </c>
      <c r="S1020" s="69">
        <v>421.77</v>
      </c>
      <c r="X1020" s="2">
        <f t="shared" si="45"/>
        <v>0.34</v>
      </c>
      <c r="Y1020" s="2">
        <f>SUMIF(收盤價!A:A,A1020,收盤價!C:C)</f>
        <v>13.1</v>
      </c>
      <c r="Z1020" s="2">
        <f t="shared" si="46"/>
        <v>1181457.0900000001</v>
      </c>
      <c r="AA1020" s="2">
        <f t="shared" si="47"/>
        <v>1042228.14</v>
      </c>
    </row>
    <row r="1021" spans="1:27" ht="14.5" customHeight="1">
      <c r="A1021" s="7" t="s">
        <v>6402</v>
      </c>
      <c r="B1021" s="8" t="s">
        <v>3481</v>
      </c>
      <c r="C1021" s="27">
        <v>2316140</v>
      </c>
      <c r="D1021" s="27">
        <v>2906557</v>
      </c>
      <c r="E1021" s="69">
        <v>-20.309999999999999</v>
      </c>
      <c r="F1021" s="27">
        <v>11554</v>
      </c>
      <c r="G1021" s="27">
        <v>110494</v>
      </c>
      <c r="H1021" s="27">
        <v>2961</v>
      </c>
      <c r="I1021" s="27">
        <v>5716</v>
      </c>
      <c r="J1021" s="27">
        <v>11415</v>
      </c>
      <c r="K1021" s="27">
        <v>94179</v>
      </c>
      <c r="L1021" s="69">
        <v>-87.88</v>
      </c>
      <c r="M1021" s="27">
        <v>902203</v>
      </c>
      <c r="N1021" s="69">
        <v>0.13</v>
      </c>
      <c r="O1021" s="69">
        <v>1.04</v>
      </c>
      <c r="P1021" s="69">
        <v>10.57</v>
      </c>
      <c r="Q1021" s="27">
        <v>72</v>
      </c>
      <c r="R1021" s="69">
        <v>3.18</v>
      </c>
      <c r="S1021" s="69">
        <v>90.34</v>
      </c>
      <c r="X1021" s="2">
        <f t="shared" si="45"/>
        <v>0.28000000000000003</v>
      </c>
      <c r="Y1021" s="2">
        <f>SUMIF(收盤價!A:A,A1021,收盤價!C:C)</f>
        <v>10</v>
      </c>
      <c r="Z1021" s="2">
        <f t="shared" si="46"/>
        <v>953628.57100000011</v>
      </c>
      <c r="AA1021" s="2">
        <f t="shared" si="47"/>
        <v>902203</v>
      </c>
    </row>
    <row r="1022" spans="1:27" ht="14.5" customHeight="1">
      <c r="A1022" s="7" t="s">
        <v>6403</v>
      </c>
      <c r="B1022" s="8" t="s">
        <v>2657</v>
      </c>
      <c r="C1022" s="27">
        <v>613669</v>
      </c>
      <c r="D1022" s="27">
        <v>649400</v>
      </c>
      <c r="E1022" s="69">
        <v>-5.5</v>
      </c>
      <c r="F1022" s="27">
        <v>29389</v>
      </c>
      <c r="G1022" s="27">
        <v>45385</v>
      </c>
      <c r="H1022" s="27">
        <v>18720</v>
      </c>
      <c r="I1022" s="27">
        <v>25060</v>
      </c>
      <c r="J1022" s="27">
        <v>42477</v>
      </c>
      <c r="K1022" s="27">
        <v>62090</v>
      </c>
      <c r="L1022" s="69">
        <v>-31.59</v>
      </c>
      <c r="M1022" s="27">
        <v>640851</v>
      </c>
      <c r="N1022" s="69">
        <v>0.66</v>
      </c>
      <c r="O1022" s="69">
        <v>0.97</v>
      </c>
      <c r="P1022" s="69">
        <v>15.17</v>
      </c>
      <c r="Q1022" s="27">
        <v>64</v>
      </c>
      <c r="R1022" s="69">
        <v>1.1599999999999999</v>
      </c>
      <c r="S1022" s="69">
        <v>65.98</v>
      </c>
      <c r="X1022" s="2">
        <f t="shared" si="45"/>
        <v>0.36</v>
      </c>
      <c r="Y1022" s="2">
        <f>SUMIF(收盤價!A:A,A1022,收盤價!C:C)</f>
        <v>15.45</v>
      </c>
      <c r="Z1022" s="2">
        <f t="shared" si="46"/>
        <v>972170.96699999995</v>
      </c>
      <c r="AA1022" s="2">
        <f t="shared" si="47"/>
        <v>990114.79499999993</v>
      </c>
    </row>
    <row r="1023" spans="1:27" ht="14.5" customHeight="1">
      <c r="A1023" s="7" t="s">
        <v>6404</v>
      </c>
      <c r="B1023" s="8" t="s">
        <v>2007</v>
      </c>
      <c r="C1023" s="27">
        <v>331820</v>
      </c>
      <c r="D1023" s="27">
        <v>1164271</v>
      </c>
      <c r="E1023" s="69">
        <v>-71.5</v>
      </c>
      <c r="F1023" s="27">
        <v>51085</v>
      </c>
      <c r="G1023" s="27">
        <v>387104</v>
      </c>
      <c r="H1023" s="27">
        <v>2607</v>
      </c>
      <c r="I1023" s="27">
        <v>25840</v>
      </c>
      <c r="J1023" s="27">
        <v>41379</v>
      </c>
      <c r="K1023" s="27">
        <v>364199</v>
      </c>
      <c r="L1023" s="69">
        <v>-88.64</v>
      </c>
      <c r="M1023" s="27">
        <v>1000000</v>
      </c>
      <c r="N1023" s="69">
        <v>0.41</v>
      </c>
      <c r="O1023" s="69">
        <v>3.64</v>
      </c>
      <c r="P1023" s="69">
        <v>19.32</v>
      </c>
      <c r="Q1023" s="27">
        <v>63</v>
      </c>
      <c r="R1023" s="69">
        <v>3.66</v>
      </c>
      <c r="S1023" s="69">
        <v>63.8</v>
      </c>
      <c r="X1023" s="2">
        <f t="shared" si="45"/>
        <v>0.37</v>
      </c>
      <c r="Y1023" s="2">
        <f>SUMIF(收盤價!A:A,A1023,收盤價!C:C)</f>
        <v>22.15</v>
      </c>
      <c r="Z1023" s="2">
        <f t="shared" si="46"/>
        <v>1932000</v>
      </c>
      <c r="AA1023" s="2">
        <f t="shared" si="47"/>
        <v>2215000</v>
      </c>
    </row>
    <row r="1024" spans="1:27" ht="14.5" customHeight="1">
      <c r="A1024" s="7" t="s">
        <v>6405</v>
      </c>
      <c r="B1024" s="8" t="s">
        <v>2113</v>
      </c>
      <c r="C1024" s="27">
        <v>1485912</v>
      </c>
      <c r="D1024" s="27">
        <v>1815172</v>
      </c>
      <c r="E1024" s="69">
        <v>-18.14</v>
      </c>
      <c r="F1024" s="27">
        <v>140717</v>
      </c>
      <c r="G1024" s="27">
        <v>159048</v>
      </c>
      <c r="H1024" s="27">
        <v>-4581</v>
      </c>
      <c r="I1024" s="27">
        <v>-16087</v>
      </c>
      <c r="J1024" s="27">
        <v>132205</v>
      </c>
      <c r="K1024" s="27">
        <v>132124</v>
      </c>
      <c r="L1024" s="69">
        <v>0.06</v>
      </c>
      <c r="M1024" s="27">
        <v>1202951</v>
      </c>
      <c r="N1024" s="69">
        <v>1.44</v>
      </c>
      <c r="O1024" s="69">
        <v>1.46</v>
      </c>
      <c r="P1024" s="69">
        <v>12.8</v>
      </c>
      <c r="Q1024" s="27">
        <v>34</v>
      </c>
      <c r="R1024" s="69">
        <v>2.56</v>
      </c>
      <c r="S1024" s="69">
        <v>42.49</v>
      </c>
      <c r="X1024" s="2">
        <f t="shared" si="45"/>
        <v>0.66</v>
      </c>
      <c r="Y1024" s="2">
        <f>SUMIF(收盤價!A:A,A1024,收盤價!C:C)</f>
        <v>17.95</v>
      </c>
      <c r="Z1024" s="2">
        <f t="shared" si="46"/>
        <v>1539777.28</v>
      </c>
      <c r="AA1024" s="2">
        <f t="shared" si="47"/>
        <v>2159297.0449999999</v>
      </c>
    </row>
    <row r="1025" spans="1:27" ht="14.5" customHeight="1">
      <c r="A1025" s="7" t="s">
        <v>6406</v>
      </c>
      <c r="B1025" s="8" t="s">
        <v>2253</v>
      </c>
      <c r="C1025" s="27">
        <v>902560</v>
      </c>
      <c r="D1025" s="27">
        <v>768192</v>
      </c>
      <c r="E1025" s="69">
        <v>17.489999999999998</v>
      </c>
      <c r="F1025" s="27">
        <v>58116</v>
      </c>
      <c r="G1025" s="27">
        <v>49948</v>
      </c>
      <c r="H1025" s="27">
        <v>34</v>
      </c>
      <c r="I1025" s="27">
        <v>342</v>
      </c>
      <c r="J1025" s="27">
        <v>45539</v>
      </c>
      <c r="K1025" s="27">
        <v>44671</v>
      </c>
      <c r="L1025" s="69">
        <v>1.94</v>
      </c>
      <c r="M1025" s="27">
        <v>831307</v>
      </c>
      <c r="N1025" s="69">
        <v>0.55000000000000004</v>
      </c>
      <c r="O1025" s="69">
        <v>0.54</v>
      </c>
      <c r="P1025" s="69">
        <v>15.43</v>
      </c>
      <c r="Q1025" s="27">
        <v>40</v>
      </c>
      <c r="R1025" s="69">
        <v>2.0099999999999998</v>
      </c>
      <c r="S1025" s="69">
        <v>41.7</v>
      </c>
      <c r="X1025" s="2">
        <f t="shared" si="45"/>
        <v>0.6</v>
      </c>
      <c r="Y1025" s="2">
        <f>SUMIF(收盤價!A:A,A1025,收盤價!C:C)</f>
        <v>9.2100000000000009</v>
      </c>
      <c r="Z1025" s="2">
        <f t="shared" si="46"/>
        <v>1282706.7009999999</v>
      </c>
      <c r="AA1025" s="2">
        <f t="shared" si="47"/>
        <v>765633.74700000009</v>
      </c>
    </row>
    <row r="1026" spans="1:27" ht="14.5" customHeight="1">
      <c r="A1026" s="7" t="s">
        <v>6407</v>
      </c>
      <c r="B1026" s="8" t="s">
        <v>2397</v>
      </c>
      <c r="C1026" s="27">
        <v>977986</v>
      </c>
      <c r="D1026" s="27">
        <v>1961520</v>
      </c>
      <c r="E1026" s="69">
        <v>-50.14</v>
      </c>
      <c r="F1026" s="27">
        <v>119655</v>
      </c>
      <c r="G1026" s="27">
        <v>217159</v>
      </c>
      <c r="H1026" s="27">
        <v>-260936</v>
      </c>
      <c r="I1026" s="27">
        <v>-63187</v>
      </c>
      <c r="J1026" s="27">
        <v>-143768</v>
      </c>
      <c r="K1026" s="27">
        <v>145408</v>
      </c>
      <c r="L1026" s="69">
        <v>-198.87</v>
      </c>
      <c r="M1026" s="27">
        <v>2111382</v>
      </c>
      <c r="N1026" s="69">
        <v>-0.68</v>
      </c>
      <c r="O1026" s="69">
        <v>0.69</v>
      </c>
      <c r="P1026" s="69">
        <v>16.690000000000001</v>
      </c>
      <c r="Q1026" s="27">
        <v>39</v>
      </c>
      <c r="R1026" s="69">
        <v>1.92</v>
      </c>
      <c r="S1026" s="69">
        <v>20.59</v>
      </c>
      <c r="X1026" s="2">
        <f t="shared" si="45"/>
        <v>0.61</v>
      </c>
      <c r="Y1026" s="2">
        <f>SUMIF(收盤價!A:A,A1026,收盤價!C:C)</f>
        <v>16.7</v>
      </c>
      <c r="Z1026" s="2">
        <f t="shared" si="46"/>
        <v>3523896.5580000007</v>
      </c>
      <c r="AA1026" s="2">
        <f t="shared" si="47"/>
        <v>3526007.94</v>
      </c>
    </row>
    <row r="1027" spans="1:27" ht="14.5" customHeight="1">
      <c r="A1027" s="7" t="s">
        <v>6408</v>
      </c>
      <c r="B1027" s="8" t="s">
        <v>2481</v>
      </c>
      <c r="C1027" s="27">
        <v>89138</v>
      </c>
      <c r="D1027" s="27">
        <v>68126</v>
      </c>
      <c r="E1027" s="69">
        <v>30.84</v>
      </c>
      <c r="F1027" s="27">
        <v>1389</v>
      </c>
      <c r="G1027" s="27">
        <v>-16095</v>
      </c>
      <c r="H1027" s="27">
        <v>-183183</v>
      </c>
      <c r="I1027" s="27">
        <v>-87317</v>
      </c>
      <c r="J1027" s="27">
        <v>-181693</v>
      </c>
      <c r="K1027" s="27">
        <v>-121615</v>
      </c>
      <c r="L1027" s="69">
        <v>-49.4</v>
      </c>
      <c r="M1027" s="27">
        <v>600156</v>
      </c>
      <c r="N1027" s="69">
        <v>-3.26</v>
      </c>
      <c r="O1027" s="69">
        <v>-2.1800000000000002</v>
      </c>
      <c r="P1027" s="69">
        <v>24.38</v>
      </c>
      <c r="Q1027" s="27">
        <v>14</v>
      </c>
      <c r="R1027" s="69">
        <v>2.27</v>
      </c>
      <c r="S1027" s="69">
        <v>70.400000000000006</v>
      </c>
      <c r="X1027" s="2">
        <f t="shared" si="45"/>
        <v>0.86</v>
      </c>
      <c r="Y1027" s="2">
        <f>SUMIF(收盤價!A:A,A1027,收盤價!C:C)</f>
        <v>83</v>
      </c>
      <c r="Z1027" s="2">
        <f t="shared" si="46"/>
        <v>1463180.328</v>
      </c>
      <c r="AA1027" s="2">
        <f t="shared" si="47"/>
        <v>4981294.8</v>
      </c>
    </row>
    <row r="1028" spans="1:27" ht="14.5" customHeight="1">
      <c r="A1028" s="7" t="s">
        <v>6409</v>
      </c>
      <c r="B1028" s="8" t="s">
        <v>2601</v>
      </c>
      <c r="C1028" s="27">
        <v>1510271</v>
      </c>
      <c r="D1028" s="27">
        <v>1826328</v>
      </c>
      <c r="E1028" s="69">
        <v>-17.309999999999999</v>
      </c>
      <c r="F1028" s="27">
        <v>210972</v>
      </c>
      <c r="G1028" s="27">
        <v>453394</v>
      </c>
      <c r="H1028" s="27">
        <v>-7500</v>
      </c>
      <c r="I1028" s="27">
        <v>-11843</v>
      </c>
      <c r="J1028" s="27">
        <v>159032</v>
      </c>
      <c r="K1028" s="27">
        <v>415312</v>
      </c>
      <c r="L1028" s="69">
        <v>-61.71</v>
      </c>
      <c r="M1028" s="27">
        <v>1181458</v>
      </c>
      <c r="N1028" s="69">
        <v>1.35</v>
      </c>
      <c r="O1028" s="69">
        <v>3.52</v>
      </c>
      <c r="P1028" s="69">
        <v>16.39</v>
      </c>
      <c r="Q1028" s="27">
        <v>28</v>
      </c>
      <c r="R1028" s="69">
        <v>2.4500000000000002</v>
      </c>
      <c r="S1028" s="69">
        <v>44.55</v>
      </c>
      <c r="X1028" s="2">
        <f t="shared" si="45"/>
        <v>0.72</v>
      </c>
      <c r="Y1028" s="2">
        <f>SUMIF(收盤價!A:A,A1028,收盤價!C:C)</f>
        <v>27.8</v>
      </c>
      <c r="Z1028" s="2">
        <f t="shared" si="46"/>
        <v>1936409.662</v>
      </c>
      <c r="AA1028" s="2">
        <f t="shared" si="47"/>
        <v>3284453.24</v>
      </c>
    </row>
    <row r="1029" spans="1:27" ht="14.5" customHeight="1">
      <c r="A1029" s="7" t="s">
        <v>6410</v>
      </c>
      <c r="B1029" s="8" t="s">
        <v>2665</v>
      </c>
      <c r="C1029" s="27">
        <v>2215211</v>
      </c>
      <c r="D1029" s="27">
        <v>1455235</v>
      </c>
      <c r="E1029" s="69">
        <v>52.22</v>
      </c>
      <c r="F1029" s="27">
        <v>414082</v>
      </c>
      <c r="G1029" s="27">
        <v>220928</v>
      </c>
      <c r="H1029" s="27">
        <v>13022</v>
      </c>
      <c r="I1029" s="27">
        <v>19018</v>
      </c>
      <c r="J1029" s="27">
        <v>375687</v>
      </c>
      <c r="K1029" s="27">
        <v>224692</v>
      </c>
      <c r="L1029" s="69">
        <v>67.2</v>
      </c>
      <c r="M1029" s="27">
        <v>1485000</v>
      </c>
      <c r="N1029" s="69">
        <v>2.5299999999999998</v>
      </c>
      <c r="O1029" s="69">
        <v>1.51</v>
      </c>
      <c r="P1029" s="69">
        <v>18.21</v>
      </c>
      <c r="Q1029" s="27">
        <v>38</v>
      </c>
      <c r="R1029" s="69">
        <v>1.6</v>
      </c>
      <c r="S1029" s="69">
        <v>29.59</v>
      </c>
      <c r="X1029" s="2">
        <f t="shared" ref="X1029:X1092" si="48">IF(W1029&lt;&gt;"",ROUND(W1029/U1029,2),(100-Q1029)/100)</f>
        <v>0.62</v>
      </c>
      <c r="Y1029" s="2">
        <f>SUMIF(收盤價!A:A,A1029,收盤價!C:C)</f>
        <v>18.05</v>
      </c>
      <c r="Z1029" s="2">
        <f t="shared" ref="Z1029:Z1092" si="49">IF(W1029&lt;&gt;"",U1029-W1029,M1029*P1029/10)</f>
        <v>2704185</v>
      </c>
      <c r="AA1029" s="2">
        <f t="shared" ref="AA1029:AA1092" si="50">Y1029*M1029/10</f>
        <v>2680425</v>
      </c>
    </row>
    <row r="1030" spans="1:27" ht="14.5" customHeight="1">
      <c r="A1030" s="7" t="s">
        <v>6411</v>
      </c>
      <c r="B1030" s="8" t="s">
        <v>2675</v>
      </c>
      <c r="C1030" s="27">
        <v>2280301</v>
      </c>
      <c r="D1030" s="27">
        <v>5697424</v>
      </c>
      <c r="E1030" s="69">
        <v>-59.98</v>
      </c>
      <c r="F1030" s="27">
        <v>225034</v>
      </c>
      <c r="G1030" s="27">
        <v>860379</v>
      </c>
      <c r="H1030" s="27">
        <v>-122471</v>
      </c>
      <c r="I1030" s="27">
        <v>-26469</v>
      </c>
      <c r="J1030" s="27">
        <v>119301</v>
      </c>
      <c r="K1030" s="27">
        <v>709682</v>
      </c>
      <c r="L1030" s="69">
        <v>-83.19</v>
      </c>
      <c r="M1030" s="27">
        <v>3461955</v>
      </c>
      <c r="N1030" s="69">
        <v>0.34</v>
      </c>
      <c r="O1030" s="69">
        <v>2.0499999999999998</v>
      </c>
      <c r="P1030" s="69">
        <v>21.88</v>
      </c>
      <c r="Q1030" s="27">
        <v>28</v>
      </c>
      <c r="R1030" s="69">
        <v>1.64</v>
      </c>
      <c r="S1030" s="69">
        <v>28.34</v>
      </c>
      <c r="X1030" s="2">
        <f t="shared" si="48"/>
        <v>0.72</v>
      </c>
      <c r="Y1030" s="2">
        <f>SUMIF(收盤價!A:A,A1030,收盤價!C:C)</f>
        <v>18.850000000000001</v>
      </c>
      <c r="Z1030" s="2">
        <f t="shared" si="49"/>
        <v>7574757.5399999991</v>
      </c>
      <c r="AA1030" s="2">
        <f t="shared" si="50"/>
        <v>6525785.1750000007</v>
      </c>
    </row>
    <row r="1031" spans="1:27" ht="14.5" customHeight="1">
      <c r="A1031" s="7" t="s">
        <v>6412</v>
      </c>
      <c r="B1031" s="8" t="s">
        <v>2729</v>
      </c>
      <c r="C1031" s="27">
        <v>762602</v>
      </c>
      <c r="D1031" s="27">
        <v>1476133</v>
      </c>
      <c r="E1031" s="69">
        <v>-48.34</v>
      </c>
      <c r="F1031" s="27">
        <v>-35279</v>
      </c>
      <c r="G1031" s="27">
        <v>77902</v>
      </c>
      <c r="H1031" s="27">
        <v>-40505</v>
      </c>
      <c r="I1031" s="27">
        <v>-55654</v>
      </c>
      <c r="J1031" s="27">
        <v>-103539</v>
      </c>
      <c r="K1031" s="27">
        <v>3465</v>
      </c>
      <c r="L1031" s="28" t="s">
        <v>6413</v>
      </c>
      <c r="M1031" s="27">
        <v>1063791</v>
      </c>
      <c r="N1031" s="69">
        <v>-0.97</v>
      </c>
      <c r="O1031" s="69">
        <v>0.03</v>
      </c>
      <c r="P1031" s="69">
        <v>6.42</v>
      </c>
      <c r="Q1031" s="27">
        <v>19</v>
      </c>
      <c r="R1031" s="69">
        <v>1.64</v>
      </c>
      <c r="S1031" s="69">
        <v>67.89</v>
      </c>
      <c r="X1031" s="2">
        <f t="shared" si="48"/>
        <v>0.81</v>
      </c>
      <c r="Y1031" s="2">
        <f>SUMIF(收盤價!A:A,A1031,收盤價!C:C)</f>
        <v>9.8000000000000007</v>
      </c>
      <c r="Z1031" s="2">
        <f t="shared" si="49"/>
        <v>682953.82199999993</v>
      </c>
      <c r="AA1031" s="2">
        <f t="shared" si="50"/>
        <v>1042515.18</v>
      </c>
    </row>
    <row r="1032" spans="1:27" ht="14.5" customHeight="1">
      <c r="A1032" s="7" t="s">
        <v>6414</v>
      </c>
      <c r="B1032" s="8" t="s">
        <v>2787</v>
      </c>
      <c r="C1032" s="27">
        <v>2756542</v>
      </c>
      <c r="D1032" s="27">
        <v>801672</v>
      </c>
      <c r="E1032" s="69">
        <v>243.85</v>
      </c>
      <c r="F1032" s="27">
        <v>201979</v>
      </c>
      <c r="G1032" s="27">
        <v>91260</v>
      </c>
      <c r="H1032" s="27">
        <v>1384</v>
      </c>
      <c r="I1032" s="27">
        <v>4259</v>
      </c>
      <c r="J1032" s="27">
        <v>203363</v>
      </c>
      <c r="K1032" s="27">
        <v>95519</v>
      </c>
      <c r="L1032" s="69">
        <v>112.9</v>
      </c>
      <c r="M1032" s="27">
        <v>655018</v>
      </c>
      <c r="N1032" s="69">
        <v>3.1</v>
      </c>
      <c r="O1032" s="69">
        <v>1.46</v>
      </c>
      <c r="P1032" s="69">
        <v>8.43</v>
      </c>
      <c r="Q1032" s="27">
        <v>88</v>
      </c>
      <c r="R1032" s="69">
        <v>7.61</v>
      </c>
      <c r="S1032" s="69">
        <v>720.7</v>
      </c>
      <c r="X1032" s="2">
        <f t="shared" si="48"/>
        <v>0.12</v>
      </c>
      <c r="Y1032" s="2">
        <f>SUMIF(收盤價!A:A,A1032,收盤價!C:C)</f>
        <v>28.45</v>
      </c>
      <c r="Z1032" s="2">
        <f t="shared" si="49"/>
        <v>552180.174</v>
      </c>
      <c r="AA1032" s="2">
        <f t="shared" si="50"/>
        <v>1863526.2099999997</v>
      </c>
    </row>
    <row r="1033" spans="1:27" ht="14.5" customHeight="1">
      <c r="A1033" s="7" t="s">
        <v>6415</v>
      </c>
      <c r="B1033" s="8" t="s">
        <v>2821</v>
      </c>
      <c r="C1033" s="27">
        <v>2338894</v>
      </c>
      <c r="D1033" s="27">
        <v>3185537</v>
      </c>
      <c r="E1033" s="69">
        <v>-26.58</v>
      </c>
      <c r="F1033" s="27">
        <v>452378</v>
      </c>
      <c r="G1033" s="27">
        <v>714566</v>
      </c>
      <c r="H1033" s="27">
        <v>672</v>
      </c>
      <c r="I1033" s="27">
        <v>324</v>
      </c>
      <c r="J1033" s="27">
        <v>435534</v>
      </c>
      <c r="K1033" s="27">
        <v>690825</v>
      </c>
      <c r="L1033" s="69">
        <v>-36.950000000000003</v>
      </c>
      <c r="M1033" s="27">
        <v>2174281</v>
      </c>
      <c r="N1033" s="69">
        <v>2</v>
      </c>
      <c r="O1033" s="69">
        <v>3.18</v>
      </c>
      <c r="P1033" s="69">
        <v>20.11</v>
      </c>
      <c r="Q1033" s="27">
        <v>45</v>
      </c>
      <c r="R1033" s="69">
        <v>2.75</v>
      </c>
      <c r="S1033" s="69">
        <v>7.02</v>
      </c>
      <c r="X1033" s="2">
        <f t="shared" si="48"/>
        <v>0.55000000000000004</v>
      </c>
      <c r="Y1033" s="2">
        <f>SUMIF(收盤價!A:A,A1033,收盤價!C:C)</f>
        <v>33.25</v>
      </c>
      <c r="Z1033" s="2">
        <f t="shared" si="49"/>
        <v>4372479.091</v>
      </c>
      <c r="AA1033" s="2">
        <f t="shared" si="50"/>
        <v>7229484.3250000002</v>
      </c>
    </row>
    <row r="1034" spans="1:27" ht="14.5" customHeight="1">
      <c r="A1034" s="7" t="s">
        <v>6416</v>
      </c>
      <c r="B1034" s="8" t="s">
        <v>2823</v>
      </c>
      <c r="C1034" s="27">
        <v>5519529</v>
      </c>
      <c r="D1034" s="27">
        <v>5390270</v>
      </c>
      <c r="E1034" s="69">
        <v>2.4</v>
      </c>
      <c r="F1034" s="27">
        <v>573686</v>
      </c>
      <c r="G1034" s="27">
        <v>582498</v>
      </c>
      <c r="H1034" s="27">
        <v>100799</v>
      </c>
      <c r="I1034" s="27">
        <v>73838</v>
      </c>
      <c r="J1034" s="27">
        <v>537468</v>
      </c>
      <c r="K1034" s="27">
        <v>515897</v>
      </c>
      <c r="L1034" s="69">
        <v>4.18</v>
      </c>
      <c r="M1034" s="27">
        <v>1134400</v>
      </c>
      <c r="N1034" s="69">
        <v>4.74</v>
      </c>
      <c r="O1034" s="69">
        <v>4.55</v>
      </c>
      <c r="P1034" s="69">
        <v>36.26</v>
      </c>
      <c r="Q1034" s="27">
        <v>48</v>
      </c>
      <c r="R1034" s="69">
        <v>1.84</v>
      </c>
      <c r="S1034" s="69">
        <v>161.13</v>
      </c>
      <c r="X1034" s="2">
        <f t="shared" si="48"/>
        <v>0.52</v>
      </c>
      <c r="Y1034" s="2">
        <f>SUMIF(收盤價!A:A,A1034,收盤價!C:C)</f>
        <v>30.8</v>
      </c>
      <c r="Z1034" s="2">
        <f t="shared" si="49"/>
        <v>4113334.4</v>
      </c>
      <c r="AA1034" s="2">
        <f t="shared" si="50"/>
        <v>3493952</v>
      </c>
    </row>
    <row r="1035" spans="1:27" ht="14.5" customHeight="1">
      <c r="A1035" s="7" t="s">
        <v>6417</v>
      </c>
      <c r="B1035" s="8" t="s">
        <v>2825</v>
      </c>
      <c r="C1035" s="27">
        <v>7827344</v>
      </c>
      <c r="D1035" s="27">
        <v>5920533</v>
      </c>
      <c r="E1035" s="69">
        <v>32.21</v>
      </c>
      <c r="F1035" s="27">
        <v>1443078</v>
      </c>
      <c r="G1035" s="27">
        <v>707089</v>
      </c>
      <c r="H1035" s="27">
        <v>-267636</v>
      </c>
      <c r="I1035" s="27">
        <v>-189367</v>
      </c>
      <c r="J1035" s="27">
        <v>827825</v>
      </c>
      <c r="K1035" s="27">
        <v>73040</v>
      </c>
      <c r="L1035" s="28" t="s">
        <v>6378</v>
      </c>
      <c r="M1035" s="27">
        <v>7439927</v>
      </c>
      <c r="N1035" s="69">
        <v>1.1200000000000001</v>
      </c>
      <c r="O1035" s="69">
        <v>0.1</v>
      </c>
      <c r="P1035" s="69">
        <v>18.45</v>
      </c>
      <c r="Q1035" s="27">
        <v>34</v>
      </c>
      <c r="R1035" s="69">
        <v>1.46</v>
      </c>
      <c r="S1035" s="69">
        <v>43.2</v>
      </c>
      <c r="X1035" s="2">
        <f t="shared" si="48"/>
        <v>0.66</v>
      </c>
      <c r="Y1035" s="2">
        <f>SUMIF(收盤價!A:A,A1035,收盤價!C:C)</f>
        <v>10.55</v>
      </c>
      <c r="Z1035" s="2">
        <f t="shared" si="49"/>
        <v>13726665.315000001</v>
      </c>
      <c r="AA1035" s="2">
        <f t="shared" si="50"/>
        <v>7849122.9850000013</v>
      </c>
    </row>
    <row r="1036" spans="1:27" ht="14.5" customHeight="1">
      <c r="A1036" s="7" t="s">
        <v>6418</v>
      </c>
      <c r="B1036" s="8" t="s">
        <v>2827</v>
      </c>
      <c r="C1036" s="27">
        <v>1302273</v>
      </c>
      <c r="D1036" s="27">
        <v>455869</v>
      </c>
      <c r="E1036" s="69">
        <v>185.67</v>
      </c>
      <c r="F1036" s="27">
        <v>378928</v>
      </c>
      <c r="G1036" s="27">
        <v>-17699</v>
      </c>
      <c r="H1036" s="27">
        <v>30027</v>
      </c>
      <c r="I1036" s="27">
        <v>39491</v>
      </c>
      <c r="J1036" s="27">
        <v>339651</v>
      </c>
      <c r="K1036" s="27">
        <v>21301</v>
      </c>
      <c r="L1036" s="28" t="s">
        <v>6378</v>
      </c>
      <c r="M1036" s="27">
        <v>1766433</v>
      </c>
      <c r="N1036" s="69">
        <v>2</v>
      </c>
      <c r="O1036" s="69">
        <v>0.13</v>
      </c>
      <c r="P1036" s="69">
        <v>15.57</v>
      </c>
      <c r="Q1036" s="27">
        <v>79</v>
      </c>
      <c r="R1036" s="69">
        <v>3.32</v>
      </c>
      <c r="S1036" s="69">
        <v>109.55</v>
      </c>
      <c r="X1036" s="2">
        <f t="shared" si="48"/>
        <v>0.21</v>
      </c>
      <c r="Y1036" s="2">
        <f>SUMIF(收盤價!A:A,A1036,收盤價!C:C)</f>
        <v>19.350000000000001</v>
      </c>
      <c r="Z1036" s="2">
        <f t="shared" si="49"/>
        <v>2750336.1809999999</v>
      </c>
      <c r="AA1036" s="2">
        <f t="shared" si="50"/>
        <v>3418047.8550000004</v>
      </c>
    </row>
    <row r="1037" spans="1:27" ht="14.5" customHeight="1">
      <c r="A1037" s="7" t="s">
        <v>6419</v>
      </c>
      <c r="B1037" s="8" t="s">
        <v>2829</v>
      </c>
      <c r="C1037" s="27">
        <v>1014215</v>
      </c>
      <c r="D1037" s="27">
        <v>1256868</v>
      </c>
      <c r="E1037" s="69">
        <v>-19.309999999999999</v>
      </c>
      <c r="F1037" s="27">
        <v>47158</v>
      </c>
      <c r="G1037" s="27">
        <v>65727</v>
      </c>
      <c r="H1037" s="27">
        <v>-12401</v>
      </c>
      <c r="I1037" s="27">
        <v>668</v>
      </c>
      <c r="J1037" s="27">
        <v>32964</v>
      </c>
      <c r="K1037" s="27">
        <v>68207</v>
      </c>
      <c r="L1037" s="69">
        <v>-51.67</v>
      </c>
      <c r="M1037" s="27">
        <v>382950</v>
      </c>
      <c r="N1037" s="69">
        <v>0.86</v>
      </c>
      <c r="O1037" s="69">
        <v>1.78</v>
      </c>
      <c r="P1037" s="69">
        <v>13.28</v>
      </c>
      <c r="Q1037" s="27">
        <v>33</v>
      </c>
      <c r="R1037" s="69">
        <v>1.32</v>
      </c>
      <c r="S1037" s="69">
        <v>131.87</v>
      </c>
      <c r="X1037" s="2">
        <f t="shared" si="48"/>
        <v>0.67</v>
      </c>
      <c r="Y1037" s="2">
        <f>SUMIF(收盤價!A:A,A1037,收盤價!C:C)</f>
        <v>0</v>
      </c>
      <c r="Z1037" s="2">
        <f t="shared" si="49"/>
        <v>508557.6</v>
      </c>
      <c r="AA1037" s="2">
        <f t="shared" si="50"/>
        <v>0</v>
      </c>
    </row>
    <row r="1038" spans="1:27" ht="14.5" customHeight="1">
      <c r="A1038" s="7" t="s">
        <v>6420</v>
      </c>
      <c r="B1038" s="8" t="s">
        <v>2831</v>
      </c>
      <c r="C1038" s="27">
        <v>2106749</v>
      </c>
      <c r="D1038" s="27">
        <v>1759633</v>
      </c>
      <c r="E1038" s="69">
        <v>19.73</v>
      </c>
      <c r="F1038" s="27">
        <v>112735</v>
      </c>
      <c r="G1038" s="27">
        <v>23744</v>
      </c>
      <c r="H1038" s="27">
        <v>60229</v>
      </c>
      <c r="I1038" s="27">
        <v>60045</v>
      </c>
      <c r="J1038" s="27">
        <v>124076</v>
      </c>
      <c r="K1038" s="27">
        <v>61625</v>
      </c>
      <c r="L1038" s="69">
        <v>101.34</v>
      </c>
      <c r="M1038" s="27">
        <v>603152</v>
      </c>
      <c r="N1038" s="69">
        <v>2.0499999999999998</v>
      </c>
      <c r="O1038" s="69">
        <v>0.91</v>
      </c>
      <c r="P1038" s="69">
        <v>29.34</v>
      </c>
      <c r="Q1038" s="27">
        <v>72</v>
      </c>
      <c r="R1038" s="69">
        <v>2.7</v>
      </c>
      <c r="S1038" s="69">
        <v>240.94</v>
      </c>
      <c r="X1038" s="2">
        <f t="shared" si="48"/>
        <v>0.28000000000000003</v>
      </c>
      <c r="Y1038" s="2">
        <f>SUMIF(收盤價!A:A,A1038,收盤價!C:C)</f>
        <v>32.299999999999997</v>
      </c>
      <c r="Z1038" s="2">
        <f t="shared" si="49"/>
        <v>1769647.9679999999</v>
      </c>
      <c r="AA1038" s="2">
        <f t="shared" si="50"/>
        <v>1948180.9599999997</v>
      </c>
    </row>
    <row r="1039" spans="1:27" ht="14.5" customHeight="1">
      <c r="A1039" s="7" t="s">
        <v>6421</v>
      </c>
      <c r="B1039" s="8" t="s">
        <v>2833</v>
      </c>
      <c r="C1039" s="27">
        <v>231624</v>
      </c>
      <c r="D1039" s="27">
        <v>970314</v>
      </c>
      <c r="E1039" s="69">
        <v>-76.13</v>
      </c>
      <c r="F1039" s="27">
        <v>39096</v>
      </c>
      <c r="G1039" s="27">
        <v>134901</v>
      </c>
      <c r="H1039" s="27">
        <v>-7955</v>
      </c>
      <c r="I1039" s="27">
        <v>-16719</v>
      </c>
      <c r="J1039" s="27">
        <v>27953</v>
      </c>
      <c r="K1039" s="27">
        <v>118468</v>
      </c>
      <c r="L1039" s="69">
        <v>-76.400000000000006</v>
      </c>
      <c r="M1039" s="27">
        <v>1550015</v>
      </c>
      <c r="N1039" s="69">
        <v>0.18</v>
      </c>
      <c r="O1039" s="69">
        <v>0.76</v>
      </c>
      <c r="P1039" s="69">
        <v>11.63</v>
      </c>
      <c r="Q1039" s="27">
        <v>40</v>
      </c>
      <c r="R1039" s="69">
        <v>4.92</v>
      </c>
      <c r="S1039" s="69">
        <v>19.059999999999999</v>
      </c>
      <c r="X1039" s="2">
        <f t="shared" si="48"/>
        <v>0.6</v>
      </c>
      <c r="Y1039" s="2">
        <f>SUMIF(收盤價!A:A,A1039,收盤價!C:C)</f>
        <v>11.8</v>
      </c>
      <c r="Z1039" s="2">
        <f t="shared" si="49"/>
        <v>1802667.4450000003</v>
      </c>
      <c r="AA1039" s="2">
        <f t="shared" si="50"/>
        <v>1829017.7</v>
      </c>
    </row>
    <row r="1040" spans="1:27" ht="14.5" customHeight="1">
      <c r="A1040" s="7" t="s">
        <v>6422</v>
      </c>
      <c r="B1040" s="8" t="s">
        <v>2835</v>
      </c>
      <c r="C1040" s="27">
        <v>1531165</v>
      </c>
      <c r="D1040" s="27">
        <v>199011</v>
      </c>
      <c r="E1040" s="69">
        <v>669.39</v>
      </c>
      <c r="F1040" s="27">
        <v>-114588</v>
      </c>
      <c r="G1040" s="27">
        <v>-125052</v>
      </c>
      <c r="H1040" s="27">
        <v>-28607</v>
      </c>
      <c r="I1040" s="27">
        <v>-29370</v>
      </c>
      <c r="J1040" s="27">
        <v>-152872</v>
      </c>
      <c r="K1040" s="27">
        <v>-142129</v>
      </c>
      <c r="L1040" s="69">
        <v>-7.56</v>
      </c>
      <c r="M1040" s="27">
        <v>884328</v>
      </c>
      <c r="N1040" s="69">
        <v>-1.34</v>
      </c>
      <c r="O1040" s="69">
        <v>-1.36</v>
      </c>
      <c r="P1040" s="69">
        <v>7.58</v>
      </c>
      <c r="Q1040" s="27">
        <v>48</v>
      </c>
      <c r="R1040" s="69">
        <v>2.6</v>
      </c>
      <c r="S1040" s="69">
        <v>35.700000000000003</v>
      </c>
      <c r="X1040" s="2">
        <f t="shared" si="48"/>
        <v>0.52</v>
      </c>
      <c r="Y1040" s="2">
        <f>SUMIF(收盤價!A:A,A1040,收盤價!C:C)</f>
        <v>8</v>
      </c>
      <c r="Z1040" s="2">
        <f t="shared" si="49"/>
        <v>670320.62400000007</v>
      </c>
      <c r="AA1040" s="2">
        <f t="shared" si="50"/>
        <v>707462.4</v>
      </c>
    </row>
    <row r="1041" spans="1:27" ht="14.5" customHeight="1">
      <c r="A1041" s="7" t="s">
        <v>6423</v>
      </c>
      <c r="B1041" s="8" t="s">
        <v>2955</v>
      </c>
      <c r="C1041" s="27">
        <v>169559</v>
      </c>
      <c r="D1041" s="27">
        <v>285152</v>
      </c>
      <c r="E1041" s="69">
        <v>-40.54</v>
      </c>
      <c r="F1041" s="27">
        <v>2092</v>
      </c>
      <c r="G1041" s="27">
        <v>33754</v>
      </c>
      <c r="H1041" s="27">
        <v>1479</v>
      </c>
      <c r="I1041" s="27">
        <v>-441</v>
      </c>
      <c r="J1041" s="27">
        <v>3296</v>
      </c>
      <c r="K1041" s="27">
        <v>23701</v>
      </c>
      <c r="L1041" s="69">
        <v>-86.09</v>
      </c>
      <c r="M1041" s="27">
        <v>753520</v>
      </c>
      <c r="N1041" s="69">
        <v>0.04</v>
      </c>
      <c r="O1041" s="69">
        <v>0.31</v>
      </c>
      <c r="P1041" s="69">
        <v>14.14</v>
      </c>
      <c r="Q1041" s="27">
        <v>45</v>
      </c>
      <c r="R1041" s="69">
        <v>1.82</v>
      </c>
      <c r="S1041" s="69">
        <v>14.18</v>
      </c>
      <c r="X1041" s="2">
        <f t="shared" si="48"/>
        <v>0.55000000000000004</v>
      </c>
      <c r="Y1041" s="2">
        <f>SUMIF(收盤價!A:A,A1041,收盤價!C:C)</f>
        <v>22.75</v>
      </c>
      <c r="Z1041" s="2">
        <f t="shared" si="49"/>
        <v>1065477.28</v>
      </c>
      <c r="AA1041" s="2">
        <f t="shared" si="50"/>
        <v>1714258</v>
      </c>
    </row>
    <row r="1042" spans="1:27" ht="14.5" customHeight="1">
      <c r="A1042" s="7" t="s">
        <v>6424</v>
      </c>
      <c r="B1042" s="8" t="s">
        <v>2971</v>
      </c>
      <c r="C1042" s="27">
        <v>2790647</v>
      </c>
      <c r="D1042" s="27">
        <v>1341725</v>
      </c>
      <c r="E1042" s="69">
        <v>107.99</v>
      </c>
      <c r="F1042" s="27">
        <v>443466</v>
      </c>
      <c r="G1042" s="27">
        <v>2859</v>
      </c>
      <c r="H1042" s="27">
        <v>-11295</v>
      </c>
      <c r="I1042" s="27">
        <v>-35777</v>
      </c>
      <c r="J1042" s="27">
        <v>420938</v>
      </c>
      <c r="K1042" s="27">
        <v>-33907</v>
      </c>
      <c r="L1042" s="28" t="s">
        <v>6378</v>
      </c>
      <c r="M1042" s="27">
        <v>1000344</v>
      </c>
      <c r="N1042" s="69">
        <v>4.21</v>
      </c>
      <c r="O1042" s="69">
        <v>-0.36</v>
      </c>
      <c r="P1042" s="69">
        <v>17.88</v>
      </c>
      <c r="Q1042" s="27">
        <v>19</v>
      </c>
      <c r="R1042" s="69">
        <v>1.5</v>
      </c>
      <c r="S1042" s="69">
        <v>30.36</v>
      </c>
      <c r="X1042" s="2">
        <f t="shared" si="48"/>
        <v>0.81</v>
      </c>
      <c r="Y1042" s="2">
        <f>SUMIF(收盤價!A:A,A1042,收盤價!C:C)</f>
        <v>31.9</v>
      </c>
      <c r="Z1042" s="2">
        <f t="shared" si="49"/>
        <v>1788615.0719999999</v>
      </c>
      <c r="AA1042" s="2">
        <f t="shared" si="50"/>
        <v>3191097.36</v>
      </c>
    </row>
    <row r="1043" spans="1:27" ht="14.5" customHeight="1">
      <c r="A1043" s="7" t="s">
        <v>6425</v>
      </c>
      <c r="B1043" s="8" t="s">
        <v>2997</v>
      </c>
      <c r="C1043" s="27">
        <v>688559</v>
      </c>
      <c r="D1043" s="27">
        <v>3785785</v>
      </c>
      <c r="E1043" s="69">
        <v>-81.81</v>
      </c>
      <c r="F1043" s="27">
        <v>59712</v>
      </c>
      <c r="G1043" s="27">
        <v>807151</v>
      </c>
      <c r="H1043" s="27">
        <v>-260</v>
      </c>
      <c r="I1043" s="27">
        <v>6649</v>
      </c>
      <c r="J1043" s="27">
        <v>20677</v>
      </c>
      <c r="K1043" s="27">
        <v>766763</v>
      </c>
      <c r="L1043" s="69">
        <v>-97.3</v>
      </c>
      <c r="M1043" s="27">
        <v>1020000</v>
      </c>
      <c r="N1043" s="69">
        <v>0.2</v>
      </c>
      <c r="O1043" s="69">
        <v>7.52</v>
      </c>
      <c r="P1043" s="69">
        <v>20.96</v>
      </c>
      <c r="Q1043" s="27">
        <v>33</v>
      </c>
      <c r="R1043" s="69">
        <v>1.48</v>
      </c>
      <c r="S1043" s="69">
        <v>19.190000000000001</v>
      </c>
      <c r="X1043" s="2">
        <f t="shared" si="48"/>
        <v>0.67</v>
      </c>
      <c r="Y1043" s="2">
        <f>SUMIF(收盤價!A:A,A1043,收盤價!C:C)</f>
        <v>43.5</v>
      </c>
      <c r="Z1043" s="2">
        <f t="shared" si="49"/>
        <v>2137920</v>
      </c>
      <c r="AA1043" s="2">
        <f t="shared" si="50"/>
        <v>4437000</v>
      </c>
    </row>
    <row r="1044" spans="1:27" ht="14.5" customHeight="1">
      <c r="A1044" s="7" t="s">
        <v>6426</v>
      </c>
      <c r="B1044" s="8" t="s">
        <v>3003</v>
      </c>
      <c r="C1044" s="27">
        <v>1622810</v>
      </c>
      <c r="D1044" s="27">
        <v>2380741</v>
      </c>
      <c r="E1044" s="69">
        <v>-31.84</v>
      </c>
      <c r="F1044" s="27">
        <v>121989</v>
      </c>
      <c r="G1044" s="27">
        <v>236818</v>
      </c>
      <c r="H1044" s="27">
        <v>88595</v>
      </c>
      <c r="I1044" s="27">
        <v>-83723</v>
      </c>
      <c r="J1044" s="27">
        <v>200479</v>
      </c>
      <c r="K1044" s="27">
        <v>109400</v>
      </c>
      <c r="L1044" s="69">
        <v>83.25</v>
      </c>
      <c r="M1044" s="27">
        <v>1540163</v>
      </c>
      <c r="N1044" s="69">
        <v>1.3</v>
      </c>
      <c r="O1044" s="69">
        <v>0.71</v>
      </c>
      <c r="P1044" s="69">
        <v>12.06</v>
      </c>
      <c r="Q1044" s="27">
        <v>23</v>
      </c>
      <c r="R1044" s="69">
        <v>1.49</v>
      </c>
      <c r="S1044" s="69">
        <v>34.61</v>
      </c>
      <c r="X1044" s="2">
        <f t="shared" si="48"/>
        <v>0.77</v>
      </c>
      <c r="Y1044" s="2">
        <f>SUMIF(收盤價!A:A,A1044,收盤價!C:C)</f>
        <v>15.55</v>
      </c>
      <c r="Z1044" s="2">
        <f t="shared" si="49"/>
        <v>1857436.5780000002</v>
      </c>
      <c r="AA1044" s="2">
        <f t="shared" si="50"/>
        <v>2394953.4650000003</v>
      </c>
    </row>
    <row r="1045" spans="1:27" ht="14.5" customHeight="1">
      <c r="A1045" s="7" t="s">
        <v>6427</v>
      </c>
      <c r="B1045" s="8" t="s">
        <v>3053</v>
      </c>
      <c r="C1045" s="27">
        <v>187399</v>
      </c>
      <c r="D1045" s="27">
        <v>340646</v>
      </c>
      <c r="E1045" s="69">
        <v>-44.99</v>
      </c>
      <c r="F1045" s="27">
        <v>-32149</v>
      </c>
      <c r="G1045" s="27">
        <v>24541</v>
      </c>
      <c r="H1045" s="27">
        <v>-31272</v>
      </c>
      <c r="I1045" s="27">
        <v>-20787</v>
      </c>
      <c r="J1045" s="27">
        <v>-66554</v>
      </c>
      <c r="K1045" s="27">
        <v>3764</v>
      </c>
      <c r="L1045" s="28" t="s">
        <v>6413</v>
      </c>
      <c r="M1045" s="27">
        <v>1163553</v>
      </c>
      <c r="N1045" s="69">
        <v>-0.56999999999999995</v>
      </c>
      <c r="O1045" s="69">
        <v>0.03</v>
      </c>
      <c r="P1045" s="69">
        <v>8.26</v>
      </c>
      <c r="Q1045" s="27">
        <v>40</v>
      </c>
      <c r="R1045" s="69">
        <v>1.52</v>
      </c>
      <c r="S1045" s="69">
        <v>42.23</v>
      </c>
      <c r="X1045" s="2">
        <f t="shared" si="48"/>
        <v>0.6</v>
      </c>
      <c r="Y1045" s="2">
        <f>SUMIF(收盤價!A:A,A1045,收盤價!C:C)</f>
        <v>6.05</v>
      </c>
      <c r="Z1045" s="2">
        <f t="shared" si="49"/>
        <v>961094.77799999993</v>
      </c>
      <c r="AA1045" s="2">
        <f t="shared" si="50"/>
        <v>703949.56499999994</v>
      </c>
    </row>
    <row r="1046" spans="1:27" ht="14.5" customHeight="1">
      <c r="A1046" s="7" t="s">
        <v>6428</v>
      </c>
      <c r="B1046" s="8" t="s">
        <v>3393</v>
      </c>
      <c r="C1046" s="27">
        <v>939992</v>
      </c>
      <c r="D1046" s="27">
        <v>992797</v>
      </c>
      <c r="E1046" s="69">
        <v>-5.32</v>
      </c>
      <c r="F1046" s="27">
        <v>218870</v>
      </c>
      <c r="G1046" s="27">
        <v>212697</v>
      </c>
      <c r="H1046" s="27">
        <v>7332</v>
      </c>
      <c r="I1046" s="27">
        <v>6026</v>
      </c>
      <c r="J1046" s="27">
        <v>180464</v>
      </c>
      <c r="K1046" s="27">
        <v>173211</v>
      </c>
      <c r="L1046" s="69">
        <v>4.1900000000000004</v>
      </c>
      <c r="M1046" s="27">
        <v>360544</v>
      </c>
      <c r="N1046" s="69">
        <v>5.01</v>
      </c>
      <c r="O1046" s="69">
        <v>4.8</v>
      </c>
      <c r="P1046" s="69">
        <v>29.34</v>
      </c>
      <c r="Q1046" s="27">
        <v>86</v>
      </c>
      <c r="R1046" s="69">
        <v>3.2</v>
      </c>
      <c r="S1046" s="69">
        <v>240.96</v>
      </c>
      <c r="X1046" s="2">
        <f t="shared" si="48"/>
        <v>0.14000000000000001</v>
      </c>
      <c r="Y1046" s="2">
        <f>SUMIF(收盤價!A:A,A1046,收盤價!C:C)</f>
        <v>53.8</v>
      </c>
      <c r="Z1046" s="2">
        <f t="shared" si="49"/>
        <v>1057836.0959999999</v>
      </c>
      <c r="AA1046" s="2">
        <f t="shared" si="50"/>
        <v>1939726.72</v>
      </c>
    </row>
    <row r="1047" spans="1:27" ht="14.5" customHeight="1">
      <c r="A1047" s="7" t="s">
        <v>6429</v>
      </c>
      <c r="B1047" s="8" t="s">
        <v>2011</v>
      </c>
      <c r="C1047" s="27">
        <v>787399</v>
      </c>
      <c r="D1047" s="27">
        <v>795087</v>
      </c>
      <c r="E1047" s="69">
        <v>-0.97</v>
      </c>
      <c r="F1047" s="27">
        <v>156511</v>
      </c>
      <c r="G1047" s="27">
        <v>147618</v>
      </c>
      <c r="H1047" s="27">
        <v>-73608</v>
      </c>
      <c r="I1047" s="27">
        <v>-57221</v>
      </c>
      <c r="J1047" s="27">
        <v>80593</v>
      </c>
      <c r="K1047" s="27">
        <v>91865</v>
      </c>
      <c r="L1047" s="69">
        <v>-12.27</v>
      </c>
      <c r="M1047" s="27">
        <v>1511246</v>
      </c>
      <c r="N1047" s="69">
        <v>0.53</v>
      </c>
      <c r="O1047" s="69">
        <v>0.62</v>
      </c>
      <c r="P1047" s="69">
        <v>10.55</v>
      </c>
      <c r="Q1047" s="27">
        <v>36</v>
      </c>
      <c r="R1047" s="69">
        <v>0.1</v>
      </c>
      <c r="S1047" s="69">
        <v>6.51</v>
      </c>
      <c r="X1047" s="2">
        <f t="shared" si="48"/>
        <v>0.64</v>
      </c>
      <c r="Y1047" s="2">
        <f>SUMIF(收盤價!A:A,A1047,收盤價!C:C)</f>
        <v>7.11</v>
      </c>
      <c r="Z1047" s="2">
        <f t="shared" si="49"/>
        <v>1594364.53</v>
      </c>
      <c r="AA1047" s="2">
        <f t="shared" si="50"/>
        <v>1074495.906</v>
      </c>
    </row>
    <row r="1048" spans="1:27" ht="14.5" customHeight="1">
      <c r="A1048" s="7" t="s">
        <v>6430</v>
      </c>
      <c r="B1048" s="8" t="s">
        <v>2013</v>
      </c>
      <c r="C1048" s="27">
        <v>3217339</v>
      </c>
      <c r="D1048" s="27">
        <v>2723361</v>
      </c>
      <c r="E1048" s="69">
        <v>18.14</v>
      </c>
      <c r="F1048" s="27">
        <v>163031</v>
      </c>
      <c r="G1048" s="27">
        <v>90739</v>
      </c>
      <c r="H1048" s="27">
        <v>-8510</v>
      </c>
      <c r="I1048" s="27">
        <v>-1448</v>
      </c>
      <c r="J1048" s="27">
        <v>120550</v>
      </c>
      <c r="K1048" s="27">
        <v>73586</v>
      </c>
      <c r="L1048" s="69">
        <v>63.82</v>
      </c>
      <c r="M1048" s="27">
        <v>262300</v>
      </c>
      <c r="N1048" s="69">
        <v>4.5999999999999996</v>
      </c>
      <c r="O1048" s="69">
        <v>2.81</v>
      </c>
      <c r="P1048" s="69">
        <v>26.41</v>
      </c>
      <c r="Q1048" s="27">
        <v>48</v>
      </c>
      <c r="R1048" s="69">
        <v>1.99</v>
      </c>
      <c r="S1048" s="69">
        <v>199.03</v>
      </c>
      <c r="X1048" s="2">
        <f t="shared" si="48"/>
        <v>0.52</v>
      </c>
      <c r="Y1048" s="2">
        <f>SUMIF(收盤價!A:A,A1048,收盤價!C:C)</f>
        <v>40.299999999999997</v>
      </c>
      <c r="Z1048" s="2">
        <f t="shared" si="49"/>
        <v>692734.3</v>
      </c>
      <c r="AA1048" s="2">
        <f t="shared" si="50"/>
        <v>1057069</v>
      </c>
    </row>
    <row r="1049" spans="1:27" ht="14.5" customHeight="1">
      <c r="A1049" s="7" t="s">
        <v>6431</v>
      </c>
      <c r="B1049" s="8" t="s">
        <v>2843</v>
      </c>
      <c r="C1049" s="27">
        <v>81264</v>
      </c>
      <c r="D1049" s="27">
        <v>80904</v>
      </c>
      <c r="E1049" s="69">
        <v>0.44</v>
      </c>
      <c r="F1049" s="27">
        <v>17784</v>
      </c>
      <c r="G1049" s="27">
        <v>22727</v>
      </c>
      <c r="H1049" s="27">
        <v>1279</v>
      </c>
      <c r="I1049" s="27">
        <v>867</v>
      </c>
      <c r="J1049" s="27">
        <v>15393</v>
      </c>
      <c r="K1049" s="27">
        <v>18932</v>
      </c>
      <c r="L1049" s="69">
        <v>-18.690000000000001</v>
      </c>
      <c r="M1049" s="27">
        <v>648000</v>
      </c>
      <c r="N1049" s="69">
        <v>0.24</v>
      </c>
      <c r="O1049" s="69">
        <v>0.28999999999999998</v>
      </c>
      <c r="P1049" s="69">
        <v>21.02</v>
      </c>
      <c r="Q1049" s="27">
        <v>73</v>
      </c>
      <c r="R1049" s="69">
        <v>5.19</v>
      </c>
      <c r="S1049" s="69">
        <v>518.51</v>
      </c>
      <c r="X1049" s="2">
        <f t="shared" si="48"/>
        <v>0.27</v>
      </c>
      <c r="Y1049" s="2">
        <f>SUMIF(收盤價!A:A,A1049,收盤價!C:C)</f>
        <v>26.65</v>
      </c>
      <c r="Z1049" s="2">
        <f t="shared" si="49"/>
        <v>1362096</v>
      </c>
      <c r="AA1049" s="2">
        <f t="shared" si="50"/>
        <v>1726920</v>
      </c>
    </row>
    <row r="1050" spans="1:27" ht="14.5" customHeight="1">
      <c r="A1050" s="7" t="s">
        <v>6432</v>
      </c>
      <c r="B1050" s="8" t="s">
        <v>2845</v>
      </c>
      <c r="C1050" s="27">
        <v>1608024</v>
      </c>
      <c r="D1050" s="27">
        <v>1757173</v>
      </c>
      <c r="E1050" s="69">
        <v>-8.49</v>
      </c>
      <c r="F1050" s="27">
        <v>-9737</v>
      </c>
      <c r="G1050" s="27">
        <v>9173</v>
      </c>
      <c r="H1050" s="27">
        <v>10551</v>
      </c>
      <c r="I1050" s="27">
        <v>-1305</v>
      </c>
      <c r="J1050" s="27">
        <v>-11854</v>
      </c>
      <c r="K1050" s="27">
        <v>4325</v>
      </c>
      <c r="L1050" s="69">
        <v>-374.08</v>
      </c>
      <c r="M1050" s="27">
        <v>783246</v>
      </c>
      <c r="N1050" s="69">
        <v>-0.15</v>
      </c>
      <c r="O1050" s="69">
        <v>0.06</v>
      </c>
      <c r="P1050" s="69">
        <v>14.34</v>
      </c>
      <c r="Q1050" s="27">
        <v>47</v>
      </c>
      <c r="R1050" s="69">
        <v>0.95</v>
      </c>
      <c r="S1050" s="69">
        <v>69.31</v>
      </c>
      <c r="X1050" s="2">
        <f t="shared" si="48"/>
        <v>0.53</v>
      </c>
      <c r="Y1050" s="2">
        <f>SUMIF(收盤價!A:A,A1050,收盤價!C:C)</f>
        <v>11.4</v>
      </c>
      <c r="Z1050" s="2">
        <f t="shared" si="49"/>
        <v>1123174.764</v>
      </c>
      <c r="AA1050" s="2">
        <f t="shared" si="50"/>
        <v>892900.44000000006</v>
      </c>
    </row>
    <row r="1051" spans="1:27" ht="14.5" customHeight="1">
      <c r="A1051" s="7" t="s">
        <v>6433</v>
      </c>
      <c r="B1051" s="8" t="s">
        <v>2847</v>
      </c>
      <c r="C1051" s="27">
        <v>62086</v>
      </c>
      <c r="D1051" s="27">
        <v>22927</v>
      </c>
      <c r="E1051" s="69">
        <v>170.8</v>
      </c>
      <c r="F1051" s="27">
        <v>38462</v>
      </c>
      <c r="G1051" s="27">
        <v>9664</v>
      </c>
      <c r="H1051" s="27">
        <v>242</v>
      </c>
      <c r="I1051" s="27">
        <v>267</v>
      </c>
      <c r="J1051" s="27">
        <v>656823</v>
      </c>
      <c r="K1051" s="27">
        <v>438246</v>
      </c>
      <c r="L1051" s="69">
        <v>49.88</v>
      </c>
      <c r="M1051" s="27">
        <v>1087830</v>
      </c>
      <c r="N1051" s="69">
        <v>6.04</v>
      </c>
      <c r="O1051" s="69">
        <v>4.03</v>
      </c>
      <c r="P1051" s="69">
        <v>24.65</v>
      </c>
      <c r="Q1051" s="27">
        <v>80</v>
      </c>
      <c r="R1051" s="69">
        <v>14.31</v>
      </c>
      <c r="S1051" s="69">
        <v>1428.36</v>
      </c>
      <c r="X1051" s="2">
        <f t="shared" si="48"/>
        <v>0.2</v>
      </c>
      <c r="Y1051" s="2">
        <f>SUMIF(收盤價!A:A,A1051,收盤價!C:C)</f>
        <v>39.450000000000003</v>
      </c>
      <c r="Z1051" s="2">
        <f t="shared" si="49"/>
        <v>2681500.9500000002</v>
      </c>
      <c r="AA1051" s="2">
        <f t="shared" si="50"/>
        <v>4291489.3499999996</v>
      </c>
    </row>
    <row r="1052" spans="1:27" ht="14.5" customHeight="1">
      <c r="A1052" s="7" t="s">
        <v>6434</v>
      </c>
      <c r="B1052" s="8" t="s">
        <v>2849</v>
      </c>
      <c r="C1052" s="27">
        <v>17803331</v>
      </c>
      <c r="D1052" s="27">
        <v>18444415</v>
      </c>
      <c r="E1052" s="69">
        <v>-3.48</v>
      </c>
      <c r="F1052" s="27">
        <v>503706</v>
      </c>
      <c r="G1052" s="27">
        <v>284970</v>
      </c>
      <c r="H1052" s="27">
        <v>-10383</v>
      </c>
      <c r="I1052" s="27">
        <v>29497</v>
      </c>
      <c r="J1052" s="27">
        <v>403635</v>
      </c>
      <c r="K1052" s="27">
        <v>263022</v>
      </c>
      <c r="L1052" s="69">
        <v>53.46</v>
      </c>
      <c r="M1052" s="27">
        <v>1260000</v>
      </c>
      <c r="N1052" s="69">
        <v>3.2</v>
      </c>
      <c r="O1052" s="69">
        <v>2.09</v>
      </c>
      <c r="P1052" s="69">
        <v>16.93</v>
      </c>
      <c r="Q1052" s="27">
        <v>40</v>
      </c>
      <c r="R1052" s="69">
        <v>1.46</v>
      </c>
      <c r="S1052" s="69">
        <v>145.69999999999999</v>
      </c>
      <c r="X1052" s="2">
        <f t="shared" si="48"/>
        <v>0.6</v>
      </c>
      <c r="Y1052" s="2">
        <f>SUMIF(收盤價!A:A,A1052,收盤價!C:C)</f>
        <v>28.1</v>
      </c>
      <c r="Z1052" s="2">
        <f t="shared" si="49"/>
        <v>2133180</v>
      </c>
      <c r="AA1052" s="2">
        <f t="shared" si="50"/>
        <v>3540600</v>
      </c>
    </row>
    <row r="1053" spans="1:27" ht="14.5" customHeight="1">
      <c r="A1053" s="7" t="s">
        <v>6435</v>
      </c>
      <c r="B1053" s="8" t="s">
        <v>1931</v>
      </c>
      <c r="C1053" s="27">
        <v>5484492</v>
      </c>
      <c r="D1053" s="27">
        <v>5252104</v>
      </c>
      <c r="E1053" s="69">
        <v>4.42</v>
      </c>
      <c r="F1053" s="27">
        <v>174173</v>
      </c>
      <c r="G1053" s="27">
        <v>167658</v>
      </c>
      <c r="H1053" s="27">
        <v>3813</v>
      </c>
      <c r="I1053" s="27">
        <v>4441</v>
      </c>
      <c r="J1053" s="27">
        <v>161947</v>
      </c>
      <c r="K1053" s="27">
        <v>140649</v>
      </c>
      <c r="L1053" s="69">
        <v>15.14</v>
      </c>
      <c r="M1053" s="27">
        <v>323895</v>
      </c>
      <c r="N1053" s="69">
        <v>5.0199999999999996</v>
      </c>
      <c r="O1053" s="69">
        <v>4.3600000000000003</v>
      </c>
      <c r="P1053" s="69">
        <v>56.6</v>
      </c>
      <c r="Q1053" s="27">
        <v>40</v>
      </c>
      <c r="R1053" s="69">
        <v>1.57</v>
      </c>
      <c r="S1053" s="69">
        <v>151.97</v>
      </c>
      <c r="X1053" s="2">
        <f t="shared" si="48"/>
        <v>0.6</v>
      </c>
      <c r="Y1053" s="2">
        <f>SUMIF(收盤價!A:A,A1053,收盤價!C:C)</f>
        <v>77</v>
      </c>
      <c r="Z1053" s="2">
        <f t="shared" si="49"/>
        <v>1833245.7</v>
      </c>
      <c r="AA1053" s="2">
        <f t="shared" si="50"/>
        <v>2493991.5</v>
      </c>
    </row>
    <row r="1054" spans="1:27" ht="14.5" customHeight="1">
      <c r="A1054" s="7" t="s">
        <v>6436</v>
      </c>
      <c r="B1054" s="8" t="s">
        <v>1935</v>
      </c>
      <c r="C1054" s="27">
        <v>3775225</v>
      </c>
      <c r="D1054" s="27">
        <v>3459052</v>
      </c>
      <c r="E1054" s="69">
        <v>9.14</v>
      </c>
      <c r="F1054" s="27">
        <v>342507</v>
      </c>
      <c r="G1054" s="27">
        <v>273689</v>
      </c>
      <c r="H1054" s="27">
        <v>18226</v>
      </c>
      <c r="I1054" s="27">
        <v>57367</v>
      </c>
      <c r="J1054" s="27">
        <v>266457</v>
      </c>
      <c r="K1054" s="27">
        <v>234445</v>
      </c>
      <c r="L1054" s="69">
        <v>13.65</v>
      </c>
      <c r="M1054" s="27">
        <v>376527</v>
      </c>
      <c r="N1054" s="69">
        <v>7.2</v>
      </c>
      <c r="O1054" s="69">
        <v>6.13</v>
      </c>
      <c r="P1054" s="69">
        <v>41.72</v>
      </c>
      <c r="Q1054" s="27">
        <v>38</v>
      </c>
      <c r="R1054" s="69">
        <v>1.41</v>
      </c>
      <c r="S1054" s="69">
        <v>132.56</v>
      </c>
      <c r="X1054" s="2">
        <f t="shared" si="48"/>
        <v>0.62</v>
      </c>
      <c r="Y1054" s="2">
        <f>SUMIF(收盤價!A:A,A1054,收盤價!C:C)</f>
        <v>140.5</v>
      </c>
      <c r="Z1054" s="2">
        <f t="shared" si="49"/>
        <v>1570870.6439999999</v>
      </c>
      <c r="AA1054" s="2">
        <f t="shared" si="50"/>
        <v>5290204.3499999996</v>
      </c>
    </row>
    <row r="1055" spans="1:27" ht="14.5" customHeight="1">
      <c r="A1055" s="7" t="s">
        <v>6437</v>
      </c>
      <c r="B1055" s="8" t="s">
        <v>2015</v>
      </c>
      <c r="C1055" s="27">
        <v>229908</v>
      </c>
      <c r="D1055" s="27">
        <v>219692</v>
      </c>
      <c r="E1055" s="69">
        <v>4.6500000000000004</v>
      </c>
      <c r="F1055" s="27">
        <v>-2750</v>
      </c>
      <c r="G1055" s="27">
        <v>-16437</v>
      </c>
      <c r="H1055" s="27">
        <v>3562</v>
      </c>
      <c r="I1055" s="27">
        <v>3225</v>
      </c>
      <c r="J1055" s="27">
        <v>769</v>
      </c>
      <c r="K1055" s="27">
        <v>-10600</v>
      </c>
      <c r="L1055" s="69">
        <v>107.25</v>
      </c>
      <c r="M1055" s="27">
        <v>425760</v>
      </c>
      <c r="N1055" s="69">
        <v>0.02</v>
      </c>
      <c r="O1055" s="69">
        <v>-0.47</v>
      </c>
      <c r="P1055" s="69">
        <v>22.02</v>
      </c>
      <c r="Q1055" s="27">
        <v>50</v>
      </c>
      <c r="R1055" s="69">
        <v>1.65</v>
      </c>
      <c r="S1055" s="69">
        <v>42.2</v>
      </c>
      <c r="X1055" s="2">
        <f t="shared" si="48"/>
        <v>0.5</v>
      </c>
      <c r="Y1055" s="2">
        <f>SUMIF(收盤價!A:A,A1055,收盤價!C:C)</f>
        <v>20</v>
      </c>
      <c r="Z1055" s="2">
        <f t="shared" si="49"/>
        <v>937523.5199999999</v>
      </c>
      <c r="AA1055" s="2">
        <f t="shared" si="50"/>
        <v>851520</v>
      </c>
    </row>
    <row r="1056" spans="1:27" ht="14.5" customHeight="1">
      <c r="A1056" s="7" t="s">
        <v>6438</v>
      </c>
      <c r="B1056" s="8" t="s">
        <v>2017</v>
      </c>
      <c r="C1056" s="27">
        <v>1696772</v>
      </c>
      <c r="D1056" s="27">
        <v>2246001</v>
      </c>
      <c r="E1056" s="69">
        <v>-24.45</v>
      </c>
      <c r="F1056" s="27">
        <v>-113945</v>
      </c>
      <c r="G1056" s="27">
        <v>-104200</v>
      </c>
      <c r="H1056" s="27">
        <v>9876</v>
      </c>
      <c r="I1056" s="27">
        <v>-2552</v>
      </c>
      <c r="J1056" s="27">
        <v>-104523</v>
      </c>
      <c r="K1056" s="27">
        <v>-106814</v>
      </c>
      <c r="L1056" s="69">
        <v>2.14</v>
      </c>
      <c r="M1056" s="27">
        <v>182721</v>
      </c>
      <c r="N1056" s="69">
        <v>-5.72</v>
      </c>
      <c r="O1056" s="69">
        <v>-5.85</v>
      </c>
      <c r="P1056" s="69">
        <v>4.2</v>
      </c>
      <c r="Q1056" s="27">
        <v>26</v>
      </c>
      <c r="R1056" s="69">
        <v>1.0900000000000001</v>
      </c>
      <c r="S1056" s="69">
        <v>86.71</v>
      </c>
      <c r="X1056" s="2">
        <f t="shared" si="48"/>
        <v>0.74</v>
      </c>
      <c r="Y1056" s="2">
        <f>SUMIF(收盤價!A:A,A1056,收盤價!C:C)</f>
        <v>5.54</v>
      </c>
      <c r="Z1056" s="2">
        <f t="shared" si="49"/>
        <v>76742.820000000007</v>
      </c>
      <c r="AA1056" s="2">
        <f t="shared" si="50"/>
        <v>101227.43399999999</v>
      </c>
    </row>
    <row r="1057" spans="1:27" ht="14.5" customHeight="1">
      <c r="A1057" s="7" t="s">
        <v>6439</v>
      </c>
      <c r="B1057" s="8" t="s">
        <v>2023</v>
      </c>
      <c r="C1057" s="27">
        <v>4899543</v>
      </c>
      <c r="D1057" s="27">
        <v>4300692</v>
      </c>
      <c r="E1057" s="69">
        <v>13.92</v>
      </c>
      <c r="F1057" s="27">
        <v>474620</v>
      </c>
      <c r="G1057" s="27">
        <v>440093</v>
      </c>
      <c r="H1057" s="27">
        <v>-25374</v>
      </c>
      <c r="I1057" s="27">
        <v>1064</v>
      </c>
      <c r="J1057" s="27">
        <v>360824</v>
      </c>
      <c r="K1057" s="27">
        <v>352896</v>
      </c>
      <c r="L1057" s="69">
        <v>2.25</v>
      </c>
      <c r="M1057" s="27">
        <v>232660</v>
      </c>
      <c r="N1057" s="69">
        <v>15.51</v>
      </c>
      <c r="O1057" s="69">
        <v>15.17</v>
      </c>
      <c r="P1057" s="69">
        <v>90.8</v>
      </c>
      <c r="Q1057" s="27">
        <v>35</v>
      </c>
      <c r="R1057" s="69">
        <v>1.77</v>
      </c>
      <c r="S1057" s="69">
        <v>164.45</v>
      </c>
      <c r="X1057" s="2">
        <f t="shared" si="48"/>
        <v>0.65</v>
      </c>
      <c r="Y1057" s="2">
        <f>SUMIF(收盤價!A:A,A1057,收盤價!C:C)</f>
        <v>273.5</v>
      </c>
      <c r="Z1057" s="2">
        <f t="shared" si="49"/>
        <v>2112552.7999999998</v>
      </c>
      <c r="AA1057" s="2">
        <f t="shared" si="50"/>
        <v>6363251</v>
      </c>
    </row>
    <row r="1058" spans="1:27" ht="14.5" customHeight="1">
      <c r="A1058" s="7" t="s">
        <v>6440</v>
      </c>
      <c r="B1058" s="8" t="s">
        <v>2025</v>
      </c>
      <c r="C1058" s="27">
        <v>4955798</v>
      </c>
      <c r="D1058" s="27">
        <v>3855960</v>
      </c>
      <c r="E1058" s="69">
        <v>28.52</v>
      </c>
      <c r="F1058" s="27">
        <v>600290</v>
      </c>
      <c r="G1058" s="27">
        <v>284310</v>
      </c>
      <c r="H1058" s="27">
        <v>-23454</v>
      </c>
      <c r="I1058" s="27">
        <v>-10831</v>
      </c>
      <c r="J1058" s="27">
        <v>380823</v>
      </c>
      <c r="K1058" s="27">
        <v>166674</v>
      </c>
      <c r="L1058" s="69">
        <v>128.47999999999999</v>
      </c>
      <c r="M1058" s="27">
        <v>404061</v>
      </c>
      <c r="N1058" s="69">
        <v>9.6999999999999993</v>
      </c>
      <c r="O1058" s="69">
        <v>4.46</v>
      </c>
      <c r="P1058" s="69">
        <v>39.880000000000003</v>
      </c>
      <c r="Q1058" s="27">
        <v>40</v>
      </c>
      <c r="R1058" s="69">
        <v>1.61</v>
      </c>
      <c r="S1058" s="69">
        <v>141.18</v>
      </c>
      <c r="X1058" s="2">
        <f t="shared" si="48"/>
        <v>0.6</v>
      </c>
      <c r="Y1058" s="2">
        <f>SUMIF(收盤價!A:A,A1058,收盤價!C:C)</f>
        <v>169.5</v>
      </c>
      <c r="Z1058" s="2">
        <f t="shared" si="49"/>
        <v>1611395.2680000002</v>
      </c>
      <c r="AA1058" s="2">
        <f t="shared" si="50"/>
        <v>6848833.9500000002</v>
      </c>
    </row>
    <row r="1059" spans="1:27" ht="14.5" customHeight="1">
      <c r="A1059" s="7" t="s">
        <v>6441</v>
      </c>
      <c r="B1059" s="8" t="s">
        <v>2027</v>
      </c>
      <c r="C1059" s="27">
        <v>973176</v>
      </c>
      <c r="D1059" s="27">
        <v>961669</v>
      </c>
      <c r="E1059" s="69">
        <v>1.2</v>
      </c>
      <c r="F1059" s="27">
        <v>-81997</v>
      </c>
      <c r="G1059" s="27">
        <v>-76279</v>
      </c>
      <c r="H1059" s="27">
        <v>34622</v>
      </c>
      <c r="I1059" s="27">
        <v>-11335</v>
      </c>
      <c r="J1059" s="27">
        <v>-41674</v>
      </c>
      <c r="K1059" s="27">
        <v>-83230</v>
      </c>
      <c r="L1059" s="69">
        <v>49.93</v>
      </c>
      <c r="M1059" s="27">
        <v>302598</v>
      </c>
      <c r="N1059" s="69">
        <v>-1.38</v>
      </c>
      <c r="O1059" s="69">
        <v>-2.75</v>
      </c>
      <c r="P1059" s="69">
        <v>9.19</v>
      </c>
      <c r="Q1059" s="27">
        <v>52</v>
      </c>
      <c r="R1059" s="69">
        <v>1.55</v>
      </c>
      <c r="S1059" s="69">
        <v>106.04</v>
      </c>
      <c r="X1059" s="2">
        <f t="shared" si="48"/>
        <v>0.48</v>
      </c>
      <c r="Y1059" s="2">
        <f>SUMIF(收盤價!A:A,A1059,收盤價!C:C)</f>
        <v>11.3</v>
      </c>
      <c r="Z1059" s="2">
        <f t="shared" si="49"/>
        <v>278087.56199999998</v>
      </c>
      <c r="AA1059" s="2">
        <f t="shared" si="50"/>
        <v>341935.74000000005</v>
      </c>
    </row>
    <row r="1060" spans="1:27" ht="14.5" customHeight="1">
      <c r="A1060" s="7" t="s">
        <v>6442</v>
      </c>
      <c r="B1060" s="8" t="s">
        <v>2029</v>
      </c>
      <c r="C1060" s="27">
        <v>689970</v>
      </c>
      <c r="D1060" s="27">
        <v>615948</v>
      </c>
      <c r="E1060" s="69">
        <v>12.02</v>
      </c>
      <c r="F1060" s="27">
        <v>-4559</v>
      </c>
      <c r="G1060" s="27">
        <v>-34280</v>
      </c>
      <c r="H1060" s="27">
        <v>-2465</v>
      </c>
      <c r="I1060" s="27">
        <v>-2269</v>
      </c>
      <c r="J1060" s="27">
        <v>-6510</v>
      </c>
      <c r="K1060" s="27">
        <v>-30404</v>
      </c>
      <c r="L1060" s="69">
        <v>78.59</v>
      </c>
      <c r="M1060" s="27">
        <v>489923</v>
      </c>
      <c r="N1060" s="69">
        <v>-0.13</v>
      </c>
      <c r="O1060" s="69">
        <v>-0.62</v>
      </c>
      <c r="P1060" s="69">
        <v>25.57</v>
      </c>
      <c r="Q1060" s="27">
        <v>50</v>
      </c>
      <c r="R1060" s="69">
        <v>1.1399999999999999</v>
      </c>
      <c r="S1060" s="69">
        <v>107.84</v>
      </c>
      <c r="X1060" s="2">
        <f t="shared" si="48"/>
        <v>0.5</v>
      </c>
      <c r="Y1060" s="2">
        <f>SUMIF(收盤價!A:A,A1060,收盤價!C:C)</f>
        <v>16.399999999999999</v>
      </c>
      <c r="Z1060" s="2">
        <f t="shared" si="49"/>
        <v>1252733.111</v>
      </c>
      <c r="AA1060" s="2">
        <f t="shared" si="50"/>
        <v>803473.72</v>
      </c>
    </row>
    <row r="1061" spans="1:27" ht="14.5" customHeight="1">
      <c r="A1061" s="7" t="s">
        <v>6443</v>
      </c>
      <c r="B1061" s="8" t="s">
        <v>2031</v>
      </c>
      <c r="C1061" s="27">
        <v>171310</v>
      </c>
      <c r="D1061" s="27">
        <v>328453</v>
      </c>
      <c r="E1061" s="69">
        <v>-47.84</v>
      </c>
      <c r="F1061" s="27">
        <v>-76790</v>
      </c>
      <c r="G1061" s="27">
        <v>-66944</v>
      </c>
      <c r="H1061" s="27">
        <v>-1151</v>
      </c>
      <c r="I1061" s="27">
        <v>-7925</v>
      </c>
      <c r="J1061" s="27">
        <v>-78873</v>
      </c>
      <c r="K1061" s="27">
        <v>-72512</v>
      </c>
      <c r="L1061" s="69">
        <v>-8.77</v>
      </c>
      <c r="M1061" s="27">
        <v>94764</v>
      </c>
      <c r="N1061" s="69">
        <v>-8.6199999999999992</v>
      </c>
      <c r="O1061" s="69">
        <v>-8.2899999999999991</v>
      </c>
      <c r="P1061" s="69">
        <v>5.04</v>
      </c>
      <c r="Q1061" s="27">
        <v>25</v>
      </c>
      <c r="R1061" s="69">
        <v>1.76</v>
      </c>
      <c r="S1061" s="69">
        <v>163.38</v>
      </c>
      <c r="X1061" s="2">
        <f t="shared" si="48"/>
        <v>0.75</v>
      </c>
      <c r="Y1061" s="2">
        <f>SUMIF(收盤價!A:A,A1061,收盤價!C:C)</f>
        <v>8</v>
      </c>
      <c r="Z1061" s="2">
        <f t="shared" si="49"/>
        <v>47761.055999999997</v>
      </c>
      <c r="AA1061" s="2">
        <f t="shared" si="50"/>
        <v>75811.199999999997</v>
      </c>
    </row>
    <row r="1062" spans="1:27" ht="14.5" customHeight="1">
      <c r="A1062" s="7" t="s">
        <v>6002</v>
      </c>
      <c r="B1062" s="8" t="s">
        <v>2033</v>
      </c>
      <c r="C1062" s="27">
        <v>5160082</v>
      </c>
      <c r="D1062" s="27">
        <v>5190067</v>
      </c>
      <c r="E1062" s="69">
        <v>-0.57999999999999996</v>
      </c>
      <c r="F1062" s="27">
        <v>55245</v>
      </c>
      <c r="G1062" s="27">
        <v>3932</v>
      </c>
      <c r="H1062" s="27">
        <v>17494</v>
      </c>
      <c r="I1062" s="27">
        <v>38253</v>
      </c>
      <c r="J1062" s="27">
        <v>57486</v>
      </c>
      <c r="K1062" s="27">
        <v>32129</v>
      </c>
      <c r="L1062" s="69">
        <v>78.92</v>
      </c>
      <c r="M1062" s="27">
        <v>282317</v>
      </c>
      <c r="N1062" s="69">
        <v>2.04</v>
      </c>
      <c r="O1062" s="69">
        <v>1.1399999999999999</v>
      </c>
      <c r="P1062" s="69">
        <v>18.899999999999999</v>
      </c>
      <c r="Q1062" s="27">
        <v>34</v>
      </c>
      <c r="R1062" s="69">
        <v>1.21</v>
      </c>
      <c r="S1062" s="69">
        <v>83.37</v>
      </c>
      <c r="X1062" s="2">
        <f t="shared" si="48"/>
        <v>0.66</v>
      </c>
      <c r="Y1062" s="2">
        <f>SUMIF(收盤價!A:A,A1062,收盤價!C:C)</f>
        <v>22.56</v>
      </c>
      <c r="Z1062" s="2">
        <f t="shared" si="49"/>
        <v>533579.13</v>
      </c>
      <c r="AA1062" s="2">
        <f t="shared" si="50"/>
        <v>636907.152</v>
      </c>
    </row>
    <row r="1063" spans="1:27" ht="14.5" customHeight="1">
      <c r="A1063" s="7" t="s">
        <v>6444</v>
      </c>
      <c r="B1063" s="8" t="s">
        <v>2035</v>
      </c>
      <c r="C1063" s="27">
        <v>6303998</v>
      </c>
      <c r="D1063" s="27">
        <v>6454072</v>
      </c>
      <c r="E1063" s="69">
        <v>-2.33</v>
      </c>
      <c r="F1063" s="27">
        <v>44275</v>
      </c>
      <c r="G1063" s="27">
        <v>12885</v>
      </c>
      <c r="H1063" s="27">
        <v>-11303</v>
      </c>
      <c r="I1063" s="27">
        <v>1408</v>
      </c>
      <c r="J1063" s="27">
        <v>26184</v>
      </c>
      <c r="K1063" s="27">
        <v>11584</v>
      </c>
      <c r="L1063" s="69">
        <v>126.04</v>
      </c>
      <c r="M1063" s="27">
        <v>293085</v>
      </c>
      <c r="N1063" s="69">
        <v>0.89</v>
      </c>
      <c r="O1063" s="69">
        <v>0.41</v>
      </c>
      <c r="P1063" s="69">
        <v>18.989999999999998</v>
      </c>
      <c r="Q1063" s="27">
        <v>34</v>
      </c>
      <c r="R1063" s="69">
        <v>1.36</v>
      </c>
      <c r="S1063" s="69">
        <v>89.32</v>
      </c>
      <c r="X1063" s="2">
        <f t="shared" si="48"/>
        <v>0.66</v>
      </c>
      <c r="Y1063" s="2">
        <f>SUMIF(收盤價!A:A,A1063,收盤價!C:C)</f>
        <v>23.05</v>
      </c>
      <c r="Z1063" s="2">
        <f t="shared" si="49"/>
        <v>556568.41499999992</v>
      </c>
      <c r="AA1063" s="2">
        <f t="shared" si="50"/>
        <v>675560.92500000005</v>
      </c>
    </row>
    <row r="1064" spans="1:27" ht="14.5" customHeight="1">
      <c r="A1064" s="7" t="s">
        <v>6004</v>
      </c>
      <c r="B1064" s="8" t="s">
        <v>2037</v>
      </c>
      <c r="C1064" s="27">
        <v>1395254</v>
      </c>
      <c r="D1064" s="27">
        <v>1105850</v>
      </c>
      <c r="E1064" s="69">
        <v>26.17</v>
      </c>
      <c r="F1064" s="27">
        <v>163678</v>
      </c>
      <c r="G1064" s="27">
        <v>141832</v>
      </c>
      <c r="H1064" s="27">
        <v>-810</v>
      </c>
      <c r="I1064" s="27">
        <v>1729</v>
      </c>
      <c r="J1064" s="27">
        <v>130153</v>
      </c>
      <c r="K1064" s="27">
        <v>115177</v>
      </c>
      <c r="L1064" s="69">
        <v>13</v>
      </c>
      <c r="M1064" s="27">
        <v>213658</v>
      </c>
      <c r="N1064" s="69">
        <v>6.66</v>
      </c>
      <c r="O1064" s="69">
        <v>6.4</v>
      </c>
      <c r="P1064" s="69">
        <v>36.450000000000003</v>
      </c>
      <c r="Q1064" s="27">
        <v>69</v>
      </c>
      <c r="R1064" s="69">
        <v>3.61</v>
      </c>
      <c r="S1064" s="69">
        <v>352.26</v>
      </c>
      <c r="X1064" s="2">
        <f t="shared" si="48"/>
        <v>0.31</v>
      </c>
      <c r="Y1064" s="2">
        <f>SUMIF(收盤價!A:A,A1064,收盤價!C:C)</f>
        <v>243.72</v>
      </c>
      <c r="Z1064" s="2">
        <f t="shared" si="49"/>
        <v>778783.41</v>
      </c>
      <c r="AA1064" s="2">
        <f t="shared" si="50"/>
        <v>5207272.7759999996</v>
      </c>
    </row>
    <row r="1065" spans="1:27" ht="14.5" customHeight="1">
      <c r="A1065" s="7" t="s">
        <v>6445</v>
      </c>
      <c r="B1065" s="8" t="s">
        <v>2153</v>
      </c>
      <c r="C1065" s="27">
        <v>314104</v>
      </c>
      <c r="D1065" s="27">
        <v>1060687</v>
      </c>
      <c r="E1065" s="69">
        <v>-70.39</v>
      </c>
      <c r="F1065" s="27">
        <v>-980</v>
      </c>
      <c r="G1065" s="27">
        <v>153001</v>
      </c>
      <c r="H1065" s="27">
        <v>-41543</v>
      </c>
      <c r="I1065" s="27">
        <v>-36716</v>
      </c>
      <c r="J1065" s="27">
        <v>-48936</v>
      </c>
      <c r="K1065" s="27">
        <v>115831</v>
      </c>
      <c r="L1065" s="69">
        <v>-142.25</v>
      </c>
      <c r="M1065" s="27">
        <v>501958</v>
      </c>
      <c r="N1065" s="69">
        <v>-0.97</v>
      </c>
      <c r="O1065" s="69">
        <v>3.12</v>
      </c>
      <c r="P1065" s="69">
        <v>40.83</v>
      </c>
      <c r="Q1065" s="27">
        <v>54</v>
      </c>
      <c r="R1065" s="69">
        <v>1.1399999999999999</v>
      </c>
      <c r="S1065" s="69">
        <v>25.28</v>
      </c>
      <c r="X1065" s="2">
        <f t="shared" si="48"/>
        <v>0.46</v>
      </c>
      <c r="Y1065" s="2">
        <f>SUMIF(收盤價!A:A,A1065,收盤價!C:C)</f>
        <v>16.45</v>
      </c>
      <c r="Z1065" s="2">
        <f t="shared" si="49"/>
        <v>2049494.514</v>
      </c>
      <c r="AA1065" s="2">
        <f t="shared" si="50"/>
        <v>825720.90999999992</v>
      </c>
    </row>
    <row r="1066" spans="1:27" ht="14.5" customHeight="1">
      <c r="A1066" s="7" t="s">
        <v>6446</v>
      </c>
      <c r="B1066" s="8" t="s">
        <v>2277</v>
      </c>
      <c r="C1066" s="27">
        <v>1182789</v>
      </c>
      <c r="D1066" s="27">
        <v>1479321</v>
      </c>
      <c r="E1066" s="69">
        <v>-20.05</v>
      </c>
      <c r="F1066" s="27">
        <v>-151433</v>
      </c>
      <c r="G1066" s="27">
        <v>-113466</v>
      </c>
      <c r="H1066" s="27">
        <v>-37974</v>
      </c>
      <c r="I1066" s="27">
        <v>144615</v>
      </c>
      <c r="J1066" s="27">
        <v>-179199</v>
      </c>
      <c r="K1066" s="27">
        <v>23326</v>
      </c>
      <c r="L1066" s="69">
        <v>-868.24</v>
      </c>
      <c r="M1066" s="27">
        <v>726000</v>
      </c>
      <c r="N1066" s="69">
        <v>-2.52</v>
      </c>
      <c r="O1066" s="69">
        <v>0.32</v>
      </c>
      <c r="P1066" s="69">
        <v>18.45</v>
      </c>
      <c r="Q1066" s="27">
        <v>38</v>
      </c>
      <c r="R1066" s="69">
        <v>0.46</v>
      </c>
      <c r="S1066" s="69">
        <v>42.72</v>
      </c>
      <c r="X1066" s="2">
        <f t="shared" si="48"/>
        <v>0.62</v>
      </c>
      <c r="Y1066" s="2">
        <f>SUMIF(收盤價!A:A,A1066,收盤價!C:C)</f>
        <v>17.8</v>
      </c>
      <c r="Z1066" s="2">
        <f t="shared" si="49"/>
        <v>1339470</v>
      </c>
      <c r="AA1066" s="2">
        <f t="shared" si="50"/>
        <v>1292280</v>
      </c>
    </row>
    <row r="1067" spans="1:27" ht="14.5" customHeight="1">
      <c r="A1067" s="7" t="s">
        <v>6447</v>
      </c>
      <c r="B1067" s="8" t="s">
        <v>2709</v>
      </c>
      <c r="C1067" s="27">
        <v>1589541</v>
      </c>
      <c r="D1067" s="27">
        <v>1339025</v>
      </c>
      <c r="E1067" s="69">
        <v>18.71</v>
      </c>
      <c r="F1067" s="27">
        <v>-370622</v>
      </c>
      <c r="G1067" s="27">
        <v>-42321</v>
      </c>
      <c r="H1067" s="27">
        <v>-61603</v>
      </c>
      <c r="I1067" s="27">
        <v>12673</v>
      </c>
      <c r="J1067" s="27">
        <v>-431184</v>
      </c>
      <c r="K1067" s="27">
        <v>-33166</v>
      </c>
      <c r="L1067" s="28" t="s">
        <v>6413</v>
      </c>
      <c r="M1067" s="27">
        <v>1379750</v>
      </c>
      <c r="N1067" s="69">
        <v>-3.19</v>
      </c>
      <c r="O1067" s="69">
        <v>-0.24</v>
      </c>
      <c r="P1067" s="69">
        <v>7.13</v>
      </c>
      <c r="Q1067" s="27">
        <v>59</v>
      </c>
      <c r="R1067" s="69">
        <v>1.26</v>
      </c>
      <c r="S1067" s="69">
        <v>19.43</v>
      </c>
      <c r="X1067" s="2">
        <f t="shared" si="48"/>
        <v>0.41</v>
      </c>
      <c r="Y1067" s="2">
        <f>SUMIF(收盤價!A:A,A1067,收盤價!C:C)</f>
        <v>13.65</v>
      </c>
      <c r="Z1067" s="2">
        <f t="shared" si="49"/>
        <v>983761.75</v>
      </c>
      <c r="AA1067" s="2">
        <f t="shared" si="50"/>
        <v>1883358.75</v>
      </c>
    </row>
    <row r="1068" spans="1:27" ht="14.5" customHeight="1">
      <c r="A1068" s="7" t="s">
        <v>6448</v>
      </c>
      <c r="B1068" s="8" t="s">
        <v>2753</v>
      </c>
      <c r="C1068" s="27">
        <v>524346</v>
      </c>
      <c r="D1068" s="27">
        <v>501179</v>
      </c>
      <c r="E1068" s="69">
        <v>4.62</v>
      </c>
      <c r="F1068" s="27">
        <v>-5931</v>
      </c>
      <c r="G1068" s="27">
        <v>-30972</v>
      </c>
      <c r="H1068" s="27">
        <v>-20286</v>
      </c>
      <c r="I1068" s="27">
        <v>-7176</v>
      </c>
      <c r="J1068" s="27">
        <v>-27893</v>
      </c>
      <c r="K1068" s="27">
        <v>-34492</v>
      </c>
      <c r="L1068" s="69">
        <v>19.13</v>
      </c>
      <c r="M1068" s="27">
        <v>140999</v>
      </c>
      <c r="N1068" s="69">
        <v>-1.98</v>
      </c>
      <c r="O1068" s="69">
        <v>-2.4500000000000002</v>
      </c>
      <c r="P1068" s="69">
        <v>13.83</v>
      </c>
      <c r="Q1068" s="27">
        <v>14</v>
      </c>
      <c r="R1068" s="69">
        <v>0.35</v>
      </c>
      <c r="S1068" s="69">
        <v>34.659999999999997</v>
      </c>
      <c r="X1068" s="2">
        <f t="shared" si="48"/>
        <v>0.86</v>
      </c>
      <c r="Y1068" s="2">
        <f>SUMIF(收盤價!A:A,A1068,收盤價!C:C)</f>
        <v>0</v>
      </c>
      <c r="Z1068" s="2">
        <f t="shared" si="49"/>
        <v>195001.617</v>
      </c>
      <c r="AA1068" s="2">
        <f t="shared" si="50"/>
        <v>0</v>
      </c>
    </row>
    <row r="1069" spans="1:27" ht="14.5" customHeight="1">
      <c r="A1069" s="7" t="s">
        <v>6449</v>
      </c>
      <c r="B1069" s="8" t="s">
        <v>2851</v>
      </c>
      <c r="C1069" s="27">
        <v>548445</v>
      </c>
      <c r="D1069" s="27">
        <v>581323</v>
      </c>
      <c r="E1069" s="69">
        <v>-5.66</v>
      </c>
      <c r="F1069" s="27">
        <v>-98995</v>
      </c>
      <c r="G1069" s="27">
        <v>-104613</v>
      </c>
      <c r="H1069" s="27">
        <v>-92673</v>
      </c>
      <c r="I1069" s="27">
        <v>-3516</v>
      </c>
      <c r="J1069" s="27">
        <v>-192302</v>
      </c>
      <c r="K1069" s="27">
        <v>-108148</v>
      </c>
      <c r="L1069" s="69">
        <v>-77.81</v>
      </c>
      <c r="M1069" s="27">
        <v>2537569</v>
      </c>
      <c r="N1069" s="69">
        <v>-0.76</v>
      </c>
      <c r="O1069" s="69">
        <v>-0.43</v>
      </c>
      <c r="P1069" s="69">
        <v>3.01</v>
      </c>
      <c r="Q1069" s="27">
        <v>25</v>
      </c>
      <c r="R1069" s="69">
        <v>0.15</v>
      </c>
      <c r="S1069" s="69">
        <v>12.65</v>
      </c>
      <c r="X1069" s="2">
        <f t="shared" si="48"/>
        <v>0.75</v>
      </c>
      <c r="Y1069" s="2">
        <f>SUMIF(收盤價!A:A,A1069,收盤價!C:C)</f>
        <v>1.87</v>
      </c>
      <c r="Z1069" s="2">
        <f t="shared" si="49"/>
        <v>763808.26899999997</v>
      </c>
      <c r="AA1069" s="2">
        <f t="shared" si="50"/>
        <v>474525.40300000005</v>
      </c>
    </row>
    <row r="1070" spans="1:27" ht="14.5" customHeight="1">
      <c r="A1070" s="7" t="s">
        <v>6450</v>
      </c>
      <c r="B1070" s="8" t="s">
        <v>2853</v>
      </c>
      <c r="C1070" s="27">
        <v>827373</v>
      </c>
      <c r="D1070" s="27">
        <v>823919</v>
      </c>
      <c r="E1070" s="69">
        <v>0.42</v>
      </c>
      <c r="F1070" s="27">
        <v>-27318</v>
      </c>
      <c r="G1070" s="27">
        <v>-55938</v>
      </c>
      <c r="H1070" s="27">
        <v>-5308</v>
      </c>
      <c r="I1070" s="27">
        <v>-73</v>
      </c>
      <c r="J1070" s="27">
        <v>-30899</v>
      </c>
      <c r="K1070" s="27">
        <v>-57031</v>
      </c>
      <c r="L1070" s="69">
        <v>45.82</v>
      </c>
      <c r="M1070" s="27">
        <v>702396</v>
      </c>
      <c r="N1070" s="69">
        <v>-0.44</v>
      </c>
      <c r="O1070" s="69">
        <v>-0.81</v>
      </c>
      <c r="P1070" s="69">
        <v>11.44</v>
      </c>
      <c r="Q1070" s="27">
        <v>36</v>
      </c>
      <c r="R1070" s="69">
        <v>0.97</v>
      </c>
      <c r="S1070" s="69">
        <v>83.41</v>
      </c>
      <c r="X1070" s="2">
        <f t="shared" si="48"/>
        <v>0.64</v>
      </c>
      <c r="Y1070" s="2">
        <f>SUMIF(收盤價!A:A,A1070,收盤價!C:C)</f>
        <v>0</v>
      </c>
      <c r="Z1070" s="2">
        <f t="shared" si="49"/>
        <v>803541.02399999998</v>
      </c>
      <c r="AA1070" s="2">
        <f t="shared" si="50"/>
        <v>0</v>
      </c>
    </row>
    <row r="1071" spans="1:27" ht="14.5" customHeight="1">
      <c r="A1071" s="7" t="s">
        <v>6451</v>
      </c>
      <c r="B1071" s="8" t="s">
        <v>2855</v>
      </c>
      <c r="C1071" s="27">
        <v>353641</v>
      </c>
      <c r="D1071" s="27">
        <v>327738</v>
      </c>
      <c r="E1071" s="69">
        <v>7.9</v>
      </c>
      <c r="F1071" s="27">
        <v>36961</v>
      </c>
      <c r="G1071" s="27">
        <v>23957</v>
      </c>
      <c r="H1071" s="27">
        <v>3528</v>
      </c>
      <c r="I1071" s="27">
        <v>-2</v>
      </c>
      <c r="J1071" s="27">
        <v>33277</v>
      </c>
      <c r="K1071" s="27">
        <v>20100</v>
      </c>
      <c r="L1071" s="69">
        <v>65.56</v>
      </c>
      <c r="M1071" s="27">
        <v>388617</v>
      </c>
      <c r="N1071" s="69">
        <v>0.86</v>
      </c>
      <c r="O1071" s="69">
        <v>0.52</v>
      </c>
      <c r="P1071" s="69">
        <v>12.16</v>
      </c>
      <c r="Q1071" s="27">
        <v>79</v>
      </c>
      <c r="R1071" s="69">
        <v>1.82</v>
      </c>
      <c r="S1071" s="69">
        <v>168.16</v>
      </c>
      <c r="X1071" s="2">
        <f t="shared" si="48"/>
        <v>0.21</v>
      </c>
      <c r="Y1071" s="2">
        <f>SUMIF(收盤價!A:A,A1071,收盤價!C:C)</f>
        <v>23.9</v>
      </c>
      <c r="Z1071" s="2">
        <f t="shared" si="49"/>
        <v>472558.272</v>
      </c>
      <c r="AA1071" s="2">
        <f t="shared" si="50"/>
        <v>928794.62999999989</v>
      </c>
    </row>
    <row r="1072" spans="1:27" ht="14.5" customHeight="1">
      <c r="A1072" s="7" t="s">
        <v>6452</v>
      </c>
      <c r="B1072" s="8" t="s">
        <v>3293</v>
      </c>
      <c r="C1072" s="27">
        <v>1218871</v>
      </c>
      <c r="D1072" s="27">
        <v>1161786</v>
      </c>
      <c r="E1072" s="69">
        <v>4.91</v>
      </c>
      <c r="F1072" s="27">
        <v>135258</v>
      </c>
      <c r="G1072" s="27">
        <v>108181</v>
      </c>
      <c r="H1072" s="27">
        <v>-76332</v>
      </c>
      <c r="I1072" s="27">
        <v>-94038</v>
      </c>
      <c r="J1072" s="27">
        <v>59983</v>
      </c>
      <c r="K1072" s="27">
        <v>18778</v>
      </c>
      <c r="L1072" s="69">
        <v>219.43</v>
      </c>
      <c r="M1072" s="27">
        <v>1097283</v>
      </c>
      <c r="N1072" s="69">
        <v>0.55000000000000004</v>
      </c>
      <c r="O1072" s="69">
        <v>0.17</v>
      </c>
      <c r="P1072" s="69">
        <v>15.59</v>
      </c>
      <c r="Q1072" s="27">
        <v>28</v>
      </c>
      <c r="R1072" s="69">
        <v>0.79</v>
      </c>
      <c r="S1072" s="69">
        <v>78.790000000000006</v>
      </c>
      <c r="X1072" s="2">
        <f t="shared" si="48"/>
        <v>0.72</v>
      </c>
      <c r="Y1072" s="2">
        <f>SUMIF(收盤價!A:A,A1072,收盤價!C:C)</f>
        <v>14.65</v>
      </c>
      <c r="Z1072" s="2">
        <f t="shared" si="49"/>
        <v>1710664.1969999999</v>
      </c>
      <c r="AA1072" s="2">
        <f t="shared" si="50"/>
        <v>1607519.5950000002</v>
      </c>
    </row>
    <row r="1073" spans="1:27" ht="14.5" customHeight="1">
      <c r="A1073" s="7" t="s">
        <v>6453</v>
      </c>
      <c r="B1073" s="8" t="s">
        <v>2039</v>
      </c>
      <c r="C1073" s="27">
        <v>1366293</v>
      </c>
      <c r="D1073" s="27">
        <v>1308560</v>
      </c>
      <c r="E1073" s="69">
        <v>4.41</v>
      </c>
      <c r="F1073" s="27">
        <v>63354</v>
      </c>
      <c r="G1073" s="27">
        <v>95215</v>
      </c>
      <c r="H1073" s="27">
        <v>32073</v>
      </c>
      <c r="I1073" s="27">
        <v>7871</v>
      </c>
      <c r="J1073" s="27">
        <v>76546</v>
      </c>
      <c r="K1073" s="27">
        <v>83317</v>
      </c>
      <c r="L1073" s="69">
        <v>-8.1300000000000008</v>
      </c>
      <c r="M1073" s="27">
        <v>546269</v>
      </c>
      <c r="N1073" s="69">
        <v>1.4</v>
      </c>
      <c r="O1073" s="69">
        <v>1.53</v>
      </c>
      <c r="P1073" s="69">
        <v>16.66</v>
      </c>
      <c r="Q1073" s="27">
        <v>71</v>
      </c>
      <c r="R1073" s="69">
        <v>2.91</v>
      </c>
      <c r="S1073" s="69">
        <v>102.93</v>
      </c>
      <c r="X1073" s="2">
        <f t="shared" si="48"/>
        <v>0.28999999999999998</v>
      </c>
      <c r="Y1073" s="2">
        <f>SUMIF(收盤價!A:A,A1073,收盤價!C:C)</f>
        <v>18.350000000000001</v>
      </c>
      <c r="Z1073" s="2">
        <f t="shared" si="49"/>
        <v>910084.1540000001</v>
      </c>
      <c r="AA1073" s="2">
        <f t="shared" si="50"/>
        <v>1002403.615</v>
      </c>
    </row>
    <row r="1074" spans="1:27" ht="14.5" customHeight="1">
      <c r="A1074" s="7" t="s">
        <v>6454</v>
      </c>
      <c r="B1074" s="8" t="s">
        <v>2047</v>
      </c>
      <c r="C1074" s="27">
        <v>2379311</v>
      </c>
      <c r="D1074" s="27">
        <v>1862858</v>
      </c>
      <c r="E1074" s="69">
        <v>27.72</v>
      </c>
      <c r="F1074" s="27">
        <v>79727</v>
      </c>
      <c r="G1074" s="27">
        <v>39266</v>
      </c>
      <c r="H1074" s="27">
        <v>10597</v>
      </c>
      <c r="I1074" s="27">
        <v>16734</v>
      </c>
      <c r="J1074" s="27">
        <v>72890</v>
      </c>
      <c r="K1074" s="27">
        <v>44398</v>
      </c>
      <c r="L1074" s="69">
        <v>64.17</v>
      </c>
      <c r="M1074" s="27">
        <v>328600</v>
      </c>
      <c r="N1074" s="69">
        <v>2.2200000000000002</v>
      </c>
      <c r="O1074" s="69">
        <v>1.35</v>
      </c>
      <c r="P1074" s="69">
        <v>18.010000000000002</v>
      </c>
      <c r="Q1074" s="27">
        <v>40</v>
      </c>
      <c r="R1074" s="69">
        <v>1.47</v>
      </c>
      <c r="S1074" s="69">
        <v>91.02</v>
      </c>
      <c r="X1074" s="2">
        <f t="shared" si="48"/>
        <v>0.6</v>
      </c>
      <c r="Y1074" s="2">
        <f>SUMIF(收盤價!A:A,A1074,收盤價!C:C)</f>
        <v>23.4</v>
      </c>
      <c r="Z1074" s="2">
        <f t="shared" si="49"/>
        <v>591808.60000000009</v>
      </c>
      <c r="AA1074" s="2">
        <f t="shared" si="50"/>
        <v>768923.99999999988</v>
      </c>
    </row>
    <row r="1075" spans="1:27" ht="14.5" customHeight="1">
      <c r="A1075" s="7" t="s">
        <v>6455</v>
      </c>
      <c r="B1075" s="8" t="s">
        <v>2107</v>
      </c>
      <c r="C1075" s="27">
        <v>1431609</v>
      </c>
      <c r="D1075" s="27">
        <v>1480008</v>
      </c>
      <c r="E1075" s="69">
        <v>-3.27</v>
      </c>
      <c r="F1075" s="27">
        <v>123201</v>
      </c>
      <c r="G1075" s="27">
        <v>70033</v>
      </c>
      <c r="H1075" s="27">
        <v>2547</v>
      </c>
      <c r="I1075" s="27">
        <v>-2397</v>
      </c>
      <c r="J1075" s="27">
        <v>102864</v>
      </c>
      <c r="K1075" s="27">
        <v>64378</v>
      </c>
      <c r="L1075" s="69">
        <v>59.78</v>
      </c>
      <c r="M1075" s="27">
        <v>592035</v>
      </c>
      <c r="N1075" s="69">
        <v>1.75</v>
      </c>
      <c r="O1075" s="69">
        <v>1.0900000000000001</v>
      </c>
      <c r="P1075" s="69">
        <v>13.78</v>
      </c>
      <c r="Q1075" s="27">
        <v>54</v>
      </c>
      <c r="R1075" s="69">
        <v>1.68</v>
      </c>
      <c r="S1075" s="69">
        <v>158.72999999999999</v>
      </c>
      <c r="X1075" s="2">
        <f t="shared" si="48"/>
        <v>0.46</v>
      </c>
      <c r="Y1075" s="2">
        <f>SUMIF(收盤價!A:A,A1075,收盤價!C:C)</f>
        <v>14.05</v>
      </c>
      <c r="Z1075" s="2">
        <f t="shared" si="49"/>
        <v>815824.23</v>
      </c>
      <c r="AA1075" s="2">
        <f t="shared" si="50"/>
        <v>831809.17500000005</v>
      </c>
    </row>
    <row r="1076" spans="1:27" ht="14.5" customHeight="1">
      <c r="A1076" s="7" t="s">
        <v>6456</v>
      </c>
      <c r="B1076" s="8" t="s">
        <v>2863</v>
      </c>
      <c r="C1076" s="27">
        <v>1758817</v>
      </c>
      <c r="D1076" s="27">
        <v>1631674</v>
      </c>
      <c r="E1076" s="69">
        <v>7.79</v>
      </c>
      <c r="F1076" s="27">
        <v>66686</v>
      </c>
      <c r="G1076" s="27">
        <v>37814</v>
      </c>
      <c r="H1076" s="27">
        <v>-2264</v>
      </c>
      <c r="I1076" s="27">
        <v>4619</v>
      </c>
      <c r="J1076" s="27">
        <v>55241</v>
      </c>
      <c r="K1076" s="27">
        <v>32189</v>
      </c>
      <c r="L1076" s="69">
        <v>71.61</v>
      </c>
      <c r="M1076" s="27">
        <v>945000</v>
      </c>
      <c r="N1076" s="69">
        <v>0.57999999999999996</v>
      </c>
      <c r="O1076" s="69">
        <v>0.34</v>
      </c>
      <c r="P1076" s="69">
        <v>8.44</v>
      </c>
      <c r="Q1076" s="27">
        <v>73</v>
      </c>
      <c r="R1076" s="69">
        <v>1.78</v>
      </c>
      <c r="S1076" s="69">
        <v>145.19999999999999</v>
      </c>
      <c r="X1076" s="2">
        <f t="shared" si="48"/>
        <v>0.27</v>
      </c>
      <c r="Y1076" s="2">
        <f>SUMIF(收盤價!A:A,A1076,收盤價!C:C)</f>
        <v>10.75</v>
      </c>
      <c r="Z1076" s="2">
        <f t="shared" si="49"/>
        <v>797579.99999999988</v>
      </c>
      <c r="AA1076" s="2">
        <f t="shared" si="50"/>
        <v>1015875</v>
      </c>
    </row>
    <row r="1077" spans="1:27" ht="14.5" customHeight="1">
      <c r="A1077" s="7" t="s">
        <v>6457</v>
      </c>
      <c r="B1077" s="8" t="s">
        <v>2865</v>
      </c>
      <c r="C1077" s="27">
        <v>77729696</v>
      </c>
      <c r="D1077" s="27">
        <v>71720973</v>
      </c>
      <c r="E1077" s="69">
        <v>8.3800000000000008</v>
      </c>
      <c r="F1077" s="27">
        <v>2414625</v>
      </c>
      <c r="G1077" s="27">
        <v>1772005</v>
      </c>
      <c r="H1077" s="27">
        <v>-35595</v>
      </c>
      <c r="I1077" s="27">
        <v>324841</v>
      </c>
      <c r="J1077" s="27">
        <v>1830514</v>
      </c>
      <c r="K1077" s="27">
        <v>1614381</v>
      </c>
      <c r="L1077" s="69">
        <v>13.39</v>
      </c>
      <c r="M1077" s="27">
        <v>2232200</v>
      </c>
      <c r="N1077" s="69">
        <v>8.1999999999999993</v>
      </c>
      <c r="O1077" s="69">
        <v>7.23</v>
      </c>
      <c r="P1077" s="69">
        <v>26.78</v>
      </c>
      <c r="Q1077" s="27">
        <v>10</v>
      </c>
      <c r="R1077" s="69">
        <v>0.62</v>
      </c>
      <c r="S1077" s="69">
        <v>41.28</v>
      </c>
      <c r="X1077" s="2">
        <f t="shared" si="48"/>
        <v>0.9</v>
      </c>
      <c r="Y1077" s="2">
        <f>SUMIF(收盤價!A:A,A1077,收盤價!C:C)</f>
        <v>218.5</v>
      </c>
      <c r="Z1077" s="2">
        <f t="shared" si="49"/>
        <v>5977831.5999999996</v>
      </c>
      <c r="AA1077" s="2">
        <f t="shared" si="50"/>
        <v>48773570</v>
      </c>
    </row>
    <row r="1078" spans="1:27" ht="14.5" customHeight="1">
      <c r="A1078" s="7" t="s">
        <v>6458</v>
      </c>
      <c r="B1078" s="8" t="s">
        <v>2867</v>
      </c>
      <c r="C1078" s="27">
        <v>15787694</v>
      </c>
      <c r="D1078" s="27">
        <v>14084032</v>
      </c>
      <c r="E1078" s="69">
        <v>12.1</v>
      </c>
      <c r="F1078" s="27">
        <v>2429174</v>
      </c>
      <c r="G1078" s="27">
        <v>2096618</v>
      </c>
      <c r="H1078" s="27">
        <v>-70443</v>
      </c>
      <c r="I1078" s="27">
        <v>35890</v>
      </c>
      <c r="J1078" s="27">
        <v>1886727</v>
      </c>
      <c r="K1078" s="27">
        <v>1709140</v>
      </c>
      <c r="L1078" s="69">
        <v>10.39</v>
      </c>
      <c r="M1078" s="27">
        <v>976850</v>
      </c>
      <c r="N1078" s="69">
        <v>19.309999999999999</v>
      </c>
      <c r="O1078" s="69">
        <v>17.5</v>
      </c>
      <c r="P1078" s="69">
        <v>44.95</v>
      </c>
      <c r="Q1078" s="27">
        <v>22</v>
      </c>
      <c r="R1078" s="69">
        <v>1.1599999999999999</v>
      </c>
      <c r="S1078" s="69">
        <v>44.04</v>
      </c>
      <c r="X1078" s="2">
        <f t="shared" si="48"/>
        <v>0.78</v>
      </c>
      <c r="Y1078" s="2">
        <f>SUMIF(收盤價!A:A,A1078,收盤價!C:C)</f>
        <v>421.5</v>
      </c>
      <c r="Z1078" s="2">
        <f t="shared" si="49"/>
        <v>4390940.75</v>
      </c>
      <c r="AA1078" s="2">
        <f t="shared" si="50"/>
        <v>41174227.5</v>
      </c>
    </row>
    <row r="1079" spans="1:27" ht="14.5" customHeight="1">
      <c r="A1079" s="7" t="s">
        <v>6459</v>
      </c>
      <c r="B1079" s="8" t="s">
        <v>2869</v>
      </c>
      <c r="C1079" s="27">
        <v>1330496</v>
      </c>
      <c r="D1079" s="27">
        <v>1420862</v>
      </c>
      <c r="E1079" s="69">
        <v>-6.36</v>
      </c>
      <c r="F1079" s="27">
        <v>74345</v>
      </c>
      <c r="G1079" s="27">
        <v>55033</v>
      </c>
      <c r="H1079" s="27">
        <v>22931</v>
      </c>
      <c r="I1079" s="27">
        <v>58729</v>
      </c>
      <c r="J1079" s="27">
        <v>67465</v>
      </c>
      <c r="K1079" s="27">
        <v>89928</v>
      </c>
      <c r="L1079" s="69">
        <v>-24.98</v>
      </c>
      <c r="M1079" s="27">
        <v>1898170</v>
      </c>
      <c r="N1079" s="69">
        <v>0.34</v>
      </c>
      <c r="O1079" s="69">
        <v>0.44</v>
      </c>
      <c r="P1079" s="69">
        <v>12.45</v>
      </c>
      <c r="Q1079" s="27">
        <v>63</v>
      </c>
      <c r="R1079" s="69">
        <v>1.98</v>
      </c>
      <c r="S1079" s="69">
        <v>164.67</v>
      </c>
      <c r="X1079" s="2">
        <f t="shared" si="48"/>
        <v>0.37</v>
      </c>
      <c r="Y1079" s="2">
        <f>SUMIF(收盤價!A:A,A1079,收盤價!C:C)</f>
        <v>13.9</v>
      </c>
      <c r="Z1079" s="2">
        <f t="shared" si="49"/>
        <v>2363221.65</v>
      </c>
      <c r="AA1079" s="2">
        <f t="shared" si="50"/>
        <v>2638456.2999999998</v>
      </c>
    </row>
    <row r="1080" spans="1:27" ht="14.5" customHeight="1">
      <c r="A1080" s="7" t="s">
        <v>6460</v>
      </c>
      <c r="B1080" s="8" t="s">
        <v>2981</v>
      </c>
      <c r="C1080" s="27">
        <v>1828643</v>
      </c>
      <c r="D1080" s="27">
        <v>1703688</v>
      </c>
      <c r="E1080" s="69">
        <v>7.33</v>
      </c>
      <c r="F1080" s="27">
        <v>116758</v>
      </c>
      <c r="G1080" s="27">
        <v>202081</v>
      </c>
      <c r="H1080" s="27">
        <v>22303</v>
      </c>
      <c r="I1080" s="27">
        <v>9762</v>
      </c>
      <c r="J1080" s="27">
        <v>103575</v>
      </c>
      <c r="K1080" s="27">
        <v>167570</v>
      </c>
      <c r="L1080" s="69">
        <v>-38.19</v>
      </c>
      <c r="M1080" s="27">
        <v>461332</v>
      </c>
      <c r="N1080" s="69">
        <v>2.25</v>
      </c>
      <c r="O1080" s="69">
        <v>3.67</v>
      </c>
      <c r="P1080" s="69">
        <v>21.82</v>
      </c>
      <c r="Q1080" s="27">
        <v>36</v>
      </c>
      <c r="R1080" s="69">
        <v>0.93</v>
      </c>
      <c r="S1080" s="69">
        <v>34.15</v>
      </c>
      <c r="X1080" s="2">
        <f t="shared" si="48"/>
        <v>0.64</v>
      </c>
      <c r="Y1080" s="2">
        <f>SUMIF(收盤價!A:A,A1080,收盤價!C:C)</f>
        <v>37.9</v>
      </c>
      <c r="Z1080" s="2">
        <f t="shared" si="49"/>
        <v>1006626.424</v>
      </c>
      <c r="AA1080" s="2">
        <f t="shared" si="50"/>
        <v>1748448.28</v>
      </c>
    </row>
    <row r="1081" spans="1:27" ht="14.5" customHeight="1">
      <c r="A1081" s="7" t="s">
        <v>6461</v>
      </c>
      <c r="B1081" s="8" t="s">
        <v>3279</v>
      </c>
      <c r="C1081" s="27">
        <v>7272318</v>
      </c>
      <c r="D1081" s="27">
        <v>7979108</v>
      </c>
      <c r="E1081" s="69">
        <v>-8.86</v>
      </c>
      <c r="F1081" s="27">
        <v>352441</v>
      </c>
      <c r="G1081" s="27">
        <v>493133</v>
      </c>
      <c r="H1081" s="27">
        <v>-11809</v>
      </c>
      <c r="I1081" s="27">
        <v>-7973</v>
      </c>
      <c r="J1081" s="27">
        <v>207451</v>
      </c>
      <c r="K1081" s="27">
        <v>397202</v>
      </c>
      <c r="L1081" s="69">
        <v>-47.77</v>
      </c>
      <c r="M1081" s="27">
        <v>301523</v>
      </c>
      <c r="N1081" s="69">
        <v>6.88</v>
      </c>
      <c r="O1081" s="69">
        <v>13.11</v>
      </c>
      <c r="P1081" s="69">
        <v>24.5</v>
      </c>
      <c r="Q1081" s="27">
        <v>35</v>
      </c>
      <c r="R1081" s="69">
        <v>2.42</v>
      </c>
      <c r="S1081" s="69">
        <v>235.26</v>
      </c>
      <c r="X1081" s="2">
        <f t="shared" si="48"/>
        <v>0.65</v>
      </c>
      <c r="Y1081" s="2">
        <f>SUMIF(收盤價!A:A,A1081,收盤價!C:C)</f>
        <v>83</v>
      </c>
      <c r="Z1081" s="2">
        <f t="shared" si="49"/>
        <v>738731.35</v>
      </c>
      <c r="AA1081" s="2">
        <f t="shared" si="50"/>
        <v>2502640.9</v>
      </c>
    </row>
    <row r="1082" spans="1:27" ht="14.5" customHeight="1">
      <c r="A1082" s="7" t="s">
        <v>6462</v>
      </c>
      <c r="B1082" s="8" t="s">
        <v>3401</v>
      </c>
      <c r="C1082" s="27">
        <v>2887131</v>
      </c>
      <c r="D1082" s="27">
        <v>3122414</v>
      </c>
      <c r="E1082" s="69">
        <v>-7.54</v>
      </c>
      <c r="F1082" s="27">
        <v>253184</v>
      </c>
      <c r="G1082" s="27">
        <v>315529</v>
      </c>
      <c r="H1082" s="27">
        <v>1328</v>
      </c>
      <c r="I1082" s="27">
        <v>57823</v>
      </c>
      <c r="J1082" s="27">
        <v>215228</v>
      </c>
      <c r="K1082" s="27">
        <v>325767</v>
      </c>
      <c r="L1082" s="69">
        <v>-33.93</v>
      </c>
      <c r="M1082" s="27">
        <v>525776</v>
      </c>
      <c r="N1082" s="69">
        <v>4.13</v>
      </c>
      <c r="O1082" s="69">
        <v>6.25</v>
      </c>
      <c r="P1082" s="69">
        <v>25.79</v>
      </c>
      <c r="Q1082" s="27">
        <v>50</v>
      </c>
      <c r="R1082" s="69">
        <v>1.25</v>
      </c>
      <c r="S1082" s="69">
        <v>124.55</v>
      </c>
      <c r="X1082" s="2">
        <f t="shared" si="48"/>
        <v>0.5</v>
      </c>
      <c r="Y1082" s="2">
        <f>SUMIF(收盤價!A:A,A1082,收盤價!C:C)</f>
        <v>58.2</v>
      </c>
      <c r="Z1082" s="2">
        <f t="shared" si="49"/>
        <v>1355976.304</v>
      </c>
      <c r="AA1082" s="2">
        <f t="shared" si="50"/>
        <v>3060016.3200000003</v>
      </c>
    </row>
    <row r="1083" spans="1:27" ht="14.5" customHeight="1">
      <c r="A1083" s="7" t="s">
        <v>6463</v>
      </c>
      <c r="B1083" s="8" t="s">
        <v>3467</v>
      </c>
      <c r="C1083" s="27">
        <v>2444388</v>
      </c>
      <c r="D1083" s="27">
        <v>2542394</v>
      </c>
      <c r="E1083" s="69">
        <v>-3.85</v>
      </c>
      <c r="F1083" s="27">
        <v>23146</v>
      </c>
      <c r="G1083" s="27">
        <v>8671</v>
      </c>
      <c r="H1083" s="27">
        <v>23096</v>
      </c>
      <c r="I1083" s="27">
        <v>75251</v>
      </c>
      <c r="J1083" s="27">
        <v>52572</v>
      </c>
      <c r="K1083" s="27">
        <v>87964</v>
      </c>
      <c r="L1083" s="69">
        <v>-40.229999999999997</v>
      </c>
      <c r="M1083" s="27">
        <v>276459</v>
      </c>
      <c r="N1083" s="69">
        <v>1.9</v>
      </c>
      <c r="O1083" s="69">
        <v>3.08</v>
      </c>
      <c r="P1083" s="69">
        <v>23.74</v>
      </c>
      <c r="Q1083" s="27">
        <v>39</v>
      </c>
      <c r="R1083" s="69">
        <v>1.1100000000000001</v>
      </c>
      <c r="S1083" s="69">
        <v>62.96</v>
      </c>
      <c r="X1083" s="2">
        <f t="shared" si="48"/>
        <v>0.61</v>
      </c>
      <c r="Y1083" s="2">
        <f>SUMIF(收盤價!A:A,A1083,收盤價!C:C)</f>
        <v>43.5</v>
      </c>
      <c r="Z1083" s="2">
        <f t="shared" si="49"/>
        <v>656313.66599999997</v>
      </c>
      <c r="AA1083" s="2">
        <f t="shared" si="50"/>
        <v>1202596.6499999999</v>
      </c>
    </row>
    <row r="1084" spans="1:27" ht="14.5" customHeight="1">
      <c r="A1084" s="7" t="s">
        <v>6464</v>
      </c>
      <c r="B1084" s="8" t="s">
        <v>3479</v>
      </c>
      <c r="C1084" s="27">
        <v>409995</v>
      </c>
      <c r="D1084" s="27">
        <v>488713</v>
      </c>
      <c r="E1084" s="69">
        <v>-16.11</v>
      </c>
      <c r="F1084" s="27">
        <v>30366</v>
      </c>
      <c r="G1084" s="27">
        <v>31399</v>
      </c>
      <c r="H1084" s="27">
        <v>4142</v>
      </c>
      <c r="I1084" s="27">
        <v>13317</v>
      </c>
      <c r="J1084" s="27">
        <v>27659</v>
      </c>
      <c r="K1084" s="27">
        <v>34983</v>
      </c>
      <c r="L1084" s="69">
        <v>-20.94</v>
      </c>
      <c r="M1084" s="27">
        <v>335925</v>
      </c>
      <c r="N1084" s="69">
        <v>0.82</v>
      </c>
      <c r="O1084" s="69">
        <v>1.04</v>
      </c>
      <c r="P1084" s="69">
        <v>13.86</v>
      </c>
      <c r="Q1084" s="27">
        <v>57</v>
      </c>
      <c r="R1084" s="69">
        <v>2.88</v>
      </c>
      <c r="S1084" s="69">
        <v>239.59</v>
      </c>
      <c r="X1084" s="2">
        <f t="shared" si="48"/>
        <v>0.43</v>
      </c>
      <c r="Y1084" s="2">
        <f>SUMIF(收盤價!A:A,A1084,收盤價!C:C)</f>
        <v>35.4</v>
      </c>
      <c r="Z1084" s="2">
        <f t="shared" si="49"/>
        <v>465592.05</v>
      </c>
      <c r="AA1084" s="2">
        <f t="shared" si="50"/>
        <v>1189174.5</v>
      </c>
    </row>
    <row r="1085" spans="1:27" ht="14.5" customHeight="1">
      <c r="A1085" s="7" t="s">
        <v>6465</v>
      </c>
      <c r="B1085" s="8" t="s">
        <v>1949</v>
      </c>
      <c r="C1085" s="27">
        <v>844745</v>
      </c>
      <c r="D1085" s="27">
        <v>544205</v>
      </c>
      <c r="E1085" s="69">
        <v>55.23</v>
      </c>
      <c r="F1085" s="27">
        <v>-47847</v>
      </c>
      <c r="G1085" s="27">
        <v>-60363</v>
      </c>
      <c r="H1085" s="27">
        <v>-10202</v>
      </c>
      <c r="I1085" s="27">
        <v>-8571</v>
      </c>
      <c r="J1085" s="27">
        <v>-59436</v>
      </c>
      <c r="K1085" s="27">
        <v>-69567</v>
      </c>
      <c r="L1085" s="69">
        <v>14.56</v>
      </c>
      <c r="M1085" s="27">
        <v>824705</v>
      </c>
      <c r="N1085" s="69">
        <v>-0.72</v>
      </c>
      <c r="O1085" s="69">
        <v>-0.84</v>
      </c>
      <c r="P1085" s="69">
        <v>9.92</v>
      </c>
      <c r="Q1085" s="27">
        <v>40</v>
      </c>
      <c r="R1085" s="69">
        <v>1.41</v>
      </c>
      <c r="S1085" s="69">
        <v>64.209999999999994</v>
      </c>
      <c r="X1085" s="2">
        <f t="shared" si="48"/>
        <v>0.6</v>
      </c>
      <c r="Y1085" s="2">
        <f>SUMIF(收盤價!A:A,A1085,收盤價!C:C)</f>
        <v>9.1999999999999993</v>
      </c>
      <c r="Z1085" s="2">
        <f t="shared" si="49"/>
        <v>818107.36</v>
      </c>
      <c r="AA1085" s="2">
        <f t="shared" si="50"/>
        <v>758728.59999999986</v>
      </c>
    </row>
    <row r="1086" spans="1:27" ht="14.5" customHeight="1">
      <c r="A1086" s="7" t="s">
        <v>6466</v>
      </c>
      <c r="B1086" s="8" t="s">
        <v>2001</v>
      </c>
      <c r="C1086" s="27">
        <v>1217592</v>
      </c>
      <c r="D1086" s="27">
        <v>1124784</v>
      </c>
      <c r="E1086" s="69">
        <v>8.25</v>
      </c>
      <c r="F1086" s="27">
        <v>145362</v>
      </c>
      <c r="G1086" s="27">
        <v>179783</v>
      </c>
      <c r="H1086" s="27">
        <v>1568</v>
      </c>
      <c r="I1086" s="27">
        <v>5152</v>
      </c>
      <c r="J1086" s="27">
        <v>104217</v>
      </c>
      <c r="K1086" s="27">
        <v>141714</v>
      </c>
      <c r="L1086" s="69">
        <v>-26.46</v>
      </c>
      <c r="M1086" s="27">
        <v>423250</v>
      </c>
      <c r="N1086" s="69">
        <v>2.46</v>
      </c>
      <c r="O1086" s="69">
        <v>3.35</v>
      </c>
      <c r="P1086" s="69">
        <v>18.5</v>
      </c>
      <c r="Q1086" s="27">
        <v>54</v>
      </c>
      <c r="R1086" s="69">
        <v>2.4900000000000002</v>
      </c>
      <c r="S1086" s="69">
        <v>135.54</v>
      </c>
      <c r="X1086" s="2">
        <f t="shared" si="48"/>
        <v>0.46</v>
      </c>
      <c r="Y1086" s="2">
        <f>SUMIF(收盤價!A:A,A1086,收盤價!C:C)</f>
        <v>30.05</v>
      </c>
      <c r="Z1086" s="2">
        <f t="shared" si="49"/>
        <v>783012.5</v>
      </c>
      <c r="AA1086" s="2">
        <f t="shared" si="50"/>
        <v>1271866.25</v>
      </c>
    </row>
    <row r="1087" spans="1:27" ht="14.5" customHeight="1">
      <c r="A1087" s="7" t="s">
        <v>6467</v>
      </c>
      <c r="B1087" s="8" t="s">
        <v>2009</v>
      </c>
      <c r="C1087" s="27">
        <v>1945863</v>
      </c>
      <c r="D1087" s="27">
        <v>1880286</v>
      </c>
      <c r="E1087" s="69">
        <v>3.49</v>
      </c>
      <c r="F1087" s="27">
        <v>397946</v>
      </c>
      <c r="G1087" s="27">
        <v>300676</v>
      </c>
      <c r="H1087" s="27">
        <v>-48156</v>
      </c>
      <c r="I1087" s="27">
        <v>-2409</v>
      </c>
      <c r="J1087" s="27">
        <v>272630</v>
      </c>
      <c r="K1087" s="27">
        <v>230779</v>
      </c>
      <c r="L1087" s="69">
        <v>18.13</v>
      </c>
      <c r="M1087" s="27">
        <v>537551</v>
      </c>
      <c r="N1087" s="69">
        <v>5.07</v>
      </c>
      <c r="O1087" s="69">
        <v>4.29</v>
      </c>
      <c r="P1087" s="69">
        <v>27.18</v>
      </c>
      <c r="Q1087" s="27">
        <v>59</v>
      </c>
      <c r="R1087" s="69">
        <v>1.37</v>
      </c>
      <c r="S1087" s="69">
        <v>126.17</v>
      </c>
      <c r="X1087" s="2">
        <f t="shared" si="48"/>
        <v>0.41</v>
      </c>
      <c r="Y1087" s="2">
        <f>SUMIF(收盤價!A:A,A1087,收盤價!C:C)</f>
        <v>76.400000000000006</v>
      </c>
      <c r="Z1087" s="2">
        <f t="shared" si="49"/>
        <v>1461063.618</v>
      </c>
      <c r="AA1087" s="2">
        <f t="shared" si="50"/>
        <v>4106889.6400000006</v>
      </c>
    </row>
    <row r="1088" spans="1:27" ht="14.5" customHeight="1">
      <c r="A1088" s="7" t="s">
        <v>6468</v>
      </c>
      <c r="B1088" s="8" t="s">
        <v>2169</v>
      </c>
      <c r="C1088" s="27">
        <v>856861</v>
      </c>
      <c r="D1088" s="27">
        <v>876522</v>
      </c>
      <c r="E1088" s="69">
        <v>-2.2400000000000002</v>
      </c>
      <c r="F1088" s="27">
        <v>-15349</v>
      </c>
      <c r="G1088" s="27">
        <v>-31489</v>
      </c>
      <c r="H1088" s="27">
        <v>-18866</v>
      </c>
      <c r="I1088" s="27">
        <v>31797</v>
      </c>
      <c r="J1088" s="27">
        <v>-36042</v>
      </c>
      <c r="K1088" s="27">
        <v>136</v>
      </c>
      <c r="L1088" s="28" t="s">
        <v>6413</v>
      </c>
      <c r="M1088" s="27">
        <v>559618</v>
      </c>
      <c r="N1088" s="69">
        <v>-0.67</v>
      </c>
      <c r="O1088" s="69">
        <v>0</v>
      </c>
      <c r="P1088" s="69">
        <v>13.54</v>
      </c>
      <c r="Q1088" s="27">
        <v>58</v>
      </c>
      <c r="R1088" s="69">
        <v>2.4900000000000002</v>
      </c>
      <c r="S1088" s="69">
        <v>224.62</v>
      </c>
      <c r="X1088" s="2">
        <f t="shared" si="48"/>
        <v>0.42</v>
      </c>
      <c r="Y1088" s="2">
        <f>SUMIF(收盤價!A:A,A1088,收盤價!C:C)</f>
        <v>14.25</v>
      </c>
      <c r="Z1088" s="2">
        <f t="shared" si="49"/>
        <v>757722.772</v>
      </c>
      <c r="AA1088" s="2">
        <f t="shared" si="50"/>
        <v>797455.65</v>
      </c>
    </row>
    <row r="1089" spans="1:27" ht="14.5" customHeight="1">
      <c r="A1089" s="7" t="s">
        <v>6469</v>
      </c>
      <c r="B1089" s="8" t="s">
        <v>2491</v>
      </c>
      <c r="C1089" s="27">
        <v>2024650</v>
      </c>
      <c r="D1089" s="27">
        <v>2014009</v>
      </c>
      <c r="E1089" s="69">
        <v>0.53</v>
      </c>
      <c r="F1089" s="27">
        <v>-4232</v>
      </c>
      <c r="G1089" s="27">
        <v>164137</v>
      </c>
      <c r="H1089" s="27">
        <v>567030</v>
      </c>
      <c r="I1089" s="27">
        <v>27948</v>
      </c>
      <c r="J1089" s="27">
        <v>392276</v>
      </c>
      <c r="K1089" s="27">
        <v>144554</v>
      </c>
      <c r="L1089" s="69">
        <v>171.37</v>
      </c>
      <c r="M1089" s="27">
        <v>562736</v>
      </c>
      <c r="N1089" s="69">
        <v>6.97</v>
      </c>
      <c r="O1089" s="69">
        <v>2.57</v>
      </c>
      <c r="P1089" s="69">
        <v>37.28</v>
      </c>
      <c r="Q1089" s="27">
        <v>54</v>
      </c>
      <c r="R1089" s="69">
        <v>1.33</v>
      </c>
      <c r="S1089" s="69">
        <v>100.58</v>
      </c>
      <c r="X1089" s="2">
        <f t="shared" si="48"/>
        <v>0.46</v>
      </c>
      <c r="Y1089" s="2">
        <f>SUMIF(收盤價!A:A,A1089,收盤價!C:C)</f>
        <v>32.65</v>
      </c>
      <c r="Z1089" s="2">
        <f t="shared" si="49"/>
        <v>2097879.8080000002</v>
      </c>
      <c r="AA1089" s="2">
        <f t="shared" si="50"/>
        <v>1837333.0399999998</v>
      </c>
    </row>
    <row r="1090" spans="1:27" ht="14.5" customHeight="1">
      <c r="A1090" s="7" t="s">
        <v>6470</v>
      </c>
      <c r="B1090" s="8" t="s">
        <v>2513</v>
      </c>
      <c r="C1090" s="27">
        <v>8300</v>
      </c>
      <c r="D1090" s="27">
        <v>8118</v>
      </c>
      <c r="E1090" s="69">
        <v>2.2400000000000002</v>
      </c>
      <c r="F1090" s="27">
        <v>-86835</v>
      </c>
      <c r="G1090" s="27">
        <v>-93291</v>
      </c>
      <c r="H1090" s="27">
        <v>-438264</v>
      </c>
      <c r="I1090" s="27">
        <v>-156909</v>
      </c>
      <c r="J1090" s="27">
        <v>-525099</v>
      </c>
      <c r="K1090" s="27">
        <v>-250200</v>
      </c>
      <c r="L1090" s="69">
        <v>-109.87</v>
      </c>
      <c r="M1090" s="27">
        <v>829071</v>
      </c>
      <c r="N1090" s="69">
        <v>-6.54</v>
      </c>
      <c r="O1090" s="69">
        <v>-3.15</v>
      </c>
      <c r="P1090" s="69">
        <v>9.9700000000000006</v>
      </c>
      <c r="Q1090" s="27">
        <v>68</v>
      </c>
      <c r="R1090" s="69">
        <v>0.66</v>
      </c>
      <c r="S1090" s="69">
        <v>65.03</v>
      </c>
      <c r="X1090" s="2">
        <f t="shared" si="48"/>
        <v>0.32</v>
      </c>
      <c r="Y1090" s="2">
        <f>SUMIF(收盤價!A:A,A1090,收盤價!C:C)</f>
        <v>16.649999999999999</v>
      </c>
      <c r="Z1090" s="2">
        <f t="shared" si="49"/>
        <v>826583.78700000001</v>
      </c>
      <c r="AA1090" s="2">
        <f t="shared" si="50"/>
        <v>1380403.2149999999</v>
      </c>
    </row>
    <row r="1091" spans="1:27" ht="14.5" customHeight="1">
      <c r="A1091" s="7" t="s">
        <v>6471</v>
      </c>
      <c r="B1091" s="8" t="s">
        <v>2525</v>
      </c>
      <c r="C1091" s="27">
        <v>1586789</v>
      </c>
      <c r="D1091" s="27">
        <v>1438351</v>
      </c>
      <c r="E1091" s="69">
        <v>10.32</v>
      </c>
      <c r="F1091" s="27">
        <v>102240</v>
      </c>
      <c r="G1091" s="27">
        <v>94765</v>
      </c>
      <c r="H1091" s="27">
        <v>-11072</v>
      </c>
      <c r="I1091" s="27">
        <v>40786</v>
      </c>
      <c r="J1091" s="27">
        <v>70858</v>
      </c>
      <c r="K1091" s="27">
        <v>120075</v>
      </c>
      <c r="L1091" s="69">
        <v>-40.99</v>
      </c>
      <c r="M1091" s="27">
        <v>694991</v>
      </c>
      <c r="N1091" s="69">
        <v>1.02</v>
      </c>
      <c r="O1091" s="69">
        <v>2.0099999999999998</v>
      </c>
      <c r="P1091" s="69">
        <v>25.57</v>
      </c>
      <c r="Q1091" s="27">
        <v>42</v>
      </c>
      <c r="R1091" s="69">
        <v>2.0299999999999998</v>
      </c>
      <c r="S1091" s="69">
        <v>158.63</v>
      </c>
      <c r="X1091" s="2">
        <f t="shared" si="48"/>
        <v>0.57999999999999996</v>
      </c>
      <c r="Y1091" s="2">
        <f>SUMIF(收盤價!A:A,A1091,收盤價!C:C)</f>
        <v>26.8</v>
      </c>
      <c r="Z1091" s="2">
        <f t="shared" si="49"/>
        <v>1777091.9870000002</v>
      </c>
      <c r="AA1091" s="2">
        <f t="shared" si="50"/>
        <v>1862575.8800000001</v>
      </c>
    </row>
    <row r="1092" spans="1:27" ht="14.5" customHeight="1">
      <c r="A1092" s="7" t="s">
        <v>6472</v>
      </c>
      <c r="B1092" s="8" t="s">
        <v>2537</v>
      </c>
      <c r="C1092" s="27">
        <v>500498</v>
      </c>
      <c r="D1092" s="27">
        <v>496608</v>
      </c>
      <c r="E1092" s="69">
        <v>0.78</v>
      </c>
      <c r="F1092" s="27">
        <v>53165</v>
      </c>
      <c r="G1092" s="27">
        <v>77648</v>
      </c>
      <c r="H1092" s="27">
        <v>-1307</v>
      </c>
      <c r="I1092" s="27">
        <v>6134</v>
      </c>
      <c r="J1092" s="27">
        <v>40460</v>
      </c>
      <c r="K1092" s="27">
        <v>61996</v>
      </c>
      <c r="L1092" s="69">
        <v>-34.74</v>
      </c>
      <c r="M1092" s="27">
        <v>417420</v>
      </c>
      <c r="N1092" s="69">
        <v>1</v>
      </c>
      <c r="O1092" s="69">
        <v>1.76</v>
      </c>
      <c r="P1092" s="69">
        <v>19.02</v>
      </c>
      <c r="Q1092" s="27">
        <v>67</v>
      </c>
      <c r="R1092" s="69">
        <v>4.92</v>
      </c>
      <c r="S1092" s="69">
        <v>338.28</v>
      </c>
      <c r="X1092" s="2">
        <f t="shared" si="48"/>
        <v>0.33</v>
      </c>
      <c r="Y1092" s="2">
        <f>SUMIF(收盤價!A:A,A1092,收盤價!C:C)</f>
        <v>34.299999999999997</v>
      </c>
      <c r="Z1092" s="2">
        <f t="shared" si="49"/>
        <v>793932.84</v>
      </c>
      <c r="AA1092" s="2">
        <f t="shared" si="50"/>
        <v>1431750.5999999999</v>
      </c>
    </row>
    <row r="1093" spans="1:27" ht="14.5" customHeight="1">
      <c r="A1093" s="7" t="s">
        <v>6473</v>
      </c>
      <c r="B1093" s="8" t="s">
        <v>2623</v>
      </c>
      <c r="C1093" s="27">
        <v>178400</v>
      </c>
      <c r="D1093" s="27">
        <v>170476</v>
      </c>
      <c r="E1093" s="69">
        <v>4.6500000000000004</v>
      </c>
      <c r="F1093" s="27">
        <v>-162541</v>
      </c>
      <c r="G1093" s="27">
        <v>-166139</v>
      </c>
      <c r="H1093" s="27">
        <v>-216632</v>
      </c>
      <c r="I1093" s="27">
        <v>53524</v>
      </c>
      <c r="J1093" s="27">
        <v>-374561</v>
      </c>
      <c r="K1093" s="27">
        <v>-112415</v>
      </c>
      <c r="L1093" s="69">
        <v>-233.19</v>
      </c>
      <c r="M1093" s="27">
        <v>457790</v>
      </c>
      <c r="N1093" s="69">
        <v>-8.18</v>
      </c>
      <c r="O1093" s="69">
        <v>-2.46</v>
      </c>
      <c r="P1093" s="69">
        <v>11.16</v>
      </c>
      <c r="Q1093" s="27">
        <v>51</v>
      </c>
      <c r="R1093" s="69">
        <v>1.99</v>
      </c>
      <c r="S1093" s="69">
        <v>184.1</v>
      </c>
      <c r="X1093" s="2">
        <f t="shared" ref="X1093:X1156" si="51">IF(W1093&lt;&gt;"",ROUND(W1093/U1093,2),(100-Q1093)/100)</f>
        <v>0.49</v>
      </c>
      <c r="Y1093" s="2">
        <f>SUMIF(收盤價!A:A,A1093,收盤價!C:C)</f>
        <v>9.18</v>
      </c>
      <c r="Z1093" s="2">
        <f t="shared" ref="Z1093:Z1156" si="52">IF(W1093&lt;&gt;"",U1093-W1093,M1093*P1093/10)</f>
        <v>510893.64</v>
      </c>
      <c r="AA1093" s="2">
        <f t="shared" ref="AA1093:AA1156" si="53">Y1093*M1093/10</f>
        <v>420251.22000000003</v>
      </c>
    </row>
    <row r="1094" spans="1:27" ht="14.5" customHeight="1">
      <c r="A1094" s="7" t="s">
        <v>6474</v>
      </c>
      <c r="B1094" s="8" t="s">
        <v>2715</v>
      </c>
      <c r="C1094" s="27">
        <v>5239635</v>
      </c>
      <c r="D1094" s="27">
        <v>5056832</v>
      </c>
      <c r="E1094" s="69">
        <v>3.61</v>
      </c>
      <c r="F1094" s="27">
        <v>1253552</v>
      </c>
      <c r="G1094" s="27">
        <v>1225582</v>
      </c>
      <c r="H1094" s="27">
        <v>39400</v>
      </c>
      <c r="I1094" s="27">
        <v>33035</v>
      </c>
      <c r="J1094" s="27">
        <v>1007486</v>
      </c>
      <c r="K1094" s="27">
        <v>947655</v>
      </c>
      <c r="L1094" s="69">
        <v>6.31</v>
      </c>
      <c r="M1094" s="27">
        <v>1260000</v>
      </c>
      <c r="N1094" s="69">
        <v>8</v>
      </c>
      <c r="O1094" s="69">
        <v>7.52</v>
      </c>
      <c r="P1094" s="69">
        <v>41.89</v>
      </c>
      <c r="Q1094" s="27">
        <v>53</v>
      </c>
      <c r="R1094" s="69">
        <v>1.32</v>
      </c>
      <c r="S1094" s="69">
        <v>96.6</v>
      </c>
      <c r="X1094" s="2">
        <f t="shared" si="51"/>
        <v>0.47</v>
      </c>
      <c r="Y1094" s="2">
        <f>SUMIF(收盤價!A:A,A1094,收盤價!C:C)</f>
        <v>107</v>
      </c>
      <c r="Z1094" s="2">
        <f t="shared" si="52"/>
        <v>5278140</v>
      </c>
      <c r="AA1094" s="2">
        <f t="shared" si="53"/>
        <v>13482000</v>
      </c>
    </row>
    <row r="1095" spans="1:27" ht="14.5" customHeight="1">
      <c r="A1095" s="7" t="s">
        <v>6475</v>
      </c>
      <c r="B1095" s="8" t="s">
        <v>2765</v>
      </c>
      <c r="C1095" s="27">
        <v>432970</v>
      </c>
      <c r="D1095" s="27">
        <v>531382</v>
      </c>
      <c r="E1095" s="69">
        <v>-18.52</v>
      </c>
      <c r="F1095" s="27">
        <v>1101</v>
      </c>
      <c r="G1095" s="27">
        <v>-39493</v>
      </c>
      <c r="H1095" s="27">
        <v>24817</v>
      </c>
      <c r="I1095" s="27">
        <v>-21318</v>
      </c>
      <c r="J1095" s="27">
        <v>25326</v>
      </c>
      <c r="K1095" s="27">
        <v>-62142</v>
      </c>
      <c r="L1095" s="69">
        <v>140.76</v>
      </c>
      <c r="M1095" s="27">
        <v>499505</v>
      </c>
      <c r="N1095" s="69">
        <v>0.51</v>
      </c>
      <c r="O1095" s="69">
        <v>-1.25</v>
      </c>
      <c r="P1095" s="69">
        <v>11.34</v>
      </c>
      <c r="Q1095" s="27">
        <v>83</v>
      </c>
      <c r="R1095" s="69">
        <v>5.37</v>
      </c>
      <c r="S1095" s="69">
        <v>400.64</v>
      </c>
      <c r="X1095" s="2">
        <f t="shared" si="51"/>
        <v>0.17</v>
      </c>
      <c r="Y1095" s="2">
        <f>SUMIF(收盤價!A:A,A1095,收盤價!C:C)</f>
        <v>26.35</v>
      </c>
      <c r="Z1095" s="2">
        <f t="shared" si="52"/>
        <v>566438.67000000004</v>
      </c>
      <c r="AA1095" s="2">
        <f t="shared" si="53"/>
        <v>1316195.675</v>
      </c>
    </row>
    <row r="1096" spans="1:27" ht="14.5" customHeight="1">
      <c r="A1096" s="7" t="s">
        <v>6476</v>
      </c>
      <c r="B1096" s="8" t="s">
        <v>2837</v>
      </c>
      <c r="C1096" s="27">
        <v>4559348</v>
      </c>
      <c r="D1096" s="27">
        <v>4957018</v>
      </c>
      <c r="E1096" s="69">
        <v>-8.02</v>
      </c>
      <c r="F1096" s="27">
        <v>2109011</v>
      </c>
      <c r="G1096" s="27">
        <v>1952701</v>
      </c>
      <c r="H1096" s="27">
        <v>515494</v>
      </c>
      <c r="I1096" s="27">
        <v>646117</v>
      </c>
      <c r="J1096" s="27">
        <v>2302871</v>
      </c>
      <c r="K1096" s="27">
        <v>2180535</v>
      </c>
      <c r="L1096" s="69">
        <v>5.61</v>
      </c>
      <c r="M1096" s="27">
        <v>4200842</v>
      </c>
      <c r="N1096" s="69">
        <v>5.48</v>
      </c>
      <c r="O1096" s="69">
        <v>5.19</v>
      </c>
      <c r="P1096" s="69">
        <v>43.89</v>
      </c>
      <c r="Q1096" s="27">
        <v>28</v>
      </c>
      <c r="R1096" s="69">
        <v>1.01</v>
      </c>
      <c r="S1096" s="69">
        <v>65.430000000000007</v>
      </c>
      <c r="X1096" s="2">
        <f t="shared" si="51"/>
        <v>0.72</v>
      </c>
      <c r="Y1096" s="2">
        <f>SUMIF(收盤價!A:A,A1096,收盤價!C:C)</f>
        <v>63.7</v>
      </c>
      <c r="Z1096" s="2">
        <f t="shared" si="52"/>
        <v>18437495.537999999</v>
      </c>
      <c r="AA1096" s="2">
        <f t="shared" si="53"/>
        <v>26759363.539999999</v>
      </c>
    </row>
    <row r="1097" spans="1:27" ht="14.5" customHeight="1">
      <c r="A1097" s="7" t="s">
        <v>6477</v>
      </c>
      <c r="B1097" s="8" t="s">
        <v>2963</v>
      </c>
      <c r="C1097" s="27">
        <v>2008817</v>
      </c>
      <c r="D1097" s="27">
        <v>1956318</v>
      </c>
      <c r="E1097" s="69">
        <v>2.68</v>
      </c>
      <c r="F1097" s="27">
        <v>119272</v>
      </c>
      <c r="G1097" s="27">
        <v>98201</v>
      </c>
      <c r="H1097" s="27">
        <v>-19693</v>
      </c>
      <c r="I1097" s="27">
        <v>-2015</v>
      </c>
      <c r="J1097" s="27">
        <v>74964</v>
      </c>
      <c r="K1097" s="27">
        <v>82744</v>
      </c>
      <c r="L1097" s="69">
        <v>-9.4</v>
      </c>
      <c r="M1097" s="27">
        <v>741467</v>
      </c>
      <c r="N1097" s="69">
        <v>1.01</v>
      </c>
      <c r="O1097" s="69">
        <v>1.1200000000000001</v>
      </c>
      <c r="P1097" s="69">
        <v>17.7</v>
      </c>
      <c r="Q1097" s="27">
        <v>40</v>
      </c>
      <c r="R1097" s="69">
        <v>1.72</v>
      </c>
      <c r="S1097" s="69">
        <v>171.45</v>
      </c>
      <c r="X1097" s="2">
        <f t="shared" si="51"/>
        <v>0.6</v>
      </c>
      <c r="Y1097" s="2">
        <f>SUMIF(收盤價!A:A,A1097,收盤價!C:C)</f>
        <v>31.5</v>
      </c>
      <c r="Z1097" s="2">
        <f t="shared" si="52"/>
        <v>1312396.5900000001</v>
      </c>
      <c r="AA1097" s="2">
        <f t="shared" si="53"/>
        <v>2335621.0499999998</v>
      </c>
    </row>
    <row r="1098" spans="1:27" ht="14.5" customHeight="1">
      <c r="A1098" s="7" t="s">
        <v>6478</v>
      </c>
      <c r="B1098" s="8" t="s">
        <v>2985</v>
      </c>
      <c r="C1098" s="27">
        <v>56978</v>
      </c>
      <c r="D1098" s="27">
        <v>88059</v>
      </c>
      <c r="E1098" s="69">
        <v>-35.299999999999997</v>
      </c>
      <c r="F1098" s="27">
        <v>5743</v>
      </c>
      <c r="G1098" s="27">
        <v>10291</v>
      </c>
      <c r="H1098" s="27">
        <v>-71</v>
      </c>
      <c r="I1098" s="27">
        <v>5937</v>
      </c>
      <c r="J1098" s="27">
        <v>4830</v>
      </c>
      <c r="K1098" s="27">
        <v>12978</v>
      </c>
      <c r="L1098" s="69">
        <v>-62.78</v>
      </c>
      <c r="M1098" s="27">
        <v>617600</v>
      </c>
      <c r="N1098" s="69">
        <v>0.08</v>
      </c>
      <c r="O1098" s="69">
        <v>0.21</v>
      </c>
      <c r="P1098" s="69">
        <v>11.66</v>
      </c>
      <c r="Q1098" s="27">
        <v>91</v>
      </c>
      <c r="R1098" s="69">
        <v>11.2</v>
      </c>
      <c r="S1098" s="69">
        <v>660.5</v>
      </c>
      <c r="X1098" s="2">
        <f t="shared" si="51"/>
        <v>0.09</v>
      </c>
      <c r="Y1098" s="2">
        <f>SUMIF(收盤價!A:A,A1098,收盤價!C:C)</f>
        <v>0</v>
      </c>
      <c r="Z1098" s="2">
        <f t="shared" si="52"/>
        <v>720121.6</v>
      </c>
      <c r="AA1098" s="2">
        <f t="shared" si="53"/>
        <v>0</v>
      </c>
    </row>
    <row r="1099" spans="1:27" ht="14.5" customHeight="1">
      <c r="A1099" s="7" t="s">
        <v>6479</v>
      </c>
      <c r="B1099" s="8" t="s">
        <v>3025</v>
      </c>
      <c r="C1099" s="27">
        <v>94243</v>
      </c>
      <c r="D1099" s="27">
        <v>97361</v>
      </c>
      <c r="E1099" s="69">
        <v>-3.2</v>
      </c>
      <c r="F1099" s="27">
        <v>-45218</v>
      </c>
      <c r="G1099" s="27">
        <v>-52890</v>
      </c>
      <c r="H1099" s="27">
        <v>25761</v>
      </c>
      <c r="I1099" s="27">
        <v>-3599</v>
      </c>
      <c r="J1099" s="27">
        <v>-17356</v>
      </c>
      <c r="K1099" s="27">
        <v>-62618</v>
      </c>
      <c r="L1099" s="69">
        <v>72.28</v>
      </c>
      <c r="M1099" s="27">
        <v>316540</v>
      </c>
      <c r="N1099" s="69">
        <v>-0.55000000000000004</v>
      </c>
      <c r="O1099" s="69">
        <v>-1.98</v>
      </c>
      <c r="P1099" s="69">
        <v>2.63</v>
      </c>
      <c r="Q1099" s="27">
        <v>86</v>
      </c>
      <c r="R1099" s="69">
        <v>8.41</v>
      </c>
      <c r="S1099" s="69">
        <v>614.97</v>
      </c>
      <c r="X1099" s="2">
        <f t="shared" si="51"/>
        <v>0.14000000000000001</v>
      </c>
      <c r="Y1099" s="2">
        <f>SUMIF(收盤價!A:A,A1099,收盤價!C:C)</f>
        <v>0</v>
      </c>
      <c r="Z1099" s="2">
        <f t="shared" si="52"/>
        <v>83250.01999999999</v>
      </c>
      <c r="AA1099" s="2">
        <f t="shared" si="53"/>
        <v>0</v>
      </c>
    </row>
    <row r="1100" spans="1:27" ht="14.5" customHeight="1">
      <c r="A1100" s="7" t="s">
        <v>6176</v>
      </c>
      <c r="B1100" s="8" t="s">
        <v>3211</v>
      </c>
      <c r="C1100" s="27">
        <v>470510</v>
      </c>
      <c r="D1100" s="27">
        <v>382999</v>
      </c>
      <c r="E1100" s="69">
        <v>22.85</v>
      </c>
      <c r="F1100" s="27">
        <v>64381</v>
      </c>
      <c r="G1100" s="27">
        <v>62769</v>
      </c>
      <c r="H1100" s="27">
        <v>-796</v>
      </c>
      <c r="I1100" s="27">
        <v>-1819</v>
      </c>
      <c r="J1100" s="27">
        <v>54306</v>
      </c>
      <c r="K1100" s="27">
        <v>49589</v>
      </c>
      <c r="L1100" s="69">
        <v>9.51</v>
      </c>
      <c r="M1100" s="27">
        <v>180000</v>
      </c>
      <c r="N1100" s="69">
        <v>3.16</v>
      </c>
      <c r="O1100" s="69">
        <v>3.1</v>
      </c>
      <c r="P1100" s="69">
        <v>19.53</v>
      </c>
      <c r="Q1100" s="27">
        <v>48</v>
      </c>
      <c r="R1100" s="69">
        <v>2.7</v>
      </c>
      <c r="S1100" s="69">
        <v>269.5</v>
      </c>
      <c r="X1100" s="2">
        <f t="shared" si="51"/>
        <v>0.52</v>
      </c>
      <c r="Y1100" s="2">
        <f>SUMIF(收盤價!A:A,A1100,收盤價!C:C)</f>
        <v>111.85</v>
      </c>
      <c r="Z1100" s="2">
        <f t="shared" si="52"/>
        <v>351540</v>
      </c>
      <c r="AA1100" s="2">
        <f t="shared" si="53"/>
        <v>2013300</v>
      </c>
    </row>
    <row r="1101" spans="1:27" ht="14.5" customHeight="1">
      <c r="A1101" s="7" t="s">
        <v>6480</v>
      </c>
      <c r="B1101" s="8" t="s">
        <v>3243</v>
      </c>
      <c r="C1101" s="27">
        <v>5321559</v>
      </c>
      <c r="D1101" s="27">
        <v>4847096</v>
      </c>
      <c r="E1101" s="69">
        <v>9.7899999999999991</v>
      </c>
      <c r="F1101" s="27">
        <v>1172047</v>
      </c>
      <c r="G1101" s="27">
        <v>1128916</v>
      </c>
      <c r="H1101" s="27">
        <v>102788</v>
      </c>
      <c r="I1101" s="27">
        <v>105854</v>
      </c>
      <c r="J1101" s="27">
        <v>811312</v>
      </c>
      <c r="K1101" s="27">
        <v>806912</v>
      </c>
      <c r="L1101" s="69">
        <v>0.55000000000000004</v>
      </c>
      <c r="M1101" s="27">
        <v>671051</v>
      </c>
      <c r="N1101" s="69">
        <v>12.09</v>
      </c>
      <c r="O1101" s="69">
        <v>12.04</v>
      </c>
      <c r="P1101" s="69">
        <v>74.31</v>
      </c>
      <c r="Q1101" s="27">
        <v>52</v>
      </c>
      <c r="R1101" s="69">
        <v>2.0499999999999998</v>
      </c>
      <c r="S1101" s="69">
        <v>195.5</v>
      </c>
      <c r="X1101" s="2">
        <f t="shared" si="51"/>
        <v>0.48</v>
      </c>
      <c r="Y1101" s="2">
        <f>SUMIF(收盤價!A:A,A1101,收盤價!C:C)</f>
        <v>209</v>
      </c>
      <c r="Z1101" s="2">
        <f t="shared" si="52"/>
        <v>4986579.9810000006</v>
      </c>
      <c r="AA1101" s="2">
        <f t="shared" si="53"/>
        <v>14024965.9</v>
      </c>
    </row>
    <row r="1102" spans="1:27" ht="14.5" customHeight="1">
      <c r="A1102" s="7" t="s">
        <v>6481</v>
      </c>
      <c r="B1102" s="8" t="s">
        <v>3359</v>
      </c>
      <c r="C1102" s="27">
        <v>1273221</v>
      </c>
      <c r="D1102" s="27">
        <v>1450400</v>
      </c>
      <c r="E1102" s="69">
        <v>-12.22</v>
      </c>
      <c r="F1102" s="27">
        <v>102361</v>
      </c>
      <c r="G1102" s="27">
        <v>104070</v>
      </c>
      <c r="H1102" s="27">
        <v>23645</v>
      </c>
      <c r="I1102" s="27">
        <v>39515</v>
      </c>
      <c r="J1102" s="27">
        <v>102209</v>
      </c>
      <c r="K1102" s="27">
        <v>113729</v>
      </c>
      <c r="L1102" s="69">
        <v>-10.130000000000001</v>
      </c>
      <c r="M1102" s="27">
        <v>335367</v>
      </c>
      <c r="N1102" s="69">
        <v>3.05</v>
      </c>
      <c r="O1102" s="69">
        <v>3.43</v>
      </c>
      <c r="P1102" s="69">
        <v>22.13</v>
      </c>
      <c r="Q1102" s="27">
        <v>46</v>
      </c>
      <c r="R1102" s="69">
        <v>1.23</v>
      </c>
      <c r="S1102" s="69">
        <v>108.1</v>
      </c>
      <c r="X1102" s="2">
        <f t="shared" si="51"/>
        <v>0.54</v>
      </c>
      <c r="Y1102" s="2">
        <f>SUMIF(收盤價!A:A,A1102,收盤價!C:C)</f>
        <v>45.5</v>
      </c>
      <c r="Z1102" s="2">
        <f t="shared" si="52"/>
        <v>742167.17099999997</v>
      </c>
      <c r="AA1102" s="2">
        <f t="shared" si="53"/>
        <v>1525919.85</v>
      </c>
    </row>
    <row r="1103" spans="1:27" ht="14.5" customHeight="1">
      <c r="A1103" s="7" t="s">
        <v>6482</v>
      </c>
      <c r="B1103" s="8" t="s">
        <v>3369</v>
      </c>
      <c r="C1103" s="27">
        <v>3850803</v>
      </c>
      <c r="D1103" s="27">
        <v>4196492</v>
      </c>
      <c r="E1103" s="69">
        <v>-8.24</v>
      </c>
      <c r="F1103" s="27">
        <v>227819</v>
      </c>
      <c r="G1103" s="27">
        <v>17865</v>
      </c>
      <c r="H1103" s="27">
        <v>-37839</v>
      </c>
      <c r="I1103" s="27">
        <v>73631</v>
      </c>
      <c r="J1103" s="27">
        <v>150048</v>
      </c>
      <c r="K1103" s="27">
        <v>77286</v>
      </c>
      <c r="L1103" s="69">
        <v>94.15</v>
      </c>
      <c r="M1103" s="27">
        <v>964020</v>
      </c>
      <c r="N1103" s="69">
        <v>1.56</v>
      </c>
      <c r="O1103" s="69">
        <v>0.8</v>
      </c>
      <c r="P1103" s="69">
        <v>19.98</v>
      </c>
      <c r="Q1103" s="27">
        <v>59</v>
      </c>
      <c r="R1103" s="69">
        <v>2.96</v>
      </c>
      <c r="S1103" s="69">
        <v>178.3</v>
      </c>
      <c r="X1103" s="2">
        <f t="shared" si="51"/>
        <v>0.41</v>
      </c>
      <c r="Y1103" s="2">
        <f>SUMIF(收盤價!A:A,A1103,收盤價!C:C)</f>
        <v>19.45</v>
      </c>
      <c r="Z1103" s="2">
        <f t="shared" si="52"/>
        <v>1926111.9600000002</v>
      </c>
      <c r="AA1103" s="2">
        <f t="shared" si="53"/>
        <v>1875018.9</v>
      </c>
    </row>
    <row r="1104" spans="1:27" ht="14.5" customHeight="1">
      <c r="A1104" s="7" t="s">
        <v>6483</v>
      </c>
      <c r="B1104" s="8" t="s">
        <v>3371</v>
      </c>
      <c r="C1104" s="27">
        <v>1318076</v>
      </c>
      <c r="D1104" s="27">
        <v>1455688</v>
      </c>
      <c r="E1104" s="69">
        <v>-9.4499999999999993</v>
      </c>
      <c r="F1104" s="27">
        <v>41141</v>
      </c>
      <c r="G1104" s="27">
        <v>70585</v>
      </c>
      <c r="H1104" s="27">
        <v>-393</v>
      </c>
      <c r="I1104" s="27">
        <v>7388</v>
      </c>
      <c r="J1104" s="27">
        <v>29074</v>
      </c>
      <c r="K1104" s="27">
        <v>60440</v>
      </c>
      <c r="L1104" s="69">
        <v>-51.9</v>
      </c>
      <c r="M1104" s="27">
        <v>627297</v>
      </c>
      <c r="N1104" s="69">
        <v>0.46</v>
      </c>
      <c r="O1104" s="69">
        <v>0.97</v>
      </c>
      <c r="P1104" s="69">
        <v>14.61</v>
      </c>
      <c r="Q1104" s="27">
        <v>63</v>
      </c>
      <c r="R1104" s="69">
        <v>2.16</v>
      </c>
      <c r="S1104" s="69">
        <v>201.09</v>
      </c>
      <c r="X1104" s="2">
        <f t="shared" si="51"/>
        <v>0.37</v>
      </c>
      <c r="Y1104" s="2">
        <f>SUMIF(收盤價!A:A,A1104,收盤價!C:C)</f>
        <v>11.45</v>
      </c>
      <c r="Z1104" s="2">
        <f t="shared" si="52"/>
        <v>916480.91700000002</v>
      </c>
      <c r="AA1104" s="2">
        <f t="shared" si="53"/>
        <v>718255.06499999994</v>
      </c>
    </row>
    <row r="1105" spans="1:27" ht="14.5" customHeight="1">
      <c r="A1105" s="7" t="s">
        <v>6484</v>
      </c>
      <c r="B1105" s="8" t="s">
        <v>3387</v>
      </c>
      <c r="C1105" s="27">
        <v>1812830</v>
      </c>
      <c r="D1105" s="27">
        <v>1580530</v>
      </c>
      <c r="E1105" s="69">
        <v>14.7</v>
      </c>
      <c r="F1105" s="27">
        <v>160357</v>
      </c>
      <c r="G1105" s="27">
        <v>82528</v>
      </c>
      <c r="H1105" s="27">
        <v>-1469</v>
      </c>
      <c r="I1105" s="27">
        <v>9328</v>
      </c>
      <c r="J1105" s="27">
        <v>129001</v>
      </c>
      <c r="K1105" s="27">
        <v>80730</v>
      </c>
      <c r="L1105" s="69">
        <v>59.79</v>
      </c>
      <c r="M1105" s="27">
        <v>509900</v>
      </c>
      <c r="N1105" s="69">
        <v>2.5299999999999998</v>
      </c>
      <c r="O1105" s="69">
        <v>1.58</v>
      </c>
      <c r="P1105" s="69">
        <v>18</v>
      </c>
      <c r="Q1105" s="27">
        <v>57</v>
      </c>
      <c r="R1105" s="69">
        <v>1.54</v>
      </c>
      <c r="S1105" s="69">
        <v>72.03</v>
      </c>
      <c r="X1105" s="2">
        <f t="shared" si="51"/>
        <v>0.43</v>
      </c>
      <c r="Y1105" s="2">
        <f>SUMIF(收盤價!A:A,A1105,收盤價!C:C)</f>
        <v>29.15</v>
      </c>
      <c r="Z1105" s="2">
        <f t="shared" si="52"/>
        <v>917820</v>
      </c>
      <c r="AA1105" s="2">
        <f t="shared" si="53"/>
        <v>1486358.5</v>
      </c>
    </row>
    <row r="1106" spans="1:27" ht="14.5" customHeight="1">
      <c r="A1106" s="7" t="s">
        <v>6485</v>
      </c>
      <c r="B1106" s="8" t="s">
        <v>3389</v>
      </c>
      <c r="C1106" s="27">
        <v>1317933</v>
      </c>
      <c r="D1106" s="27">
        <v>1263521</v>
      </c>
      <c r="E1106" s="69">
        <v>4.3099999999999996</v>
      </c>
      <c r="F1106" s="27">
        <v>19781</v>
      </c>
      <c r="G1106" s="27">
        <v>31623</v>
      </c>
      <c r="H1106" s="27">
        <v>-29342</v>
      </c>
      <c r="I1106" s="27">
        <v>4438</v>
      </c>
      <c r="J1106" s="27">
        <v>-11901</v>
      </c>
      <c r="K1106" s="27">
        <v>37006</v>
      </c>
      <c r="L1106" s="69">
        <v>-132.16</v>
      </c>
      <c r="M1106" s="27">
        <v>548171</v>
      </c>
      <c r="N1106" s="69">
        <v>-0.22</v>
      </c>
      <c r="O1106" s="69">
        <v>0.67</v>
      </c>
      <c r="P1106" s="69">
        <v>11.69</v>
      </c>
      <c r="Q1106" s="27">
        <v>26</v>
      </c>
      <c r="R1106" s="69">
        <v>2</v>
      </c>
      <c r="S1106" s="69">
        <v>134.31</v>
      </c>
      <c r="X1106" s="2">
        <f t="shared" si="51"/>
        <v>0.74</v>
      </c>
      <c r="Y1106" s="2">
        <f>SUMIF(收盤價!A:A,A1106,收盤價!C:C)</f>
        <v>12.65</v>
      </c>
      <c r="Z1106" s="2">
        <f t="shared" si="52"/>
        <v>640811.89899999998</v>
      </c>
      <c r="AA1106" s="2">
        <f t="shared" si="53"/>
        <v>693436.31500000006</v>
      </c>
    </row>
    <row r="1107" spans="1:27" ht="14.5" customHeight="1">
      <c r="A1107" s="7" t="s">
        <v>6486</v>
      </c>
      <c r="B1107" s="8" t="s">
        <v>3403</v>
      </c>
      <c r="C1107" s="27">
        <v>765834</v>
      </c>
      <c r="D1107" s="27">
        <v>767713</v>
      </c>
      <c r="E1107" s="69">
        <v>-0.24</v>
      </c>
      <c r="F1107" s="27">
        <v>157633</v>
      </c>
      <c r="G1107" s="27">
        <v>144536</v>
      </c>
      <c r="H1107" s="27">
        <v>-2563</v>
      </c>
      <c r="I1107" s="27">
        <v>8301</v>
      </c>
      <c r="J1107" s="27">
        <v>110998</v>
      </c>
      <c r="K1107" s="27">
        <v>105790</v>
      </c>
      <c r="L1107" s="69">
        <v>4.92</v>
      </c>
      <c r="M1107" s="27">
        <v>317004</v>
      </c>
      <c r="N1107" s="69">
        <v>3.5</v>
      </c>
      <c r="O1107" s="69">
        <v>3.34</v>
      </c>
      <c r="P1107" s="69">
        <v>23.16</v>
      </c>
      <c r="Q1107" s="27">
        <v>79</v>
      </c>
      <c r="R1107" s="69">
        <v>4.3600000000000003</v>
      </c>
      <c r="S1107" s="69">
        <v>398.18</v>
      </c>
      <c r="X1107" s="2">
        <f t="shared" si="51"/>
        <v>0.21</v>
      </c>
      <c r="Y1107" s="2">
        <f>SUMIF(收盤價!A:A,A1107,收盤價!C:C)</f>
        <v>50.6</v>
      </c>
      <c r="Z1107" s="2">
        <f t="shared" si="52"/>
        <v>734181.26399999997</v>
      </c>
      <c r="AA1107" s="2">
        <f t="shared" si="53"/>
        <v>1604040.24</v>
      </c>
    </row>
    <row r="1108" spans="1:27" ht="14.5" customHeight="1">
      <c r="A1108" s="7" t="s">
        <v>6487</v>
      </c>
      <c r="B1108" s="8" t="s">
        <v>3409</v>
      </c>
      <c r="C1108" s="27">
        <v>701108</v>
      </c>
      <c r="D1108" s="27">
        <v>748483</v>
      </c>
      <c r="E1108" s="69">
        <v>-6.33</v>
      </c>
      <c r="F1108" s="27">
        <v>20323</v>
      </c>
      <c r="G1108" s="27">
        <v>21078</v>
      </c>
      <c r="H1108" s="27">
        <v>2766</v>
      </c>
      <c r="I1108" s="27">
        <v>2663</v>
      </c>
      <c r="J1108" s="27">
        <v>18480</v>
      </c>
      <c r="K1108" s="27">
        <v>18731</v>
      </c>
      <c r="L1108" s="69">
        <v>-1.34</v>
      </c>
      <c r="M1108" s="27">
        <v>380002</v>
      </c>
      <c r="N1108" s="69">
        <v>0.49</v>
      </c>
      <c r="O1108" s="69">
        <v>0.51</v>
      </c>
      <c r="P1108" s="69">
        <v>13.75</v>
      </c>
      <c r="Q1108" s="27">
        <v>85</v>
      </c>
      <c r="R1108" s="69">
        <v>6.3</v>
      </c>
      <c r="S1108" s="69">
        <v>457.74</v>
      </c>
      <c r="X1108" s="2">
        <f t="shared" si="51"/>
        <v>0.15</v>
      </c>
      <c r="Y1108" s="2">
        <f>SUMIF(收盤價!A:A,A1108,收盤價!C:C)</f>
        <v>14.4</v>
      </c>
      <c r="Z1108" s="2">
        <f t="shared" si="52"/>
        <v>522502.75</v>
      </c>
      <c r="AA1108" s="2">
        <f t="shared" si="53"/>
        <v>547202.88</v>
      </c>
    </row>
    <row r="1109" spans="1:27" ht="14.5" customHeight="1">
      <c r="A1109" s="7" t="s">
        <v>6488</v>
      </c>
      <c r="B1109" s="8" t="s">
        <v>3421</v>
      </c>
      <c r="C1109" s="27">
        <v>471053</v>
      </c>
      <c r="D1109" s="27">
        <v>227070</v>
      </c>
      <c r="E1109" s="69">
        <v>107.45</v>
      </c>
      <c r="F1109" s="27">
        <v>-81112</v>
      </c>
      <c r="G1109" s="27">
        <v>-387354</v>
      </c>
      <c r="H1109" s="27">
        <v>-84547</v>
      </c>
      <c r="I1109" s="27">
        <v>-91432</v>
      </c>
      <c r="J1109" s="27">
        <v>-180530</v>
      </c>
      <c r="K1109" s="27">
        <v>-395352</v>
      </c>
      <c r="L1109" s="69">
        <v>54.34</v>
      </c>
      <c r="M1109" s="27">
        <v>605103</v>
      </c>
      <c r="N1109" s="69">
        <v>-3.85</v>
      </c>
      <c r="O1109" s="69">
        <v>-9.89</v>
      </c>
      <c r="P1109" s="69">
        <v>8.0399999999999991</v>
      </c>
      <c r="Q1109" s="27">
        <v>38</v>
      </c>
      <c r="R1109" s="69">
        <v>1.26</v>
      </c>
      <c r="S1109" s="69">
        <v>119.14</v>
      </c>
      <c r="X1109" s="2">
        <f t="shared" si="51"/>
        <v>0.62</v>
      </c>
      <c r="Y1109" s="2">
        <f>SUMIF(收盤價!A:A,A1109,收盤價!C:C)</f>
        <v>20.399999999999999</v>
      </c>
      <c r="Z1109" s="2">
        <f t="shared" si="52"/>
        <v>486502.81199999992</v>
      </c>
      <c r="AA1109" s="2">
        <f t="shared" si="53"/>
        <v>1234410.1199999999</v>
      </c>
    </row>
    <row r="1110" spans="1:27" ht="14.5" customHeight="1">
      <c r="A1110" s="7" t="s">
        <v>6489</v>
      </c>
      <c r="B1110" s="8" t="s">
        <v>3427</v>
      </c>
      <c r="C1110" s="27">
        <v>2670830</v>
      </c>
      <c r="D1110" s="27">
        <v>2712203</v>
      </c>
      <c r="E1110" s="69">
        <v>-1.53</v>
      </c>
      <c r="F1110" s="27">
        <v>149160</v>
      </c>
      <c r="G1110" s="27">
        <v>251201</v>
      </c>
      <c r="H1110" s="27">
        <v>932</v>
      </c>
      <c r="I1110" s="27">
        <v>25329</v>
      </c>
      <c r="J1110" s="27">
        <v>118138</v>
      </c>
      <c r="K1110" s="27">
        <v>226364</v>
      </c>
      <c r="L1110" s="69">
        <v>-47.81</v>
      </c>
      <c r="M1110" s="27">
        <v>1194400</v>
      </c>
      <c r="N1110" s="69">
        <v>1.02</v>
      </c>
      <c r="O1110" s="69">
        <v>1.96</v>
      </c>
      <c r="P1110" s="69">
        <v>23.43</v>
      </c>
      <c r="Q1110" s="27">
        <v>58</v>
      </c>
      <c r="R1110" s="69">
        <v>1.89</v>
      </c>
      <c r="S1110" s="69">
        <v>40.130000000000003</v>
      </c>
      <c r="X1110" s="2">
        <f t="shared" si="51"/>
        <v>0.42</v>
      </c>
      <c r="Y1110" s="2">
        <f>SUMIF(收盤價!A:A,A1110,收盤價!C:C)</f>
        <v>15.95</v>
      </c>
      <c r="Z1110" s="2">
        <f t="shared" si="52"/>
        <v>2798479.2</v>
      </c>
      <c r="AA1110" s="2">
        <f t="shared" si="53"/>
        <v>1905068</v>
      </c>
    </row>
    <row r="1111" spans="1:27" ht="14.5" customHeight="1">
      <c r="A1111" s="7" t="s">
        <v>6490</v>
      </c>
      <c r="B1111" s="8" t="s">
        <v>3429</v>
      </c>
      <c r="C1111" s="27">
        <v>196133</v>
      </c>
      <c r="D1111" s="27">
        <v>186263</v>
      </c>
      <c r="E1111" s="69">
        <v>5.3</v>
      </c>
      <c r="F1111" s="27">
        <v>-836</v>
      </c>
      <c r="G1111" s="27">
        <v>261</v>
      </c>
      <c r="H1111" s="27">
        <v>11092</v>
      </c>
      <c r="I1111" s="27">
        <v>177</v>
      </c>
      <c r="J1111" s="27">
        <v>10111</v>
      </c>
      <c r="K1111" s="27">
        <v>438</v>
      </c>
      <c r="L1111" s="28" t="s">
        <v>6378</v>
      </c>
      <c r="M1111" s="27">
        <v>340374</v>
      </c>
      <c r="N1111" s="69">
        <v>0.31</v>
      </c>
      <c r="O1111" s="69">
        <v>0.01</v>
      </c>
      <c r="P1111" s="69">
        <v>11.23</v>
      </c>
      <c r="Q1111" s="27">
        <v>50</v>
      </c>
      <c r="R1111" s="69">
        <v>0.35</v>
      </c>
      <c r="S1111" s="69">
        <v>31.46</v>
      </c>
      <c r="X1111" s="2">
        <f t="shared" si="51"/>
        <v>0.5</v>
      </c>
      <c r="Y1111" s="2">
        <f>SUMIF(收盤價!A:A,A1111,收盤價!C:C)</f>
        <v>16.5</v>
      </c>
      <c r="Z1111" s="2">
        <f t="shared" si="52"/>
        <v>382240.00199999998</v>
      </c>
      <c r="AA1111" s="2">
        <f t="shared" si="53"/>
        <v>561617.1</v>
      </c>
    </row>
    <row r="1112" spans="1:27" ht="14.5" customHeight="1">
      <c r="A1112" s="7" t="s">
        <v>6491</v>
      </c>
      <c r="B1112" s="8" t="s">
        <v>3433</v>
      </c>
      <c r="C1112" s="27">
        <v>10593869</v>
      </c>
      <c r="D1112" s="27">
        <v>10154312</v>
      </c>
      <c r="E1112" s="69">
        <v>4.33</v>
      </c>
      <c r="F1112" s="27">
        <v>595528</v>
      </c>
      <c r="G1112" s="27">
        <v>349438</v>
      </c>
      <c r="H1112" s="27">
        <v>15074</v>
      </c>
      <c r="I1112" s="27">
        <v>378502</v>
      </c>
      <c r="J1112" s="27">
        <v>487589</v>
      </c>
      <c r="K1112" s="27">
        <v>618337</v>
      </c>
      <c r="L1112" s="69">
        <v>-21.15</v>
      </c>
      <c r="M1112" s="27">
        <v>1485075</v>
      </c>
      <c r="N1112" s="69">
        <v>4.0999999999999996</v>
      </c>
      <c r="O1112" s="69">
        <v>5.74</v>
      </c>
      <c r="P1112" s="69">
        <v>33.880000000000003</v>
      </c>
      <c r="Q1112" s="27">
        <v>66</v>
      </c>
      <c r="R1112" s="69">
        <v>3.5</v>
      </c>
      <c r="S1112" s="69">
        <v>170.91</v>
      </c>
      <c r="X1112" s="2">
        <f t="shared" si="51"/>
        <v>0.34</v>
      </c>
      <c r="Y1112" s="2">
        <f>SUMIF(收盤價!A:A,A1112,收盤價!C:C)</f>
        <v>45</v>
      </c>
      <c r="Z1112" s="2">
        <f t="shared" si="52"/>
        <v>5031434.1000000006</v>
      </c>
      <c r="AA1112" s="2">
        <f t="shared" si="53"/>
        <v>6682837.5</v>
      </c>
    </row>
    <row r="1113" spans="1:27" ht="14.5" customHeight="1">
      <c r="A1113" s="7" t="s">
        <v>6492</v>
      </c>
      <c r="B1113" s="8" t="s">
        <v>3437</v>
      </c>
      <c r="C1113" s="27">
        <v>539064</v>
      </c>
      <c r="D1113" s="27">
        <v>534377</v>
      </c>
      <c r="E1113" s="69">
        <v>0.88</v>
      </c>
      <c r="F1113" s="27">
        <v>4041</v>
      </c>
      <c r="G1113" s="27">
        <v>-1360</v>
      </c>
      <c r="H1113" s="27">
        <v>20646</v>
      </c>
      <c r="I1113" s="27">
        <v>16963</v>
      </c>
      <c r="J1113" s="27">
        <v>23354</v>
      </c>
      <c r="K1113" s="27">
        <v>14613</v>
      </c>
      <c r="L1113" s="69">
        <v>59.82</v>
      </c>
      <c r="M1113" s="27">
        <v>465922</v>
      </c>
      <c r="N1113" s="69">
        <v>0.5</v>
      </c>
      <c r="O1113" s="69">
        <v>0.31</v>
      </c>
      <c r="P1113" s="69">
        <v>18.760000000000002</v>
      </c>
      <c r="Q1113" s="27">
        <v>84</v>
      </c>
      <c r="R1113" s="69">
        <v>2.78</v>
      </c>
      <c r="S1113" s="69">
        <v>230.15</v>
      </c>
      <c r="X1113" s="2">
        <f t="shared" si="51"/>
        <v>0.16</v>
      </c>
      <c r="Y1113" s="2">
        <f>SUMIF(收盤價!A:A,A1113,收盤價!C:C)</f>
        <v>13.55</v>
      </c>
      <c r="Z1113" s="2">
        <f t="shared" si="52"/>
        <v>874069.67200000002</v>
      </c>
      <c r="AA1113" s="2">
        <f t="shared" si="53"/>
        <v>631324.31000000006</v>
      </c>
    </row>
    <row r="1114" spans="1:27" ht="14.5" customHeight="1">
      <c r="A1114" s="7" t="s">
        <v>6493</v>
      </c>
      <c r="B1114" s="8" t="s">
        <v>3441</v>
      </c>
      <c r="C1114" s="27">
        <v>3920669</v>
      </c>
      <c r="D1114" s="27">
        <v>3742425</v>
      </c>
      <c r="E1114" s="69">
        <v>4.76</v>
      </c>
      <c r="F1114" s="27">
        <v>487755</v>
      </c>
      <c r="G1114" s="27">
        <v>169654</v>
      </c>
      <c r="H1114" s="27">
        <v>30813</v>
      </c>
      <c r="I1114" s="27">
        <v>-108444</v>
      </c>
      <c r="J1114" s="27">
        <v>486984</v>
      </c>
      <c r="K1114" s="27">
        <v>30638</v>
      </c>
      <c r="L1114" s="28" t="s">
        <v>6378</v>
      </c>
      <c r="M1114" s="27">
        <v>838000</v>
      </c>
      <c r="N1114" s="69">
        <v>5.81</v>
      </c>
      <c r="O1114" s="69">
        <v>0.3</v>
      </c>
      <c r="P1114" s="69">
        <v>27.21</v>
      </c>
      <c r="Q1114" s="27">
        <v>61</v>
      </c>
      <c r="R1114" s="69">
        <v>2.82</v>
      </c>
      <c r="S1114" s="69">
        <v>227.59</v>
      </c>
      <c r="X1114" s="2">
        <f t="shared" si="51"/>
        <v>0.39</v>
      </c>
      <c r="Y1114" s="2">
        <f>SUMIF(收盤價!A:A,A1114,收盤價!C:C)</f>
        <v>47.2</v>
      </c>
      <c r="Z1114" s="2">
        <f t="shared" si="52"/>
        <v>2280198</v>
      </c>
      <c r="AA1114" s="2">
        <f t="shared" si="53"/>
        <v>3955360</v>
      </c>
    </row>
    <row r="1115" spans="1:27" ht="14.5" customHeight="1">
      <c r="A1115" s="7" t="s">
        <v>6494</v>
      </c>
      <c r="B1115" s="8" t="s">
        <v>3445</v>
      </c>
      <c r="C1115" s="27">
        <v>2415940</v>
      </c>
      <c r="D1115" s="27">
        <v>1871874</v>
      </c>
      <c r="E1115" s="69">
        <v>29.07</v>
      </c>
      <c r="F1115" s="27">
        <v>192150</v>
      </c>
      <c r="G1115" s="27">
        <v>101801</v>
      </c>
      <c r="H1115" s="27">
        <v>20938</v>
      </c>
      <c r="I1115" s="27">
        <v>25594</v>
      </c>
      <c r="J1115" s="27">
        <v>167604</v>
      </c>
      <c r="K1115" s="27">
        <v>81440</v>
      </c>
      <c r="L1115" s="69">
        <v>105.8</v>
      </c>
      <c r="M1115" s="27">
        <v>508540</v>
      </c>
      <c r="N1115" s="69">
        <v>3.3</v>
      </c>
      <c r="O1115" s="69">
        <v>1.6</v>
      </c>
      <c r="P1115" s="69">
        <v>16.28</v>
      </c>
      <c r="Q1115" s="27">
        <v>34</v>
      </c>
      <c r="R1115" s="69">
        <v>1.0900000000000001</v>
      </c>
      <c r="S1115" s="69">
        <v>75.83</v>
      </c>
      <c r="X1115" s="2">
        <f t="shared" si="51"/>
        <v>0.66</v>
      </c>
      <c r="Y1115" s="2">
        <f>SUMIF(收盤價!A:A,A1115,收盤價!C:C)</f>
        <v>38.1</v>
      </c>
      <c r="Z1115" s="2">
        <f t="shared" si="52"/>
        <v>827903.12</v>
      </c>
      <c r="AA1115" s="2">
        <f t="shared" si="53"/>
        <v>1937537.4</v>
      </c>
    </row>
    <row r="1116" spans="1:27" ht="14.5" customHeight="1">
      <c r="A1116" s="7" t="s">
        <v>6495</v>
      </c>
      <c r="B1116" s="8" t="s">
        <v>3447</v>
      </c>
      <c r="C1116" s="27">
        <v>1361545</v>
      </c>
      <c r="D1116" s="27">
        <v>1573115</v>
      </c>
      <c r="E1116" s="69">
        <v>-13.45</v>
      </c>
      <c r="F1116" s="27">
        <v>-19566</v>
      </c>
      <c r="G1116" s="27">
        <v>71875</v>
      </c>
      <c r="H1116" s="27">
        <v>42018</v>
      </c>
      <c r="I1116" s="27">
        <v>4295</v>
      </c>
      <c r="J1116" s="27">
        <v>12765</v>
      </c>
      <c r="K1116" s="27">
        <v>35730</v>
      </c>
      <c r="L1116" s="69">
        <v>-64.27</v>
      </c>
      <c r="M1116" s="27">
        <v>505809</v>
      </c>
      <c r="N1116" s="69">
        <v>0.25</v>
      </c>
      <c r="O1116" s="69">
        <v>0.71</v>
      </c>
      <c r="P1116" s="69">
        <v>18.420000000000002</v>
      </c>
      <c r="Q1116" s="27">
        <v>64</v>
      </c>
      <c r="R1116" s="69">
        <v>2.69</v>
      </c>
      <c r="S1116" s="69">
        <v>229.47</v>
      </c>
      <c r="X1116" s="2">
        <f t="shared" si="51"/>
        <v>0.36</v>
      </c>
      <c r="Y1116" s="2">
        <f>SUMIF(收盤價!A:A,A1116,收盤價!C:C)</f>
        <v>23.9</v>
      </c>
      <c r="Z1116" s="2">
        <f t="shared" si="52"/>
        <v>931700.17800000007</v>
      </c>
      <c r="AA1116" s="2">
        <f t="shared" si="53"/>
        <v>1208883.51</v>
      </c>
    </row>
    <row r="1117" spans="1:27" ht="14.5" customHeight="1">
      <c r="A1117" s="7" t="s">
        <v>6496</v>
      </c>
      <c r="B1117" s="8" t="s">
        <v>3453</v>
      </c>
      <c r="C1117" s="27">
        <v>896206</v>
      </c>
      <c r="D1117" s="27">
        <v>940501</v>
      </c>
      <c r="E1117" s="69">
        <v>-4.71</v>
      </c>
      <c r="F1117" s="27">
        <v>-39663</v>
      </c>
      <c r="G1117" s="27">
        <v>-64108</v>
      </c>
      <c r="H1117" s="27">
        <v>-13547</v>
      </c>
      <c r="I1117" s="27">
        <v>350977</v>
      </c>
      <c r="J1117" s="27">
        <v>-51668</v>
      </c>
      <c r="K1117" s="27">
        <v>284218</v>
      </c>
      <c r="L1117" s="69">
        <v>-118.18</v>
      </c>
      <c r="M1117" s="27">
        <v>488000</v>
      </c>
      <c r="N1117" s="69">
        <v>-1.06</v>
      </c>
      <c r="O1117" s="69">
        <v>5.82</v>
      </c>
      <c r="P1117" s="69">
        <v>12.54</v>
      </c>
      <c r="Q1117" s="27">
        <v>50</v>
      </c>
      <c r="R1117" s="69">
        <v>1.43</v>
      </c>
      <c r="S1117" s="69">
        <v>87.29</v>
      </c>
      <c r="X1117" s="2">
        <f t="shared" si="51"/>
        <v>0.5</v>
      </c>
      <c r="Y1117" s="2">
        <f>SUMIF(收盤價!A:A,A1117,收盤價!C:C)</f>
        <v>13.75</v>
      </c>
      <c r="Z1117" s="2">
        <f t="shared" si="52"/>
        <v>611952</v>
      </c>
      <c r="AA1117" s="2">
        <f t="shared" si="53"/>
        <v>671000</v>
      </c>
    </row>
    <row r="1118" spans="1:27" ht="14.5" customHeight="1">
      <c r="A1118" s="7" t="s">
        <v>6497</v>
      </c>
      <c r="B1118" s="8" t="s">
        <v>3455</v>
      </c>
      <c r="C1118" s="27">
        <v>4056886</v>
      </c>
      <c r="D1118" s="27">
        <v>3929836</v>
      </c>
      <c r="E1118" s="69">
        <v>3.23</v>
      </c>
      <c r="F1118" s="27">
        <v>-307304</v>
      </c>
      <c r="G1118" s="27">
        <v>-1096024</v>
      </c>
      <c r="H1118" s="27">
        <v>20303</v>
      </c>
      <c r="I1118" s="27">
        <v>-548835</v>
      </c>
      <c r="J1118" s="27">
        <v>-240301</v>
      </c>
      <c r="K1118" s="27">
        <v>-1520129</v>
      </c>
      <c r="L1118" s="69">
        <v>84.19</v>
      </c>
      <c r="M1118" s="27">
        <v>2342508</v>
      </c>
      <c r="N1118" s="69">
        <v>-1.55</v>
      </c>
      <c r="O1118" s="69">
        <v>-11.55</v>
      </c>
      <c r="P1118" s="69">
        <v>5.25</v>
      </c>
      <c r="Q1118" s="27">
        <v>26</v>
      </c>
      <c r="R1118" s="69">
        <v>1.28</v>
      </c>
      <c r="S1118" s="69">
        <v>72.5</v>
      </c>
      <c r="X1118" s="2">
        <f t="shared" si="51"/>
        <v>0.74</v>
      </c>
      <c r="Y1118" s="2">
        <f>SUMIF(收盤價!A:A,A1118,收盤價!C:C)</f>
        <v>7.91</v>
      </c>
      <c r="Z1118" s="2">
        <f t="shared" si="52"/>
        <v>1229816.7</v>
      </c>
      <c r="AA1118" s="2">
        <f t="shared" si="53"/>
        <v>1852923.8280000002</v>
      </c>
    </row>
    <row r="1119" spans="1:27" ht="14.5" customHeight="1">
      <c r="A1119" s="7" t="s">
        <v>6498</v>
      </c>
      <c r="B1119" s="8" t="s">
        <v>3457</v>
      </c>
      <c r="C1119" s="27">
        <v>521909</v>
      </c>
      <c r="D1119" s="27">
        <v>510044</v>
      </c>
      <c r="E1119" s="69">
        <v>2.33</v>
      </c>
      <c r="F1119" s="27">
        <v>6790</v>
      </c>
      <c r="G1119" s="27">
        <v>70884</v>
      </c>
      <c r="H1119" s="27">
        <v>-4334</v>
      </c>
      <c r="I1119" s="27">
        <v>10922</v>
      </c>
      <c r="J1119" s="27">
        <v>7885</v>
      </c>
      <c r="K1119" s="27">
        <v>30465</v>
      </c>
      <c r="L1119" s="69">
        <v>-74.12</v>
      </c>
      <c r="M1119" s="27">
        <v>85105</v>
      </c>
      <c r="N1119" s="69">
        <v>0.93</v>
      </c>
      <c r="O1119" s="69">
        <v>3.58</v>
      </c>
      <c r="P1119" s="69">
        <v>30.11</v>
      </c>
      <c r="Q1119" s="27">
        <v>20</v>
      </c>
      <c r="R1119" s="69">
        <v>1.6</v>
      </c>
      <c r="S1119" s="69">
        <v>158.97999999999999</v>
      </c>
      <c r="X1119" s="2">
        <f t="shared" si="51"/>
        <v>0.8</v>
      </c>
      <c r="Y1119" s="2">
        <f>SUMIF(收盤價!A:A,A1119,收盤價!C:C)</f>
        <v>36.4</v>
      </c>
      <c r="Z1119" s="2">
        <f t="shared" si="52"/>
        <v>256251.15499999997</v>
      </c>
      <c r="AA1119" s="2">
        <f t="shared" si="53"/>
        <v>309782.2</v>
      </c>
    </row>
    <row r="1120" spans="1:27" ht="14.5" customHeight="1">
      <c r="A1120" s="7" t="s">
        <v>6499</v>
      </c>
      <c r="B1120" s="8" t="s">
        <v>3459</v>
      </c>
      <c r="C1120" s="27">
        <v>969311</v>
      </c>
      <c r="D1120" s="27">
        <v>859258</v>
      </c>
      <c r="E1120" s="69">
        <v>12.81</v>
      </c>
      <c r="F1120" s="27">
        <v>21818</v>
      </c>
      <c r="G1120" s="27">
        <v>-97923</v>
      </c>
      <c r="H1120" s="27">
        <v>-7149</v>
      </c>
      <c r="I1120" s="27">
        <v>465761</v>
      </c>
      <c r="J1120" s="27">
        <v>25062</v>
      </c>
      <c r="K1120" s="27">
        <v>182445</v>
      </c>
      <c r="L1120" s="69">
        <v>-86.26</v>
      </c>
      <c r="M1120" s="27">
        <v>843000</v>
      </c>
      <c r="N1120" s="69">
        <v>0.3</v>
      </c>
      <c r="O1120" s="69">
        <v>2.16</v>
      </c>
      <c r="P1120" s="69">
        <v>9.52</v>
      </c>
      <c r="Q1120" s="27">
        <v>46</v>
      </c>
      <c r="R1120" s="69">
        <v>1.33</v>
      </c>
      <c r="S1120" s="69">
        <v>79.900000000000006</v>
      </c>
      <c r="X1120" s="2">
        <f t="shared" si="51"/>
        <v>0.54</v>
      </c>
      <c r="Y1120" s="2">
        <f>SUMIF(收盤價!A:A,A1120,收盤價!C:C)</f>
        <v>8.77</v>
      </c>
      <c r="Z1120" s="2">
        <f t="shared" si="52"/>
        <v>802536</v>
      </c>
      <c r="AA1120" s="2">
        <f t="shared" si="53"/>
        <v>739311</v>
      </c>
    </row>
    <row r="1121" spans="1:27" ht="14.5" customHeight="1">
      <c r="A1121" s="7" t="s">
        <v>6500</v>
      </c>
      <c r="B1121" s="8" t="s">
        <v>3461</v>
      </c>
      <c r="C1121" s="27">
        <v>3825565</v>
      </c>
      <c r="D1121" s="27">
        <v>4873679</v>
      </c>
      <c r="E1121" s="69">
        <v>-21.51</v>
      </c>
      <c r="F1121" s="27">
        <v>369012</v>
      </c>
      <c r="G1121" s="27">
        <v>464108</v>
      </c>
      <c r="H1121" s="27">
        <v>-75962</v>
      </c>
      <c r="I1121" s="27">
        <v>-104373</v>
      </c>
      <c r="J1121" s="27">
        <v>192477</v>
      </c>
      <c r="K1121" s="27">
        <v>227564</v>
      </c>
      <c r="L1121" s="69">
        <v>-15.42</v>
      </c>
      <c r="M1121" s="27">
        <v>2492242</v>
      </c>
      <c r="N1121" s="69">
        <v>0.81</v>
      </c>
      <c r="O1121" s="69">
        <v>0.99</v>
      </c>
      <c r="P1121" s="69">
        <v>17.559999999999999</v>
      </c>
      <c r="Q1121" s="27">
        <v>35</v>
      </c>
      <c r="R1121" s="69">
        <v>1.1399999999999999</v>
      </c>
      <c r="S1121" s="69">
        <v>95.12</v>
      </c>
      <c r="X1121" s="2">
        <f t="shared" si="51"/>
        <v>0.65</v>
      </c>
      <c r="Y1121" s="2">
        <f>SUMIF(收盤價!A:A,A1121,收盤價!C:C)</f>
        <v>18.75</v>
      </c>
      <c r="Z1121" s="2">
        <f t="shared" si="52"/>
        <v>4376376.9519999996</v>
      </c>
      <c r="AA1121" s="2">
        <f t="shared" si="53"/>
        <v>4672953.75</v>
      </c>
    </row>
    <row r="1122" spans="1:27" ht="14.5" customHeight="1">
      <c r="A1122" s="7" t="s">
        <v>6501</v>
      </c>
      <c r="B1122" s="8" t="s">
        <v>3463</v>
      </c>
      <c r="C1122" s="27">
        <v>313784</v>
      </c>
      <c r="D1122" s="27">
        <v>296639</v>
      </c>
      <c r="E1122" s="69">
        <v>5.78</v>
      </c>
      <c r="F1122" s="27">
        <v>-26295</v>
      </c>
      <c r="G1122" s="27">
        <v>-14259</v>
      </c>
      <c r="H1122" s="27">
        <v>9111</v>
      </c>
      <c r="I1122" s="27">
        <v>18451</v>
      </c>
      <c r="J1122" s="27">
        <v>-13985</v>
      </c>
      <c r="K1122" s="27">
        <v>7699</v>
      </c>
      <c r="L1122" s="69">
        <v>-281.64999999999998</v>
      </c>
      <c r="M1122" s="27">
        <v>724788</v>
      </c>
      <c r="N1122" s="69">
        <v>-0.2</v>
      </c>
      <c r="O1122" s="69">
        <v>0.11</v>
      </c>
      <c r="P1122" s="69">
        <v>10.56</v>
      </c>
      <c r="Q1122" s="27">
        <v>88</v>
      </c>
      <c r="R1122" s="69">
        <v>6.23</v>
      </c>
      <c r="S1122" s="69">
        <v>474.76</v>
      </c>
      <c r="X1122" s="2">
        <f t="shared" si="51"/>
        <v>0.12</v>
      </c>
      <c r="Y1122" s="2">
        <f>SUMIF(收盤價!A:A,A1122,收盤價!C:C)</f>
        <v>14.45</v>
      </c>
      <c r="Z1122" s="2">
        <f t="shared" si="52"/>
        <v>765376.12800000003</v>
      </c>
      <c r="AA1122" s="2">
        <f t="shared" si="53"/>
        <v>1047318.6599999999</v>
      </c>
    </row>
    <row r="1123" spans="1:27" ht="14.5" customHeight="1">
      <c r="A1123" s="7" t="s">
        <v>6502</v>
      </c>
      <c r="B1123" s="8" t="s">
        <v>3465</v>
      </c>
      <c r="C1123" s="27">
        <v>11756861</v>
      </c>
      <c r="D1123" s="27">
        <v>11114807</v>
      </c>
      <c r="E1123" s="69">
        <v>5.78</v>
      </c>
      <c r="F1123" s="27">
        <v>952419</v>
      </c>
      <c r="G1123" s="27">
        <v>689051</v>
      </c>
      <c r="H1123" s="27">
        <v>-7185</v>
      </c>
      <c r="I1123" s="27">
        <v>114031</v>
      </c>
      <c r="J1123" s="27">
        <v>615662</v>
      </c>
      <c r="K1123" s="27">
        <v>568820</v>
      </c>
      <c r="L1123" s="69">
        <v>8.23</v>
      </c>
      <c r="M1123" s="27">
        <v>1353127</v>
      </c>
      <c r="N1123" s="69">
        <v>4.55</v>
      </c>
      <c r="O1123" s="69">
        <v>4.2</v>
      </c>
      <c r="P1123" s="69">
        <v>30.32</v>
      </c>
      <c r="Q1123" s="27">
        <v>50</v>
      </c>
      <c r="R1123" s="69">
        <v>1.79</v>
      </c>
      <c r="S1123" s="69">
        <v>115.21</v>
      </c>
      <c r="X1123" s="2">
        <f t="shared" si="51"/>
        <v>0.5</v>
      </c>
      <c r="Y1123" s="2">
        <f>SUMIF(收盤價!A:A,A1123,收盤價!C:C)</f>
        <v>40.549999999999997</v>
      </c>
      <c r="Z1123" s="2">
        <f t="shared" si="52"/>
        <v>4102681.0640000002</v>
      </c>
      <c r="AA1123" s="2">
        <f t="shared" si="53"/>
        <v>5486929.9849999994</v>
      </c>
    </row>
    <row r="1124" spans="1:27" ht="14.5" customHeight="1">
      <c r="A1124" s="7" t="s">
        <v>6503</v>
      </c>
      <c r="B1124" s="8" t="s">
        <v>3469</v>
      </c>
      <c r="C1124" s="27">
        <v>4399362</v>
      </c>
      <c r="D1124" s="27">
        <v>4722249</v>
      </c>
      <c r="E1124" s="69">
        <v>-6.84</v>
      </c>
      <c r="F1124" s="27">
        <v>1068038</v>
      </c>
      <c r="G1124" s="27">
        <v>1208011</v>
      </c>
      <c r="H1124" s="27">
        <v>126190</v>
      </c>
      <c r="I1124" s="27">
        <v>229913</v>
      </c>
      <c r="J1124" s="27">
        <v>984256</v>
      </c>
      <c r="K1124" s="27">
        <v>1286484</v>
      </c>
      <c r="L1124" s="69">
        <v>-23.49</v>
      </c>
      <c r="M1124" s="27">
        <v>1658401</v>
      </c>
      <c r="N1124" s="69">
        <v>6</v>
      </c>
      <c r="O1124" s="69">
        <v>7.83</v>
      </c>
      <c r="P1124" s="69">
        <v>40.57</v>
      </c>
      <c r="Q1124" s="27">
        <v>66</v>
      </c>
      <c r="R1124" s="69">
        <v>1.61</v>
      </c>
      <c r="S1124" s="69">
        <v>117.28</v>
      </c>
      <c r="X1124" s="2">
        <f t="shared" si="51"/>
        <v>0.34</v>
      </c>
      <c r="Y1124" s="2">
        <f>SUMIF(收盤價!A:A,A1124,收盤價!C:C)</f>
        <v>65.8</v>
      </c>
      <c r="Z1124" s="2">
        <f t="shared" si="52"/>
        <v>6728132.8570000008</v>
      </c>
      <c r="AA1124" s="2">
        <f t="shared" si="53"/>
        <v>10912278.58</v>
      </c>
    </row>
    <row r="1125" spans="1:27" ht="14.5" customHeight="1">
      <c r="A1125" s="7" t="s">
        <v>6504</v>
      </c>
      <c r="B1125" s="8" t="s">
        <v>1941</v>
      </c>
      <c r="C1125" s="27">
        <v>6346670</v>
      </c>
      <c r="D1125" s="27">
        <v>6675912</v>
      </c>
      <c r="E1125" s="69">
        <v>-4.93</v>
      </c>
      <c r="F1125" s="27">
        <v>1649811</v>
      </c>
      <c r="G1125" s="27">
        <v>2008574</v>
      </c>
      <c r="H1125" s="27">
        <v>-35067</v>
      </c>
      <c r="I1125" s="27">
        <v>83880</v>
      </c>
      <c r="J1125" s="27">
        <v>1287234</v>
      </c>
      <c r="K1125" s="27">
        <v>1667501</v>
      </c>
      <c r="L1125" s="69">
        <v>-22.8</v>
      </c>
      <c r="M1125" s="27">
        <v>504165</v>
      </c>
      <c r="N1125" s="69">
        <v>25.53</v>
      </c>
      <c r="O1125" s="69">
        <v>33.07</v>
      </c>
      <c r="P1125" s="69">
        <v>114.32</v>
      </c>
      <c r="Q1125" s="27">
        <v>68</v>
      </c>
      <c r="R1125" s="69">
        <v>2.33</v>
      </c>
      <c r="S1125" s="69">
        <v>161.47999999999999</v>
      </c>
      <c r="X1125" s="2">
        <f t="shared" si="51"/>
        <v>0.32</v>
      </c>
      <c r="Y1125" s="2">
        <f>SUMIF(收盤價!A:A,A1125,收盤價!C:C)</f>
        <v>454.5</v>
      </c>
      <c r="Z1125" s="2">
        <f t="shared" si="52"/>
        <v>5763614.2799999993</v>
      </c>
      <c r="AA1125" s="2">
        <f t="shared" si="53"/>
        <v>22914299.25</v>
      </c>
    </row>
    <row r="1126" spans="1:27" ht="14.5" customHeight="1">
      <c r="A1126" s="7" t="s">
        <v>6505</v>
      </c>
      <c r="B1126" s="8" t="s">
        <v>1955</v>
      </c>
      <c r="C1126" s="27">
        <v>814516</v>
      </c>
      <c r="D1126" s="27">
        <v>802061</v>
      </c>
      <c r="E1126" s="69">
        <v>1.55</v>
      </c>
      <c r="F1126" s="27">
        <v>115851</v>
      </c>
      <c r="G1126" s="27">
        <v>119567</v>
      </c>
      <c r="H1126" s="27">
        <v>27955</v>
      </c>
      <c r="I1126" s="27">
        <v>25492</v>
      </c>
      <c r="J1126" s="27">
        <v>119397</v>
      </c>
      <c r="K1126" s="27">
        <v>120288</v>
      </c>
      <c r="L1126" s="69">
        <v>-0.74</v>
      </c>
      <c r="M1126" s="27">
        <v>319484</v>
      </c>
      <c r="N1126" s="69">
        <v>3.74</v>
      </c>
      <c r="O1126" s="69">
        <v>3.8</v>
      </c>
      <c r="P1126" s="69">
        <v>27.21</v>
      </c>
      <c r="Q1126" s="27">
        <v>82</v>
      </c>
      <c r="R1126" s="69">
        <v>4.0999999999999996</v>
      </c>
      <c r="S1126" s="69">
        <v>340.37</v>
      </c>
      <c r="X1126" s="2">
        <f t="shared" si="51"/>
        <v>0.18</v>
      </c>
      <c r="Y1126" s="2">
        <f>SUMIF(收盤價!A:A,A1126,收盤價!C:C)</f>
        <v>50.8</v>
      </c>
      <c r="Z1126" s="2">
        <f t="shared" si="52"/>
        <v>869315.96400000004</v>
      </c>
      <c r="AA1126" s="2">
        <f t="shared" si="53"/>
        <v>1622978.72</v>
      </c>
    </row>
    <row r="1127" spans="1:27" ht="14.5" customHeight="1">
      <c r="A1127" s="7" t="s">
        <v>6506</v>
      </c>
      <c r="B1127" s="8" t="s">
        <v>1965</v>
      </c>
      <c r="C1127" s="27">
        <v>1762259</v>
      </c>
      <c r="D1127" s="27">
        <v>1538527</v>
      </c>
      <c r="E1127" s="69">
        <v>14.54</v>
      </c>
      <c r="F1127" s="27">
        <v>246163</v>
      </c>
      <c r="G1127" s="27">
        <v>126802</v>
      </c>
      <c r="H1127" s="27">
        <v>4661</v>
      </c>
      <c r="I1127" s="27">
        <v>-9065</v>
      </c>
      <c r="J1127" s="27">
        <v>217440</v>
      </c>
      <c r="K1127" s="27">
        <v>101232</v>
      </c>
      <c r="L1127" s="69">
        <v>114.79</v>
      </c>
      <c r="M1127" s="27">
        <v>1009885</v>
      </c>
      <c r="N1127" s="69">
        <v>2.17</v>
      </c>
      <c r="O1127" s="69">
        <v>1</v>
      </c>
      <c r="P1127" s="69">
        <v>21.66</v>
      </c>
      <c r="Q1127" s="27">
        <v>67</v>
      </c>
      <c r="R1127" s="69">
        <v>1.4</v>
      </c>
      <c r="S1127" s="69">
        <v>77.98</v>
      </c>
      <c r="X1127" s="2">
        <f t="shared" si="51"/>
        <v>0.33</v>
      </c>
      <c r="Y1127" s="2">
        <f>SUMIF(收盤價!A:A,A1127,收盤價!C:C)</f>
        <v>41.95</v>
      </c>
      <c r="Z1127" s="2">
        <f t="shared" si="52"/>
        <v>2187410.91</v>
      </c>
      <c r="AA1127" s="2">
        <f t="shared" si="53"/>
        <v>4236467.5750000002</v>
      </c>
    </row>
    <row r="1128" spans="1:27" ht="14.5" customHeight="1">
      <c r="A1128" s="7" t="s">
        <v>6507</v>
      </c>
      <c r="B1128" s="8" t="s">
        <v>1967</v>
      </c>
      <c r="C1128" s="27">
        <v>946410</v>
      </c>
      <c r="D1128" s="27">
        <v>784833</v>
      </c>
      <c r="E1128" s="69">
        <v>20.59</v>
      </c>
      <c r="F1128" s="27">
        <v>200610</v>
      </c>
      <c r="G1128" s="27">
        <v>149504</v>
      </c>
      <c r="H1128" s="27">
        <v>2311</v>
      </c>
      <c r="I1128" s="27">
        <v>42563</v>
      </c>
      <c r="J1128" s="27">
        <v>159473</v>
      </c>
      <c r="K1128" s="27">
        <v>153991</v>
      </c>
      <c r="L1128" s="69">
        <v>3.56</v>
      </c>
      <c r="M1128" s="27">
        <v>300595</v>
      </c>
      <c r="N1128" s="69">
        <v>5.31</v>
      </c>
      <c r="O1128" s="69">
        <v>5.12</v>
      </c>
      <c r="P1128" s="69">
        <v>38.590000000000003</v>
      </c>
      <c r="Q1128" s="27">
        <v>61</v>
      </c>
      <c r="R1128" s="69">
        <v>1.77</v>
      </c>
      <c r="S1128" s="69">
        <v>129.16</v>
      </c>
      <c r="X1128" s="2">
        <f t="shared" si="51"/>
        <v>0.39</v>
      </c>
      <c r="Y1128" s="2">
        <f>SUMIF(收盤價!A:A,A1128,收盤價!C:C)</f>
        <v>82.9</v>
      </c>
      <c r="Z1128" s="2">
        <f t="shared" si="52"/>
        <v>1159996.105</v>
      </c>
      <c r="AA1128" s="2">
        <f t="shared" si="53"/>
        <v>2491932.5499999998</v>
      </c>
    </row>
    <row r="1129" spans="1:27" ht="14.5" customHeight="1">
      <c r="A1129" s="7" t="s">
        <v>6508</v>
      </c>
      <c r="B1129" s="8" t="s">
        <v>1969</v>
      </c>
      <c r="C1129" s="27">
        <v>421164</v>
      </c>
      <c r="D1129" s="27">
        <v>617598</v>
      </c>
      <c r="E1129" s="69">
        <v>-31.81</v>
      </c>
      <c r="F1129" s="27">
        <v>-78364</v>
      </c>
      <c r="G1129" s="27">
        <v>-57054</v>
      </c>
      <c r="H1129" s="27">
        <v>3392</v>
      </c>
      <c r="I1129" s="27">
        <v>10633</v>
      </c>
      <c r="J1129" s="27">
        <v>-76439</v>
      </c>
      <c r="K1129" s="27">
        <v>-38458</v>
      </c>
      <c r="L1129" s="69">
        <v>-98.76</v>
      </c>
      <c r="M1129" s="27">
        <v>474076</v>
      </c>
      <c r="N1129" s="69">
        <v>-1.61</v>
      </c>
      <c r="O1129" s="69">
        <v>-0.81</v>
      </c>
      <c r="P1129" s="69">
        <v>5.61</v>
      </c>
      <c r="Q1129" s="27">
        <v>46</v>
      </c>
      <c r="R1129" s="69">
        <v>1.17</v>
      </c>
      <c r="S1129" s="69">
        <v>78.349999999999994</v>
      </c>
      <c r="X1129" s="2">
        <f t="shared" si="51"/>
        <v>0.54</v>
      </c>
      <c r="Y1129" s="2">
        <f>SUMIF(收盤價!A:A,A1129,收盤價!C:C)</f>
        <v>8.7899999999999991</v>
      </c>
      <c r="Z1129" s="2">
        <f t="shared" si="52"/>
        <v>265956.63600000006</v>
      </c>
      <c r="AA1129" s="2">
        <f t="shared" si="53"/>
        <v>416712.80399999995</v>
      </c>
    </row>
    <row r="1130" spans="1:27" ht="14.5" customHeight="1">
      <c r="A1130" s="7" t="s">
        <v>6509</v>
      </c>
      <c r="B1130" s="8" t="s">
        <v>1971</v>
      </c>
      <c r="C1130" s="27">
        <v>775558</v>
      </c>
      <c r="D1130" s="27">
        <v>770607</v>
      </c>
      <c r="E1130" s="69">
        <v>0.64</v>
      </c>
      <c r="F1130" s="27">
        <v>8190</v>
      </c>
      <c r="G1130" s="27">
        <v>34226</v>
      </c>
      <c r="H1130" s="27">
        <v>17573</v>
      </c>
      <c r="I1130" s="27">
        <v>11562</v>
      </c>
      <c r="J1130" s="27">
        <v>6803</v>
      </c>
      <c r="K1130" s="27">
        <v>24230</v>
      </c>
      <c r="L1130" s="69">
        <v>-71.92</v>
      </c>
      <c r="M1130" s="27">
        <v>496269</v>
      </c>
      <c r="N1130" s="69">
        <v>0.14000000000000001</v>
      </c>
      <c r="O1130" s="69">
        <v>0.49</v>
      </c>
      <c r="P1130" s="69">
        <v>22.49</v>
      </c>
      <c r="Q1130" s="27">
        <v>60</v>
      </c>
      <c r="R1130" s="69">
        <v>3.95</v>
      </c>
      <c r="S1130" s="69">
        <v>329.88</v>
      </c>
      <c r="X1130" s="2">
        <f t="shared" si="51"/>
        <v>0.4</v>
      </c>
      <c r="Y1130" s="2">
        <f>SUMIF(收盤價!A:A,A1130,收盤價!C:C)</f>
        <v>40.549999999999997</v>
      </c>
      <c r="Z1130" s="2">
        <f t="shared" si="52"/>
        <v>1116108.9809999999</v>
      </c>
      <c r="AA1130" s="2">
        <f t="shared" si="53"/>
        <v>2012370.7949999999</v>
      </c>
    </row>
    <row r="1131" spans="1:27" ht="14.5" customHeight="1">
      <c r="A1131" s="7" t="s">
        <v>6510</v>
      </c>
      <c r="B1131" s="8" t="s">
        <v>1975</v>
      </c>
      <c r="C1131" s="27">
        <v>3240723</v>
      </c>
      <c r="D1131" s="27">
        <v>3095154</v>
      </c>
      <c r="E1131" s="69">
        <v>4.7</v>
      </c>
      <c r="F1131" s="27">
        <v>299412</v>
      </c>
      <c r="G1131" s="27">
        <v>294674</v>
      </c>
      <c r="H1131" s="27">
        <v>9619</v>
      </c>
      <c r="I1131" s="27">
        <v>13489</v>
      </c>
      <c r="J1131" s="27">
        <v>245737</v>
      </c>
      <c r="K1131" s="27">
        <v>243449</v>
      </c>
      <c r="L1131" s="69">
        <v>0.94</v>
      </c>
      <c r="M1131" s="27">
        <v>360000</v>
      </c>
      <c r="N1131" s="69">
        <v>6.91</v>
      </c>
      <c r="O1131" s="69">
        <v>6.96</v>
      </c>
      <c r="P1131" s="69">
        <v>49.57</v>
      </c>
      <c r="Q1131" s="27">
        <v>47</v>
      </c>
      <c r="R1131" s="69">
        <v>2.23</v>
      </c>
      <c r="S1131" s="69">
        <v>165.14</v>
      </c>
      <c r="X1131" s="2">
        <f t="shared" si="51"/>
        <v>0.53</v>
      </c>
      <c r="Y1131" s="2">
        <f>SUMIF(收盤價!A:A,A1131,收盤價!C:C)</f>
        <v>105</v>
      </c>
      <c r="Z1131" s="2">
        <f t="shared" si="52"/>
        <v>1784520</v>
      </c>
      <c r="AA1131" s="2">
        <f t="shared" si="53"/>
        <v>3780000</v>
      </c>
    </row>
    <row r="1132" spans="1:27" ht="14.5" customHeight="1">
      <c r="A1132" s="7" t="s">
        <v>6511</v>
      </c>
      <c r="B1132" s="8" t="s">
        <v>1979</v>
      </c>
      <c r="C1132" s="27">
        <v>359960</v>
      </c>
      <c r="D1132" s="27">
        <v>419178</v>
      </c>
      <c r="E1132" s="69">
        <v>-14.13</v>
      </c>
      <c r="F1132" s="27">
        <v>-215972</v>
      </c>
      <c r="G1132" s="27">
        <v>-192627</v>
      </c>
      <c r="H1132" s="27">
        <v>-52229</v>
      </c>
      <c r="I1132" s="27">
        <v>11664</v>
      </c>
      <c r="J1132" s="27">
        <v>-271797</v>
      </c>
      <c r="K1132" s="27">
        <v>-242163</v>
      </c>
      <c r="L1132" s="69">
        <v>-12.24</v>
      </c>
      <c r="M1132" s="27">
        <v>1258427</v>
      </c>
      <c r="N1132" s="69">
        <v>-2.48</v>
      </c>
      <c r="O1132" s="69">
        <v>-2.4500000000000002</v>
      </c>
      <c r="P1132" s="69">
        <v>5.38</v>
      </c>
      <c r="Q1132" s="27">
        <v>57</v>
      </c>
      <c r="R1132" s="69">
        <v>2.0099999999999998</v>
      </c>
      <c r="S1132" s="69">
        <v>187.92</v>
      </c>
      <c r="X1132" s="2">
        <f t="shared" si="51"/>
        <v>0.43</v>
      </c>
      <c r="Y1132" s="2">
        <f>SUMIF(收盤價!A:A,A1132,收盤價!C:C)</f>
        <v>9.8800000000000008</v>
      </c>
      <c r="Z1132" s="2">
        <f t="shared" si="52"/>
        <v>677033.72600000002</v>
      </c>
      <c r="AA1132" s="2">
        <f t="shared" si="53"/>
        <v>1243325.8760000002</v>
      </c>
    </row>
    <row r="1133" spans="1:27" ht="14.5" customHeight="1">
      <c r="A1133" s="7" t="s">
        <v>6512</v>
      </c>
      <c r="B1133" s="8" t="s">
        <v>1981</v>
      </c>
      <c r="C1133" s="27">
        <v>498931</v>
      </c>
      <c r="D1133" s="27">
        <v>459358</v>
      </c>
      <c r="E1133" s="69">
        <v>8.61</v>
      </c>
      <c r="F1133" s="27">
        <v>-5310</v>
      </c>
      <c r="G1133" s="27">
        <v>-32575</v>
      </c>
      <c r="H1133" s="27">
        <v>47522</v>
      </c>
      <c r="I1133" s="27">
        <v>74409</v>
      </c>
      <c r="J1133" s="27">
        <v>49142</v>
      </c>
      <c r="K1133" s="27">
        <v>63922</v>
      </c>
      <c r="L1133" s="69">
        <v>-23.12</v>
      </c>
      <c r="M1133" s="27">
        <v>466355</v>
      </c>
      <c r="N1133" s="69">
        <v>1.05</v>
      </c>
      <c r="O1133" s="69">
        <v>1.37</v>
      </c>
      <c r="P1133" s="69">
        <v>19.170000000000002</v>
      </c>
      <c r="Q1133" s="27">
        <v>77</v>
      </c>
      <c r="R1133" s="69">
        <v>2.0299999999999998</v>
      </c>
      <c r="S1133" s="69">
        <v>117.04</v>
      </c>
      <c r="X1133" s="2">
        <f t="shared" si="51"/>
        <v>0.23</v>
      </c>
      <c r="Y1133" s="2">
        <f>SUMIF(收盤價!A:A,A1133,收盤價!C:C)</f>
        <v>27.1</v>
      </c>
      <c r="Z1133" s="2">
        <f t="shared" si="52"/>
        <v>894002.53500000015</v>
      </c>
      <c r="AA1133" s="2">
        <f t="shared" si="53"/>
        <v>1263822.05</v>
      </c>
    </row>
    <row r="1134" spans="1:27" ht="14.5" customHeight="1">
      <c r="A1134" s="7" t="s">
        <v>6513</v>
      </c>
      <c r="B1134" s="8" t="s">
        <v>2085</v>
      </c>
      <c r="C1134" s="27">
        <v>638903</v>
      </c>
      <c r="D1134" s="27">
        <v>629029</v>
      </c>
      <c r="E1134" s="69">
        <v>1.57</v>
      </c>
      <c r="F1134" s="27">
        <v>56446</v>
      </c>
      <c r="G1134" s="27">
        <v>49164</v>
      </c>
      <c r="H1134" s="27">
        <v>2923</v>
      </c>
      <c r="I1134" s="27">
        <v>111</v>
      </c>
      <c r="J1134" s="27">
        <v>47397</v>
      </c>
      <c r="K1134" s="27">
        <v>38914</v>
      </c>
      <c r="L1134" s="69">
        <v>21.8</v>
      </c>
      <c r="M1134" s="27">
        <v>324529</v>
      </c>
      <c r="N1134" s="69">
        <v>1.46</v>
      </c>
      <c r="O1134" s="69">
        <v>1.2</v>
      </c>
      <c r="P1134" s="69">
        <v>15.83</v>
      </c>
      <c r="Q1134" s="27">
        <v>68</v>
      </c>
      <c r="R1134" s="69">
        <v>2.64</v>
      </c>
      <c r="S1134" s="69">
        <v>225.63</v>
      </c>
      <c r="X1134" s="2">
        <f t="shared" si="51"/>
        <v>0.32</v>
      </c>
      <c r="Y1134" s="2">
        <f>SUMIF(收盤價!A:A,A1134,收盤價!C:C)</f>
        <v>27</v>
      </c>
      <c r="Z1134" s="2">
        <f t="shared" si="52"/>
        <v>513729.40700000001</v>
      </c>
      <c r="AA1134" s="2">
        <f t="shared" si="53"/>
        <v>876228.3</v>
      </c>
    </row>
    <row r="1135" spans="1:27" ht="14.5" customHeight="1">
      <c r="A1135" s="7" t="s">
        <v>6514</v>
      </c>
      <c r="B1135" s="8" t="s">
        <v>2109</v>
      </c>
      <c r="C1135" s="27">
        <v>552345</v>
      </c>
      <c r="D1135" s="27">
        <v>407306</v>
      </c>
      <c r="E1135" s="69">
        <v>35.61</v>
      </c>
      <c r="F1135" s="27">
        <v>-762329</v>
      </c>
      <c r="G1135" s="27">
        <v>-762418</v>
      </c>
      <c r="H1135" s="27">
        <v>-55453</v>
      </c>
      <c r="I1135" s="27">
        <v>-22051</v>
      </c>
      <c r="J1135" s="27">
        <v>-255719</v>
      </c>
      <c r="K1135" s="27">
        <v>-442669</v>
      </c>
      <c r="L1135" s="69">
        <v>42.23</v>
      </c>
      <c r="M1135" s="27">
        <v>1389856</v>
      </c>
      <c r="N1135" s="69">
        <v>-1.84</v>
      </c>
      <c r="O1135" s="69">
        <v>-3.19</v>
      </c>
      <c r="P1135" s="69">
        <v>9.7899999999999991</v>
      </c>
      <c r="Q1135" s="27">
        <v>28</v>
      </c>
      <c r="R1135" s="69">
        <v>1.41</v>
      </c>
      <c r="S1135" s="69">
        <v>126.48</v>
      </c>
      <c r="X1135" s="2">
        <f t="shared" si="51"/>
        <v>0.72</v>
      </c>
      <c r="Y1135" s="2">
        <f>SUMIF(收盤價!A:A,A1135,收盤價!C:C)</f>
        <v>62.1</v>
      </c>
      <c r="Z1135" s="2">
        <f t="shared" si="52"/>
        <v>1360669.0239999997</v>
      </c>
      <c r="AA1135" s="2">
        <f t="shared" si="53"/>
        <v>8631005.7600000016</v>
      </c>
    </row>
    <row r="1136" spans="1:27" ht="14.5" customHeight="1">
      <c r="A1136" s="7" t="s">
        <v>6515</v>
      </c>
      <c r="B1136" s="8" t="s">
        <v>2119</v>
      </c>
      <c r="C1136" s="27">
        <v>438715</v>
      </c>
      <c r="D1136" s="27">
        <v>411409</v>
      </c>
      <c r="E1136" s="69">
        <v>6.64</v>
      </c>
      <c r="F1136" s="27">
        <v>-105098</v>
      </c>
      <c r="G1136" s="27">
        <v>-114625</v>
      </c>
      <c r="H1136" s="27">
        <v>-5235</v>
      </c>
      <c r="I1136" s="27">
        <v>22813</v>
      </c>
      <c r="J1136" s="27">
        <v>-119512</v>
      </c>
      <c r="K1136" s="27">
        <v>-91812</v>
      </c>
      <c r="L1136" s="69">
        <v>-30.17</v>
      </c>
      <c r="M1136" s="27">
        <v>327726</v>
      </c>
      <c r="N1136" s="69">
        <v>-3.65</v>
      </c>
      <c r="O1136" s="69">
        <v>-2.8</v>
      </c>
      <c r="P1136" s="69">
        <v>20.57</v>
      </c>
      <c r="Q1136" s="27">
        <v>82</v>
      </c>
      <c r="R1136" s="69">
        <v>5.51</v>
      </c>
      <c r="S1136" s="69">
        <v>525.62</v>
      </c>
      <c r="X1136" s="2">
        <f t="shared" si="51"/>
        <v>0.18</v>
      </c>
      <c r="Y1136" s="2">
        <f>SUMIF(收盤價!A:A,A1136,收盤價!C:C)</f>
        <v>51.8</v>
      </c>
      <c r="Z1136" s="2">
        <f t="shared" si="52"/>
        <v>674132.38199999998</v>
      </c>
      <c r="AA1136" s="2">
        <f t="shared" si="53"/>
        <v>1697620.6800000002</v>
      </c>
    </row>
    <row r="1137" spans="1:27" ht="14.5" customHeight="1">
      <c r="A1137" s="7" t="s">
        <v>6516</v>
      </c>
      <c r="B1137" s="8" t="s">
        <v>2131</v>
      </c>
      <c r="C1137" s="27">
        <v>1418979</v>
      </c>
      <c r="D1137" s="27">
        <v>1194927</v>
      </c>
      <c r="E1137" s="69">
        <v>18.75</v>
      </c>
      <c r="F1137" s="27">
        <v>247043</v>
      </c>
      <c r="G1137" s="27">
        <v>139783</v>
      </c>
      <c r="H1137" s="27">
        <v>7997</v>
      </c>
      <c r="I1137" s="27">
        <v>25724</v>
      </c>
      <c r="J1137" s="27">
        <v>238005</v>
      </c>
      <c r="K1137" s="27">
        <v>161478</v>
      </c>
      <c r="L1137" s="69">
        <v>47.39</v>
      </c>
      <c r="M1137" s="27">
        <v>761230</v>
      </c>
      <c r="N1137" s="69">
        <v>3.13</v>
      </c>
      <c r="O1137" s="69">
        <v>2.12</v>
      </c>
      <c r="P1137" s="69">
        <v>20.91</v>
      </c>
      <c r="Q1137" s="27">
        <v>59</v>
      </c>
      <c r="R1137" s="69">
        <v>2.3199999999999998</v>
      </c>
      <c r="S1137" s="69">
        <v>220.58</v>
      </c>
      <c r="X1137" s="2">
        <f t="shared" si="51"/>
        <v>0.41</v>
      </c>
      <c r="Y1137" s="2">
        <f>SUMIF(收盤價!A:A,A1137,收盤價!C:C)</f>
        <v>67.5</v>
      </c>
      <c r="Z1137" s="2">
        <f t="shared" si="52"/>
        <v>1591731.9300000002</v>
      </c>
      <c r="AA1137" s="2">
        <f t="shared" si="53"/>
        <v>5138302.5</v>
      </c>
    </row>
    <row r="1138" spans="1:27" ht="14.5" customHeight="1">
      <c r="A1138" s="7" t="s">
        <v>6517</v>
      </c>
      <c r="B1138" s="8" t="s">
        <v>2387</v>
      </c>
      <c r="C1138" s="27">
        <v>416837</v>
      </c>
      <c r="D1138" s="27">
        <v>357090</v>
      </c>
      <c r="E1138" s="69">
        <v>16.73</v>
      </c>
      <c r="F1138" s="27">
        <v>21925</v>
      </c>
      <c r="G1138" s="27">
        <v>-21823</v>
      </c>
      <c r="H1138" s="27">
        <v>9394</v>
      </c>
      <c r="I1138" s="27">
        <v>4984</v>
      </c>
      <c r="J1138" s="27">
        <v>31319</v>
      </c>
      <c r="K1138" s="27">
        <v>-14957</v>
      </c>
      <c r="L1138" s="69">
        <v>309.39</v>
      </c>
      <c r="M1138" s="27">
        <v>423735</v>
      </c>
      <c r="N1138" s="69">
        <v>0.74</v>
      </c>
      <c r="O1138" s="69">
        <v>-0.35</v>
      </c>
      <c r="P1138" s="69">
        <v>11.81</v>
      </c>
      <c r="Q1138" s="27">
        <v>72</v>
      </c>
      <c r="R1138" s="69">
        <v>3.53</v>
      </c>
      <c r="S1138" s="69">
        <v>174.34</v>
      </c>
      <c r="X1138" s="2">
        <f t="shared" si="51"/>
        <v>0.28000000000000003</v>
      </c>
      <c r="Y1138" s="2">
        <f>SUMIF(收盤價!A:A,A1138,收盤價!C:C)</f>
        <v>16.399999999999999</v>
      </c>
      <c r="Z1138" s="2">
        <f t="shared" si="52"/>
        <v>500431.03500000003</v>
      </c>
      <c r="AA1138" s="2">
        <f t="shared" si="53"/>
        <v>694925.39999999991</v>
      </c>
    </row>
    <row r="1139" spans="1:27" ht="14.5" customHeight="1">
      <c r="A1139" s="7" t="s">
        <v>6518</v>
      </c>
      <c r="B1139" s="8" t="s">
        <v>2389</v>
      </c>
      <c r="C1139" s="27">
        <v>4466308</v>
      </c>
      <c r="D1139" s="27">
        <v>4036196</v>
      </c>
      <c r="E1139" s="69">
        <v>10.66</v>
      </c>
      <c r="F1139" s="27">
        <v>1228609</v>
      </c>
      <c r="G1139" s="27">
        <v>1059677</v>
      </c>
      <c r="H1139" s="27">
        <v>-25955</v>
      </c>
      <c r="I1139" s="27">
        <v>608391</v>
      </c>
      <c r="J1139" s="27">
        <v>900081</v>
      </c>
      <c r="K1139" s="27">
        <v>1461381</v>
      </c>
      <c r="L1139" s="69">
        <v>-38.409999999999997</v>
      </c>
      <c r="M1139" s="27">
        <v>2486500</v>
      </c>
      <c r="N1139" s="69">
        <v>3.62</v>
      </c>
      <c r="O1139" s="69">
        <v>5.88</v>
      </c>
      <c r="P1139" s="69">
        <v>22.4</v>
      </c>
      <c r="Q1139" s="27">
        <v>57</v>
      </c>
      <c r="R1139" s="69">
        <v>1.64</v>
      </c>
      <c r="S1139" s="69">
        <v>134.44</v>
      </c>
      <c r="X1139" s="2">
        <f t="shared" si="51"/>
        <v>0.43</v>
      </c>
      <c r="Y1139" s="2">
        <f>SUMIF(收盤價!A:A,A1139,收盤價!C:C)</f>
        <v>82.4</v>
      </c>
      <c r="Z1139" s="2">
        <f t="shared" si="52"/>
        <v>5569760</v>
      </c>
      <c r="AA1139" s="2">
        <f t="shared" si="53"/>
        <v>20488760</v>
      </c>
    </row>
    <row r="1140" spans="1:27" ht="14.5" customHeight="1">
      <c r="A1140" s="7" t="s">
        <v>6519</v>
      </c>
      <c r="B1140" s="8" t="s">
        <v>2391</v>
      </c>
      <c r="C1140" s="27">
        <v>1858900</v>
      </c>
      <c r="D1140" s="27">
        <v>1613009</v>
      </c>
      <c r="E1140" s="69">
        <v>15.24</v>
      </c>
      <c r="F1140" s="27">
        <v>580489</v>
      </c>
      <c r="G1140" s="27">
        <v>489192</v>
      </c>
      <c r="H1140" s="27">
        <v>12081</v>
      </c>
      <c r="I1140" s="27">
        <v>26076</v>
      </c>
      <c r="J1140" s="27">
        <v>464172</v>
      </c>
      <c r="K1140" s="27">
        <v>404997</v>
      </c>
      <c r="L1140" s="69">
        <v>14.61</v>
      </c>
      <c r="M1140" s="27">
        <v>692983</v>
      </c>
      <c r="N1140" s="69">
        <v>6.7</v>
      </c>
      <c r="O1140" s="69">
        <v>5.84</v>
      </c>
      <c r="P1140" s="69">
        <v>35.9</v>
      </c>
      <c r="Q1140" s="27">
        <v>84</v>
      </c>
      <c r="R1140" s="69">
        <v>4.9800000000000004</v>
      </c>
      <c r="S1140" s="69">
        <v>424.01</v>
      </c>
      <c r="X1140" s="2">
        <f t="shared" si="51"/>
        <v>0.16</v>
      </c>
      <c r="Y1140" s="2">
        <f>SUMIF(收盤價!A:A,A1140,收盤價!C:C)</f>
        <v>130.5</v>
      </c>
      <c r="Z1140" s="2">
        <f t="shared" si="52"/>
        <v>2487808.9699999997</v>
      </c>
      <c r="AA1140" s="2">
        <f t="shared" si="53"/>
        <v>9043428.1500000004</v>
      </c>
    </row>
    <row r="1141" spans="1:27" ht="14.5" customHeight="1">
      <c r="A1141" s="7" t="s">
        <v>6520</v>
      </c>
      <c r="B1141" s="8" t="s">
        <v>2393</v>
      </c>
      <c r="C1141" s="27">
        <v>343062</v>
      </c>
      <c r="D1141" s="27">
        <v>402030</v>
      </c>
      <c r="E1141" s="69">
        <v>-14.67</v>
      </c>
      <c r="F1141" s="27">
        <v>-20698</v>
      </c>
      <c r="G1141" s="27">
        <v>-42296</v>
      </c>
      <c r="H1141" s="27">
        <v>-4765</v>
      </c>
      <c r="I1141" s="27">
        <v>45056</v>
      </c>
      <c r="J1141" s="27">
        <v>-24481</v>
      </c>
      <c r="K1141" s="27">
        <v>2474</v>
      </c>
      <c r="L1141" s="28" t="s">
        <v>6413</v>
      </c>
      <c r="M1141" s="27">
        <v>689367</v>
      </c>
      <c r="N1141" s="69">
        <v>-0.36</v>
      </c>
      <c r="O1141" s="69">
        <v>0.04</v>
      </c>
      <c r="P1141" s="69">
        <v>10.09</v>
      </c>
      <c r="Q1141" s="27">
        <v>81</v>
      </c>
      <c r="R1141" s="69">
        <v>1.34</v>
      </c>
      <c r="S1141" s="69">
        <v>92.67</v>
      </c>
      <c r="X1141" s="2">
        <f t="shared" si="51"/>
        <v>0.19</v>
      </c>
      <c r="Y1141" s="2">
        <f>SUMIF(收盤價!A:A,A1141,收盤價!C:C)</f>
        <v>20.2</v>
      </c>
      <c r="Z1141" s="2">
        <f t="shared" si="52"/>
        <v>695571.30300000007</v>
      </c>
      <c r="AA1141" s="2">
        <f t="shared" si="53"/>
        <v>1392521.34</v>
      </c>
    </row>
    <row r="1142" spans="1:27" ht="14.5" customHeight="1">
      <c r="A1142" s="7" t="s">
        <v>6521</v>
      </c>
      <c r="B1142" s="8" t="s">
        <v>2395</v>
      </c>
      <c r="C1142" s="27">
        <v>1022956</v>
      </c>
      <c r="D1142" s="27">
        <v>967402</v>
      </c>
      <c r="E1142" s="69">
        <v>5.74</v>
      </c>
      <c r="F1142" s="27">
        <v>87265</v>
      </c>
      <c r="G1142" s="27">
        <v>42636</v>
      </c>
      <c r="H1142" s="27">
        <v>9994</v>
      </c>
      <c r="I1142" s="27">
        <v>17425</v>
      </c>
      <c r="J1142" s="27">
        <v>72450</v>
      </c>
      <c r="K1142" s="27">
        <v>42250</v>
      </c>
      <c r="L1142" s="69">
        <v>71.48</v>
      </c>
      <c r="M1142" s="27">
        <v>569830</v>
      </c>
      <c r="N1142" s="69">
        <v>1.27</v>
      </c>
      <c r="O1142" s="69">
        <v>0.74</v>
      </c>
      <c r="P1142" s="69">
        <v>18.809999999999999</v>
      </c>
      <c r="Q1142" s="27">
        <v>69</v>
      </c>
      <c r="R1142" s="69">
        <v>2.02</v>
      </c>
      <c r="S1142" s="69">
        <v>172.14</v>
      </c>
      <c r="X1142" s="2">
        <f t="shared" si="51"/>
        <v>0.31</v>
      </c>
      <c r="Y1142" s="2">
        <f>SUMIF(收盤價!A:A,A1142,收盤價!C:C)</f>
        <v>24.85</v>
      </c>
      <c r="Z1142" s="2">
        <f t="shared" si="52"/>
        <v>1071850.23</v>
      </c>
      <c r="AA1142" s="2">
        <f t="shared" si="53"/>
        <v>1416027.55</v>
      </c>
    </row>
    <row r="1143" spans="1:27" ht="14.5" customHeight="1">
      <c r="A1143" s="7" t="s">
        <v>6522</v>
      </c>
      <c r="B1143" s="8" t="s">
        <v>2399</v>
      </c>
      <c r="C1143" s="27">
        <v>2679966</v>
      </c>
      <c r="D1143" s="27">
        <v>2363197</v>
      </c>
      <c r="E1143" s="69">
        <v>13.4</v>
      </c>
      <c r="F1143" s="27">
        <v>-119176</v>
      </c>
      <c r="G1143" s="27">
        <v>-63100</v>
      </c>
      <c r="H1143" s="27">
        <v>-25435</v>
      </c>
      <c r="I1143" s="27">
        <v>387793</v>
      </c>
      <c r="J1143" s="27">
        <v>47090</v>
      </c>
      <c r="K1143" s="27">
        <v>430899</v>
      </c>
      <c r="L1143" s="69">
        <v>-89.07</v>
      </c>
      <c r="M1143" s="27">
        <v>2441685</v>
      </c>
      <c r="N1143" s="69">
        <v>0.21</v>
      </c>
      <c r="O1143" s="69">
        <v>1.94</v>
      </c>
      <c r="P1143" s="69">
        <v>15.09</v>
      </c>
      <c r="Q1143" s="27">
        <v>40</v>
      </c>
      <c r="R1143" s="69">
        <v>1.05</v>
      </c>
      <c r="S1143" s="69">
        <v>57.96</v>
      </c>
      <c r="X1143" s="2">
        <f t="shared" si="51"/>
        <v>0.6</v>
      </c>
      <c r="Y1143" s="2">
        <f>SUMIF(收盤價!A:A,A1143,收盤價!C:C)</f>
        <v>24.3</v>
      </c>
      <c r="Z1143" s="2">
        <f t="shared" si="52"/>
        <v>3684502.665</v>
      </c>
      <c r="AA1143" s="2">
        <f t="shared" si="53"/>
        <v>5933294.5499999998</v>
      </c>
    </row>
    <row r="1144" spans="1:27" ht="14.5" customHeight="1">
      <c r="A1144" s="7" t="s">
        <v>6523</v>
      </c>
      <c r="B1144" s="8" t="s">
        <v>2401</v>
      </c>
      <c r="C1144" s="27">
        <v>1380289</v>
      </c>
      <c r="D1144" s="27">
        <v>1233459</v>
      </c>
      <c r="E1144" s="69">
        <v>11.9</v>
      </c>
      <c r="F1144" s="27">
        <v>118839</v>
      </c>
      <c r="G1144" s="27">
        <v>93560</v>
      </c>
      <c r="H1144" s="27">
        <v>463</v>
      </c>
      <c r="I1144" s="27">
        <v>2595</v>
      </c>
      <c r="J1144" s="27">
        <v>75407</v>
      </c>
      <c r="K1144" s="27">
        <v>66682</v>
      </c>
      <c r="L1144" s="69">
        <v>13.08</v>
      </c>
      <c r="M1144" s="27">
        <v>445660</v>
      </c>
      <c r="N1144" s="69">
        <v>1.69</v>
      </c>
      <c r="O1144" s="69">
        <v>1.5</v>
      </c>
      <c r="P1144" s="69">
        <v>23.57</v>
      </c>
      <c r="Q1144" s="27">
        <v>61</v>
      </c>
      <c r="R1144" s="69">
        <v>1.58</v>
      </c>
      <c r="S1144" s="69">
        <v>117.9</v>
      </c>
      <c r="X1144" s="2">
        <f t="shared" si="51"/>
        <v>0.39</v>
      </c>
      <c r="Y1144" s="2">
        <f>SUMIF(收盤價!A:A,A1144,收盤價!C:C)</f>
        <v>37.200000000000003</v>
      </c>
      <c r="Z1144" s="2">
        <f t="shared" si="52"/>
        <v>1050420.6199999999</v>
      </c>
      <c r="AA1144" s="2">
        <f t="shared" si="53"/>
        <v>1657855.2000000002</v>
      </c>
    </row>
    <row r="1145" spans="1:27" ht="14.5" customHeight="1">
      <c r="A1145" s="7" t="s">
        <v>6524</v>
      </c>
      <c r="B1145" s="8" t="s">
        <v>2403</v>
      </c>
      <c r="C1145" s="27">
        <v>6093253</v>
      </c>
      <c r="D1145" s="27">
        <v>5510173</v>
      </c>
      <c r="E1145" s="69">
        <v>10.58</v>
      </c>
      <c r="F1145" s="27">
        <v>336411</v>
      </c>
      <c r="G1145" s="27">
        <v>355328</v>
      </c>
      <c r="H1145" s="27">
        <v>28594</v>
      </c>
      <c r="I1145" s="27">
        <v>14405</v>
      </c>
      <c r="J1145" s="27">
        <v>247664</v>
      </c>
      <c r="K1145" s="27">
        <v>246735</v>
      </c>
      <c r="L1145" s="69">
        <v>0.38</v>
      </c>
      <c r="M1145" s="27">
        <v>867471</v>
      </c>
      <c r="N1145" s="69">
        <v>2.86</v>
      </c>
      <c r="O1145" s="69">
        <v>2.84</v>
      </c>
      <c r="P1145" s="69">
        <v>36.83</v>
      </c>
      <c r="Q1145" s="27">
        <v>40</v>
      </c>
      <c r="R1145" s="69">
        <v>1.73</v>
      </c>
      <c r="S1145" s="69">
        <v>107.31</v>
      </c>
      <c r="X1145" s="2">
        <f t="shared" si="51"/>
        <v>0.6</v>
      </c>
      <c r="Y1145" s="2">
        <f>SUMIF(收盤價!A:A,A1145,收盤價!C:C)</f>
        <v>55.6</v>
      </c>
      <c r="Z1145" s="2">
        <f t="shared" si="52"/>
        <v>3194895.693</v>
      </c>
      <c r="AA1145" s="2">
        <f t="shared" si="53"/>
        <v>4823138.76</v>
      </c>
    </row>
    <row r="1146" spans="1:27" ht="14.5" customHeight="1">
      <c r="A1146" s="7" t="s">
        <v>6525</v>
      </c>
      <c r="B1146" s="8" t="s">
        <v>2405</v>
      </c>
      <c r="C1146" s="27">
        <v>3093951</v>
      </c>
      <c r="D1146" s="27">
        <v>3097049</v>
      </c>
      <c r="E1146" s="69">
        <v>-0.1</v>
      </c>
      <c r="F1146" s="27">
        <v>161</v>
      </c>
      <c r="G1146" s="27">
        <v>-7591</v>
      </c>
      <c r="H1146" s="27">
        <v>36910</v>
      </c>
      <c r="I1146" s="27">
        <v>28712</v>
      </c>
      <c r="J1146" s="27">
        <v>25727</v>
      </c>
      <c r="K1146" s="27">
        <v>16586</v>
      </c>
      <c r="L1146" s="69">
        <v>55.11</v>
      </c>
      <c r="M1146" s="27">
        <v>733168</v>
      </c>
      <c r="N1146" s="69">
        <v>0.35</v>
      </c>
      <c r="O1146" s="69">
        <v>0.23</v>
      </c>
      <c r="P1146" s="69">
        <v>15.27</v>
      </c>
      <c r="Q1146" s="27">
        <v>36</v>
      </c>
      <c r="R1146" s="69">
        <v>2.17</v>
      </c>
      <c r="S1146" s="69">
        <v>136.85</v>
      </c>
      <c r="X1146" s="2">
        <f t="shared" si="51"/>
        <v>0.64</v>
      </c>
      <c r="Y1146" s="2">
        <f>SUMIF(收盤價!A:A,A1146,收盤價!C:C)</f>
        <v>11.9</v>
      </c>
      <c r="Z1146" s="2">
        <f t="shared" si="52"/>
        <v>1119547.5359999998</v>
      </c>
      <c r="AA1146" s="2">
        <f t="shared" si="53"/>
        <v>872469.92000000016</v>
      </c>
    </row>
    <row r="1147" spans="1:27" ht="14.5" customHeight="1">
      <c r="A1147" s="7" t="s">
        <v>6526</v>
      </c>
      <c r="B1147" s="8" t="s">
        <v>2407</v>
      </c>
      <c r="C1147" s="27">
        <v>1437674</v>
      </c>
      <c r="D1147" s="27">
        <v>21648222</v>
      </c>
      <c r="E1147" s="69">
        <v>-93.36</v>
      </c>
      <c r="F1147" s="27">
        <v>-89429</v>
      </c>
      <c r="G1147" s="27">
        <v>1287886</v>
      </c>
      <c r="H1147" s="27">
        <v>190268</v>
      </c>
      <c r="I1147" s="27">
        <v>8493920</v>
      </c>
      <c r="J1147" s="27">
        <v>-286400</v>
      </c>
      <c r="K1147" s="27">
        <v>6083797</v>
      </c>
      <c r="L1147" s="69">
        <v>-104.71</v>
      </c>
      <c r="M1147" s="27">
        <v>4182193</v>
      </c>
      <c r="N1147" s="69">
        <v>-0.71</v>
      </c>
      <c r="O1147" s="69">
        <v>15.64</v>
      </c>
      <c r="P1147" s="69">
        <v>32.11</v>
      </c>
      <c r="Q1147" s="27">
        <v>57</v>
      </c>
      <c r="R1147" s="69">
        <v>0.39</v>
      </c>
      <c r="S1147" s="69">
        <v>33.28</v>
      </c>
      <c r="X1147" s="2">
        <f t="shared" si="51"/>
        <v>0.43</v>
      </c>
      <c r="Y1147" s="2">
        <f>SUMIF(收盤價!A:A,A1147,收盤價!C:C)</f>
        <v>60</v>
      </c>
      <c r="Z1147" s="2">
        <f t="shared" si="52"/>
        <v>13429021.722999999</v>
      </c>
      <c r="AA1147" s="2">
        <f t="shared" si="53"/>
        <v>25093158</v>
      </c>
    </row>
    <row r="1148" spans="1:27" ht="14.5" customHeight="1">
      <c r="A1148" s="7" t="s">
        <v>6527</v>
      </c>
      <c r="B1148" s="8" t="s">
        <v>2409</v>
      </c>
      <c r="C1148" s="27">
        <v>2040643</v>
      </c>
      <c r="D1148" s="27">
        <v>1822441</v>
      </c>
      <c r="E1148" s="69">
        <v>11.97</v>
      </c>
      <c r="F1148" s="27">
        <v>347275</v>
      </c>
      <c r="G1148" s="27">
        <v>253680</v>
      </c>
      <c r="H1148" s="27">
        <v>182567</v>
      </c>
      <c r="I1148" s="27">
        <v>18804</v>
      </c>
      <c r="J1148" s="27">
        <v>459120</v>
      </c>
      <c r="K1148" s="27">
        <v>216353</v>
      </c>
      <c r="L1148" s="69">
        <v>112.21</v>
      </c>
      <c r="M1148" s="27">
        <v>660152</v>
      </c>
      <c r="N1148" s="69">
        <v>6.95</v>
      </c>
      <c r="O1148" s="69">
        <v>3.28</v>
      </c>
      <c r="P1148" s="69">
        <v>38.65</v>
      </c>
      <c r="Q1148" s="27">
        <v>65</v>
      </c>
      <c r="R1148" s="69">
        <v>2.64</v>
      </c>
      <c r="S1148" s="69">
        <v>195.65</v>
      </c>
      <c r="X1148" s="2">
        <f t="shared" si="51"/>
        <v>0.35</v>
      </c>
      <c r="Y1148" s="2">
        <f>SUMIF(收盤價!A:A,A1148,收盤價!C:C)</f>
        <v>74.3</v>
      </c>
      <c r="Z1148" s="2">
        <f t="shared" si="52"/>
        <v>2551487.48</v>
      </c>
      <c r="AA1148" s="2">
        <f t="shared" si="53"/>
        <v>4904929.3600000003</v>
      </c>
    </row>
    <row r="1149" spans="1:27" ht="14.5" customHeight="1">
      <c r="A1149" s="7" t="s">
        <v>6528</v>
      </c>
      <c r="B1149" s="8" t="s">
        <v>2411</v>
      </c>
      <c r="C1149" s="27">
        <v>435860</v>
      </c>
      <c r="D1149" s="27">
        <v>533771</v>
      </c>
      <c r="E1149" s="69">
        <v>-18.34</v>
      </c>
      <c r="F1149" s="27">
        <v>-43419</v>
      </c>
      <c r="G1149" s="27">
        <v>-65085</v>
      </c>
      <c r="H1149" s="27">
        <v>1656</v>
      </c>
      <c r="I1149" s="27">
        <v>-30870</v>
      </c>
      <c r="J1149" s="27">
        <v>-46776</v>
      </c>
      <c r="K1149" s="27">
        <v>-94499</v>
      </c>
      <c r="L1149" s="69">
        <v>50.5</v>
      </c>
      <c r="M1149" s="27">
        <v>457600</v>
      </c>
      <c r="N1149" s="69">
        <v>-1.02</v>
      </c>
      <c r="O1149" s="69">
        <v>-2.0699999999999998</v>
      </c>
      <c r="P1149" s="69">
        <v>9.16</v>
      </c>
      <c r="Q1149" s="27">
        <v>65</v>
      </c>
      <c r="R1149" s="69">
        <v>1.42</v>
      </c>
      <c r="S1149" s="69">
        <v>104.65</v>
      </c>
      <c r="X1149" s="2">
        <f t="shared" si="51"/>
        <v>0.35</v>
      </c>
      <c r="Y1149" s="2">
        <f>SUMIF(收盤價!A:A,A1149,收盤價!C:C)</f>
        <v>9.43</v>
      </c>
      <c r="Z1149" s="2">
        <f t="shared" si="52"/>
        <v>419161.59999999998</v>
      </c>
      <c r="AA1149" s="2">
        <f t="shared" si="53"/>
        <v>431516.8</v>
      </c>
    </row>
    <row r="1150" spans="1:27" ht="14.5" customHeight="1">
      <c r="A1150" s="7" t="s">
        <v>6529</v>
      </c>
      <c r="B1150" s="8" t="s">
        <v>2413</v>
      </c>
      <c r="C1150" s="27">
        <v>1466308</v>
      </c>
      <c r="D1150" s="27">
        <v>1448533</v>
      </c>
      <c r="E1150" s="69">
        <v>1.23</v>
      </c>
      <c r="F1150" s="27">
        <v>-161863</v>
      </c>
      <c r="G1150" s="27">
        <v>-132477</v>
      </c>
      <c r="H1150" s="27">
        <v>-93142</v>
      </c>
      <c r="I1150" s="27">
        <v>-595135</v>
      </c>
      <c r="J1150" s="27">
        <v>-233501</v>
      </c>
      <c r="K1150" s="27">
        <v>-690743</v>
      </c>
      <c r="L1150" s="69">
        <v>66.2</v>
      </c>
      <c r="M1150" s="27">
        <v>4253427</v>
      </c>
      <c r="N1150" s="69">
        <v>-0.56999999999999995</v>
      </c>
      <c r="O1150" s="69">
        <v>-1.62</v>
      </c>
      <c r="P1150" s="69">
        <v>16.62</v>
      </c>
      <c r="Q1150" s="27">
        <v>67</v>
      </c>
      <c r="R1150" s="69">
        <v>8.81</v>
      </c>
      <c r="S1150" s="69">
        <v>848.12</v>
      </c>
      <c r="X1150" s="2">
        <f t="shared" si="51"/>
        <v>0.33</v>
      </c>
      <c r="Y1150" s="2">
        <f>SUMIF(收盤價!A:A,A1150,收盤價!C:C)</f>
        <v>14.2</v>
      </c>
      <c r="Z1150" s="2">
        <f t="shared" si="52"/>
        <v>7069195.6740000006</v>
      </c>
      <c r="AA1150" s="2">
        <f t="shared" si="53"/>
        <v>6039866.3399999999</v>
      </c>
    </row>
    <row r="1151" spans="1:27" ht="14.5" customHeight="1">
      <c r="A1151" s="7" t="s">
        <v>6530</v>
      </c>
      <c r="B1151" s="8" t="s">
        <v>2415</v>
      </c>
      <c r="C1151" s="27">
        <v>2436700</v>
      </c>
      <c r="D1151" s="27">
        <v>2332247</v>
      </c>
      <c r="E1151" s="69">
        <v>4.4800000000000004</v>
      </c>
      <c r="F1151" s="27">
        <v>81435</v>
      </c>
      <c r="G1151" s="27">
        <v>84800</v>
      </c>
      <c r="H1151" s="27">
        <v>9306</v>
      </c>
      <c r="I1151" s="27">
        <v>22649</v>
      </c>
      <c r="J1151" s="27">
        <v>88584</v>
      </c>
      <c r="K1151" s="27">
        <v>127554</v>
      </c>
      <c r="L1151" s="69">
        <v>-30.55</v>
      </c>
      <c r="M1151" s="27">
        <v>904209</v>
      </c>
      <c r="N1151" s="69">
        <v>1.05</v>
      </c>
      <c r="O1151" s="69">
        <v>1.61</v>
      </c>
      <c r="P1151" s="69">
        <v>31.26</v>
      </c>
      <c r="Q1151" s="27">
        <v>54</v>
      </c>
      <c r="R1151" s="69">
        <v>1.83</v>
      </c>
      <c r="S1151" s="69">
        <v>88.74</v>
      </c>
      <c r="X1151" s="2">
        <f t="shared" si="51"/>
        <v>0.46</v>
      </c>
      <c r="Y1151" s="2">
        <f>SUMIF(收盤價!A:A,A1151,收盤價!C:C)</f>
        <v>44.4</v>
      </c>
      <c r="Z1151" s="2">
        <f t="shared" si="52"/>
        <v>2826557.3339999998</v>
      </c>
      <c r="AA1151" s="2">
        <f t="shared" si="53"/>
        <v>4014687.96</v>
      </c>
    </row>
    <row r="1152" spans="1:27" ht="14.5" customHeight="1">
      <c r="A1152" s="7" t="s">
        <v>6531</v>
      </c>
      <c r="B1152" s="8" t="s">
        <v>2417</v>
      </c>
      <c r="C1152" s="27">
        <v>465756</v>
      </c>
      <c r="D1152" s="27">
        <v>455798</v>
      </c>
      <c r="E1152" s="69">
        <v>2.1800000000000002</v>
      </c>
      <c r="F1152" s="27">
        <v>39477</v>
      </c>
      <c r="G1152" s="27">
        <v>31592</v>
      </c>
      <c r="H1152" s="27">
        <v>1193</v>
      </c>
      <c r="I1152" s="27">
        <v>32350</v>
      </c>
      <c r="J1152" s="27">
        <v>34055</v>
      </c>
      <c r="K1152" s="27">
        <v>57853</v>
      </c>
      <c r="L1152" s="69">
        <v>-41.14</v>
      </c>
      <c r="M1152" s="27">
        <v>1058149</v>
      </c>
      <c r="N1152" s="69">
        <v>0.32</v>
      </c>
      <c r="O1152" s="69">
        <v>0.55000000000000004</v>
      </c>
      <c r="P1152" s="69">
        <v>13.58</v>
      </c>
      <c r="Q1152" s="27">
        <v>90</v>
      </c>
      <c r="R1152" s="69">
        <v>5.24</v>
      </c>
      <c r="S1152" s="69">
        <v>413.61</v>
      </c>
      <c r="X1152" s="2">
        <f t="shared" si="51"/>
        <v>0.1</v>
      </c>
      <c r="Y1152" s="2">
        <f>SUMIF(收盤價!A:A,A1152,收盤價!C:C)</f>
        <v>25.05</v>
      </c>
      <c r="Z1152" s="2">
        <f t="shared" si="52"/>
        <v>1436966.3419999999</v>
      </c>
      <c r="AA1152" s="2">
        <f t="shared" si="53"/>
        <v>2650663.2450000001</v>
      </c>
    </row>
    <row r="1153" spans="1:27" ht="14.5" customHeight="1">
      <c r="A1153" s="7" t="s">
        <v>6532</v>
      </c>
      <c r="B1153" s="8" t="s">
        <v>2419</v>
      </c>
      <c r="C1153" s="27">
        <v>104489</v>
      </c>
      <c r="D1153" s="27">
        <v>61792</v>
      </c>
      <c r="E1153" s="69">
        <v>69.099999999999994</v>
      </c>
      <c r="F1153" s="27">
        <v>-19207</v>
      </c>
      <c r="G1153" s="27">
        <v>-25892</v>
      </c>
      <c r="H1153" s="27">
        <v>7342</v>
      </c>
      <c r="I1153" s="27">
        <v>673</v>
      </c>
      <c r="J1153" s="27">
        <v>-11865</v>
      </c>
      <c r="K1153" s="27">
        <v>-25070</v>
      </c>
      <c r="L1153" s="69">
        <v>52.67</v>
      </c>
      <c r="M1153" s="27">
        <v>482919</v>
      </c>
      <c r="N1153" s="69">
        <v>-0.25</v>
      </c>
      <c r="O1153" s="69">
        <v>-0.54</v>
      </c>
      <c r="P1153" s="69">
        <v>3.11</v>
      </c>
      <c r="Q1153" s="27">
        <v>57</v>
      </c>
      <c r="R1153" s="69">
        <v>1.62</v>
      </c>
      <c r="S1153" s="69">
        <v>86.73</v>
      </c>
      <c r="X1153" s="2">
        <f t="shared" si="51"/>
        <v>0.43</v>
      </c>
      <c r="Y1153" s="2">
        <f>SUMIF(收盤價!A:A,A1153,收盤價!C:C)</f>
        <v>4.58</v>
      </c>
      <c r="Z1153" s="2">
        <f t="shared" si="52"/>
        <v>150187.80899999998</v>
      </c>
      <c r="AA1153" s="2">
        <f t="shared" si="53"/>
        <v>221176.902</v>
      </c>
    </row>
    <row r="1154" spans="1:27" ht="14.5" customHeight="1">
      <c r="A1154" s="7" t="s">
        <v>6533</v>
      </c>
      <c r="B1154" s="8" t="s">
        <v>2421</v>
      </c>
      <c r="C1154" s="27">
        <v>1178195</v>
      </c>
      <c r="D1154" s="27">
        <v>1164815</v>
      </c>
      <c r="E1154" s="69">
        <v>1.1499999999999999</v>
      </c>
      <c r="F1154" s="27">
        <v>157823</v>
      </c>
      <c r="G1154" s="27">
        <v>133005</v>
      </c>
      <c r="H1154" s="27">
        <v>2152</v>
      </c>
      <c r="I1154" s="27">
        <v>9418</v>
      </c>
      <c r="J1154" s="27">
        <v>112521</v>
      </c>
      <c r="K1154" s="27">
        <v>104975</v>
      </c>
      <c r="L1154" s="69">
        <v>7.19</v>
      </c>
      <c r="M1154" s="27">
        <v>300000</v>
      </c>
      <c r="N1154" s="69">
        <v>3.75</v>
      </c>
      <c r="O1154" s="69">
        <v>3.5</v>
      </c>
      <c r="P1154" s="69">
        <v>42.72</v>
      </c>
      <c r="Q1154" s="27">
        <v>57</v>
      </c>
      <c r="R1154" s="69">
        <v>2.52</v>
      </c>
      <c r="S1154" s="69">
        <v>215.25</v>
      </c>
      <c r="X1154" s="2">
        <f t="shared" si="51"/>
        <v>0.43</v>
      </c>
      <c r="Y1154" s="2">
        <f>SUMIF(收盤價!A:A,A1154,收盤價!C:C)</f>
        <v>50</v>
      </c>
      <c r="Z1154" s="2">
        <f t="shared" si="52"/>
        <v>1281600</v>
      </c>
      <c r="AA1154" s="2">
        <f t="shared" si="53"/>
        <v>1500000</v>
      </c>
    </row>
    <row r="1155" spans="1:27" ht="14.5" customHeight="1">
      <c r="A1155" s="7" t="s">
        <v>6534</v>
      </c>
      <c r="B1155" s="8" t="s">
        <v>2425</v>
      </c>
      <c r="C1155" s="27">
        <v>704504</v>
      </c>
      <c r="D1155" s="27">
        <v>241041</v>
      </c>
      <c r="E1155" s="69">
        <v>192.28</v>
      </c>
      <c r="F1155" s="27">
        <v>-389994</v>
      </c>
      <c r="G1155" s="27">
        <v>-320785</v>
      </c>
      <c r="H1155" s="27">
        <v>-188660</v>
      </c>
      <c r="I1155" s="27">
        <v>-925</v>
      </c>
      <c r="J1155" s="27">
        <v>-578654</v>
      </c>
      <c r="K1155" s="27">
        <v>-321710</v>
      </c>
      <c r="L1155" s="69">
        <v>-79.87</v>
      </c>
      <c r="M1155" s="27">
        <v>2521900</v>
      </c>
      <c r="N1155" s="69">
        <v>-2.2999999999999998</v>
      </c>
      <c r="O1155" s="69">
        <v>-1.28</v>
      </c>
      <c r="P1155" s="69">
        <v>14.22</v>
      </c>
      <c r="Q1155" s="27">
        <v>76</v>
      </c>
      <c r="R1155" s="69">
        <v>5.74</v>
      </c>
      <c r="S1155" s="69">
        <v>369.33</v>
      </c>
      <c r="X1155" s="2">
        <f t="shared" si="51"/>
        <v>0.24</v>
      </c>
      <c r="Y1155" s="2">
        <f>SUMIF(收盤價!A:A,A1155,收盤價!C:C)</f>
        <v>99.1</v>
      </c>
      <c r="Z1155" s="2">
        <f t="shared" si="52"/>
        <v>3586141.8</v>
      </c>
      <c r="AA1155" s="2">
        <f t="shared" si="53"/>
        <v>24992029</v>
      </c>
    </row>
    <row r="1156" spans="1:27" ht="14.5" customHeight="1">
      <c r="A1156" s="7" t="s">
        <v>6535</v>
      </c>
      <c r="B1156" s="8" t="s">
        <v>2427</v>
      </c>
      <c r="C1156" s="27">
        <v>209140</v>
      </c>
      <c r="D1156" s="27">
        <v>62324</v>
      </c>
      <c r="E1156" s="69">
        <v>235.57</v>
      </c>
      <c r="F1156" s="27">
        <v>-817656</v>
      </c>
      <c r="G1156" s="27">
        <v>-917994</v>
      </c>
      <c r="H1156" s="27">
        <v>14254</v>
      </c>
      <c r="I1156" s="27">
        <v>17287</v>
      </c>
      <c r="J1156" s="27">
        <v>-807522</v>
      </c>
      <c r="K1156" s="27">
        <v>-901574</v>
      </c>
      <c r="L1156" s="69">
        <v>10.43</v>
      </c>
      <c r="M1156" s="27">
        <v>741939</v>
      </c>
      <c r="N1156" s="69">
        <v>-12.32</v>
      </c>
      <c r="O1156" s="69">
        <v>-14.37</v>
      </c>
      <c r="P1156" s="69">
        <v>9.73</v>
      </c>
      <c r="Q1156" s="27">
        <v>52</v>
      </c>
      <c r="R1156" s="69">
        <v>1.97</v>
      </c>
      <c r="S1156" s="69">
        <v>187.65</v>
      </c>
      <c r="X1156" s="2">
        <f t="shared" si="51"/>
        <v>0.48</v>
      </c>
      <c r="Y1156" s="2">
        <f>SUMIF(收盤價!A:A,A1156,收盤價!C:C)</f>
        <v>82</v>
      </c>
      <c r="Z1156" s="2">
        <f t="shared" si="52"/>
        <v>721906.64700000011</v>
      </c>
      <c r="AA1156" s="2">
        <f t="shared" si="53"/>
        <v>6083899.7999999998</v>
      </c>
    </row>
    <row r="1157" spans="1:27" ht="14.5" customHeight="1">
      <c r="A1157" s="7" t="s">
        <v>6536</v>
      </c>
      <c r="B1157" s="8" t="s">
        <v>2429</v>
      </c>
      <c r="C1157" s="27">
        <v>716170</v>
      </c>
      <c r="D1157" s="27">
        <v>650134</v>
      </c>
      <c r="E1157" s="69">
        <v>10.16</v>
      </c>
      <c r="F1157" s="27">
        <v>65362</v>
      </c>
      <c r="G1157" s="27">
        <v>44914</v>
      </c>
      <c r="H1157" s="27">
        <v>91</v>
      </c>
      <c r="I1157" s="27">
        <v>14392</v>
      </c>
      <c r="J1157" s="27">
        <v>56044</v>
      </c>
      <c r="K1157" s="27">
        <v>52154</v>
      </c>
      <c r="L1157" s="69">
        <v>7.46</v>
      </c>
      <c r="M1157" s="27">
        <v>743666</v>
      </c>
      <c r="N1157" s="69">
        <v>0.78</v>
      </c>
      <c r="O1157" s="69">
        <v>0.72</v>
      </c>
      <c r="P1157" s="69">
        <v>15.73</v>
      </c>
      <c r="Q1157" s="27">
        <v>86</v>
      </c>
      <c r="R1157" s="69">
        <v>5.88</v>
      </c>
      <c r="S1157" s="69">
        <v>475.5</v>
      </c>
      <c r="X1157" s="2">
        <f t="shared" ref="X1157:X1220" si="54">IF(W1157&lt;&gt;"",ROUND(W1157/U1157,2),(100-Q1157)/100)</f>
        <v>0.14000000000000001</v>
      </c>
      <c r="Y1157" s="2">
        <f>SUMIF(收盤價!A:A,A1157,收盤價!C:C)</f>
        <v>29.55</v>
      </c>
      <c r="Z1157" s="2">
        <f t="shared" ref="Z1157:Z1220" si="55">IF(W1157&lt;&gt;"",U1157-W1157,M1157*P1157/10)</f>
        <v>1169786.618</v>
      </c>
      <c r="AA1157" s="2">
        <f t="shared" ref="AA1157:AA1220" si="56">Y1157*M1157/10</f>
        <v>2197533.0300000003</v>
      </c>
    </row>
    <row r="1158" spans="1:27" ht="14.5" customHeight="1">
      <c r="A1158" s="7" t="s">
        <v>6537</v>
      </c>
      <c r="B1158" s="8" t="s">
        <v>2435</v>
      </c>
      <c r="C1158" s="27">
        <v>429384</v>
      </c>
      <c r="D1158" s="27">
        <v>381660</v>
      </c>
      <c r="E1158" s="69">
        <v>12.5</v>
      </c>
      <c r="F1158" s="27">
        <v>11283</v>
      </c>
      <c r="G1158" s="27">
        <v>11562</v>
      </c>
      <c r="H1158" s="27">
        <v>9603</v>
      </c>
      <c r="I1158" s="27">
        <v>6524</v>
      </c>
      <c r="J1158" s="27">
        <v>18304</v>
      </c>
      <c r="K1158" s="27">
        <v>16884</v>
      </c>
      <c r="L1158" s="69">
        <v>8.41</v>
      </c>
      <c r="M1158" s="27">
        <v>242470</v>
      </c>
      <c r="N1158" s="69">
        <v>0.75</v>
      </c>
      <c r="O1158" s="69">
        <v>0.7</v>
      </c>
      <c r="P1158" s="69">
        <v>14.23</v>
      </c>
      <c r="Q1158" s="27">
        <v>78</v>
      </c>
      <c r="R1158" s="69">
        <v>4.0999999999999996</v>
      </c>
      <c r="S1158" s="69">
        <v>318.38</v>
      </c>
      <c r="X1158" s="2">
        <f t="shared" si="54"/>
        <v>0.22</v>
      </c>
      <c r="Y1158" s="2">
        <f>SUMIF(收盤價!A:A,A1158,收盤價!C:C)</f>
        <v>28.25</v>
      </c>
      <c r="Z1158" s="2">
        <f t="shared" si="55"/>
        <v>345034.81</v>
      </c>
      <c r="AA1158" s="2">
        <f t="shared" si="56"/>
        <v>684977.75</v>
      </c>
    </row>
    <row r="1159" spans="1:27" ht="14.5" customHeight="1">
      <c r="A1159" s="7" t="s">
        <v>6538</v>
      </c>
      <c r="B1159" s="8" t="s">
        <v>2437</v>
      </c>
      <c r="C1159" s="27">
        <v>566422</v>
      </c>
      <c r="D1159" s="27">
        <v>519550</v>
      </c>
      <c r="E1159" s="69">
        <v>9.02</v>
      </c>
      <c r="F1159" s="27">
        <v>-1472</v>
      </c>
      <c r="G1159" s="27">
        <v>2153</v>
      </c>
      <c r="H1159" s="27">
        <v>1167</v>
      </c>
      <c r="I1159" s="27">
        <v>29334</v>
      </c>
      <c r="J1159" s="27">
        <v>5251</v>
      </c>
      <c r="K1159" s="27">
        <v>26388</v>
      </c>
      <c r="L1159" s="69">
        <v>-80.099999999999994</v>
      </c>
      <c r="M1159" s="27">
        <v>526597</v>
      </c>
      <c r="N1159" s="69">
        <v>0.11</v>
      </c>
      <c r="O1159" s="69">
        <v>0.53</v>
      </c>
      <c r="P1159" s="69">
        <v>15.8</v>
      </c>
      <c r="Q1159" s="27">
        <v>48</v>
      </c>
      <c r="R1159" s="69">
        <v>1.82</v>
      </c>
      <c r="S1159" s="69">
        <v>149.91999999999999</v>
      </c>
      <c r="X1159" s="2">
        <f t="shared" si="54"/>
        <v>0.52</v>
      </c>
      <c r="Y1159" s="2">
        <f>SUMIF(收盤價!A:A,A1159,收盤價!C:C)</f>
        <v>34.200000000000003</v>
      </c>
      <c r="Z1159" s="2">
        <f t="shared" si="55"/>
        <v>832023.26</v>
      </c>
      <c r="AA1159" s="2">
        <f t="shared" si="56"/>
        <v>1800961.7400000002</v>
      </c>
    </row>
    <row r="1160" spans="1:27" ht="14.5" customHeight="1">
      <c r="A1160" s="7" t="s">
        <v>6539</v>
      </c>
      <c r="B1160" s="8" t="s">
        <v>2439</v>
      </c>
      <c r="C1160" s="27">
        <v>314040</v>
      </c>
      <c r="D1160" s="27">
        <v>293430</v>
      </c>
      <c r="E1160" s="69">
        <v>7.02</v>
      </c>
      <c r="F1160" s="27">
        <v>32610</v>
      </c>
      <c r="G1160" s="27">
        <v>42440</v>
      </c>
      <c r="H1160" s="27">
        <v>17057</v>
      </c>
      <c r="I1160" s="27">
        <v>121332</v>
      </c>
      <c r="J1160" s="27">
        <v>42550</v>
      </c>
      <c r="K1160" s="27">
        <v>129362</v>
      </c>
      <c r="L1160" s="69">
        <v>-67.11</v>
      </c>
      <c r="M1160" s="27">
        <v>1466668</v>
      </c>
      <c r="N1160" s="69">
        <v>0.28999999999999998</v>
      </c>
      <c r="O1160" s="69">
        <v>0.88</v>
      </c>
      <c r="P1160" s="69">
        <v>23.91</v>
      </c>
      <c r="Q1160" s="27">
        <v>95</v>
      </c>
      <c r="R1160" s="69">
        <v>25.85</v>
      </c>
      <c r="S1160" s="69">
        <v>2566.56</v>
      </c>
      <c r="X1160" s="2">
        <f t="shared" si="54"/>
        <v>0.05</v>
      </c>
      <c r="Y1160" s="2">
        <f>SUMIF(收盤價!A:A,A1160,收盤價!C:C)</f>
        <v>68.5</v>
      </c>
      <c r="Z1160" s="2">
        <f t="shared" si="55"/>
        <v>3506803.1880000001</v>
      </c>
      <c r="AA1160" s="2">
        <f t="shared" si="56"/>
        <v>10046675.800000001</v>
      </c>
    </row>
    <row r="1161" spans="1:27" ht="14.5" customHeight="1">
      <c r="A1161" s="7" t="s">
        <v>6540</v>
      </c>
      <c r="B1161" s="8" t="s">
        <v>2441</v>
      </c>
      <c r="C1161" s="27">
        <v>2327239</v>
      </c>
      <c r="D1161" s="27">
        <v>1907232</v>
      </c>
      <c r="E1161" s="69">
        <v>22.02</v>
      </c>
      <c r="F1161" s="27">
        <v>447099</v>
      </c>
      <c r="G1161" s="27">
        <v>312572</v>
      </c>
      <c r="H1161" s="27">
        <v>14525</v>
      </c>
      <c r="I1161" s="27">
        <v>55853</v>
      </c>
      <c r="J1161" s="27">
        <v>363981</v>
      </c>
      <c r="K1161" s="27">
        <v>291779</v>
      </c>
      <c r="L1161" s="69">
        <v>24.75</v>
      </c>
      <c r="M1161" s="27">
        <v>402418</v>
      </c>
      <c r="N1161" s="69">
        <v>9.0500000000000007</v>
      </c>
      <c r="O1161" s="69">
        <v>7.25</v>
      </c>
      <c r="P1161" s="69">
        <v>45.71</v>
      </c>
      <c r="Q1161" s="27">
        <v>60</v>
      </c>
      <c r="R1161" s="69">
        <v>3.4</v>
      </c>
      <c r="S1161" s="69">
        <v>215.03</v>
      </c>
      <c r="X1161" s="2">
        <f t="shared" si="54"/>
        <v>0.4</v>
      </c>
      <c r="Y1161" s="2">
        <f>SUMIF(收盤價!A:A,A1161,收盤價!C:C)</f>
        <v>133.5</v>
      </c>
      <c r="Z1161" s="2">
        <f t="shared" si="55"/>
        <v>1839452.6780000001</v>
      </c>
      <c r="AA1161" s="2">
        <f t="shared" si="56"/>
        <v>5372280.2999999998</v>
      </c>
    </row>
    <row r="1162" spans="1:27" ht="14.5" customHeight="1">
      <c r="A1162" s="7" t="s">
        <v>6541</v>
      </c>
      <c r="B1162" s="8" t="s">
        <v>2443</v>
      </c>
      <c r="C1162" s="27">
        <v>1318694</v>
      </c>
      <c r="D1162" s="27">
        <v>1104691</v>
      </c>
      <c r="E1162" s="69">
        <v>19.37</v>
      </c>
      <c r="F1162" s="27">
        <v>55373</v>
      </c>
      <c r="G1162" s="27">
        <v>-349562</v>
      </c>
      <c r="H1162" s="27">
        <v>-60307</v>
      </c>
      <c r="I1162" s="27">
        <v>-9985</v>
      </c>
      <c r="J1162" s="27">
        <v>-4934</v>
      </c>
      <c r="K1162" s="27">
        <v>-359547</v>
      </c>
      <c r="L1162" s="69">
        <v>98.63</v>
      </c>
      <c r="M1162" s="27">
        <v>2679982</v>
      </c>
      <c r="N1162" s="69">
        <v>-0.02</v>
      </c>
      <c r="O1162" s="69">
        <v>-1.46</v>
      </c>
      <c r="P1162" s="69">
        <v>8.26</v>
      </c>
      <c r="Q1162" s="27">
        <v>55</v>
      </c>
      <c r="R1162" s="69">
        <v>1.32</v>
      </c>
      <c r="S1162" s="69">
        <v>63.13</v>
      </c>
      <c r="X1162" s="2">
        <f t="shared" si="54"/>
        <v>0.45</v>
      </c>
      <c r="Y1162" s="2">
        <f>SUMIF(收盤價!A:A,A1162,收盤價!C:C)</f>
        <v>21.95</v>
      </c>
      <c r="Z1162" s="2">
        <f t="shared" si="55"/>
        <v>2213665.1320000002</v>
      </c>
      <c r="AA1162" s="2">
        <f t="shared" si="56"/>
        <v>5882560.4900000002</v>
      </c>
    </row>
    <row r="1163" spans="1:27" ht="14.5" customHeight="1">
      <c r="A1163" s="7" t="s">
        <v>6542</v>
      </c>
      <c r="B1163" s="8" t="s">
        <v>2445</v>
      </c>
      <c r="C1163" s="27">
        <v>734</v>
      </c>
      <c r="D1163" s="27">
        <v>926</v>
      </c>
      <c r="E1163" s="69">
        <v>-20.73</v>
      </c>
      <c r="F1163" s="27">
        <v>-269863</v>
      </c>
      <c r="G1163" s="27">
        <v>-321581</v>
      </c>
      <c r="H1163" s="27">
        <v>23185</v>
      </c>
      <c r="I1163" s="27">
        <v>3985</v>
      </c>
      <c r="J1163" s="27">
        <v>-247227</v>
      </c>
      <c r="K1163" s="27">
        <v>-316943</v>
      </c>
      <c r="L1163" s="69">
        <v>22</v>
      </c>
      <c r="M1163" s="27">
        <v>775924</v>
      </c>
      <c r="N1163" s="69">
        <v>-3.26</v>
      </c>
      <c r="O1163" s="69">
        <v>-4.18</v>
      </c>
      <c r="P1163" s="69">
        <v>16.77</v>
      </c>
      <c r="Q1163" s="27">
        <v>97</v>
      </c>
      <c r="R1163" s="69">
        <v>8.65</v>
      </c>
      <c r="S1163" s="69">
        <v>839.47</v>
      </c>
      <c r="X1163" s="2">
        <f t="shared" si="54"/>
        <v>0.03</v>
      </c>
      <c r="Y1163" s="2">
        <f>SUMIF(收盤價!A:A,A1163,收盤價!C:C)</f>
        <v>20.350000000000001</v>
      </c>
      <c r="Z1163" s="2">
        <f t="shared" si="55"/>
        <v>1301224.548</v>
      </c>
      <c r="AA1163" s="2">
        <f t="shared" si="56"/>
        <v>1579005.34</v>
      </c>
    </row>
    <row r="1164" spans="1:27" ht="14.5" customHeight="1">
      <c r="A1164" s="7" t="s">
        <v>6543</v>
      </c>
      <c r="B1164" s="8" t="s">
        <v>2449</v>
      </c>
      <c r="C1164" s="27">
        <v>1112150</v>
      </c>
      <c r="D1164" s="27">
        <v>1301764</v>
      </c>
      <c r="E1164" s="69">
        <v>-14.57</v>
      </c>
      <c r="F1164" s="27">
        <v>65522</v>
      </c>
      <c r="G1164" s="27">
        <v>46410</v>
      </c>
      <c r="H1164" s="27">
        <v>9129</v>
      </c>
      <c r="I1164" s="27">
        <v>-68</v>
      </c>
      <c r="J1164" s="27">
        <v>60628</v>
      </c>
      <c r="K1164" s="27">
        <v>50280</v>
      </c>
      <c r="L1164" s="69">
        <v>20.58</v>
      </c>
      <c r="M1164" s="27">
        <v>445744</v>
      </c>
      <c r="N1164" s="69">
        <v>1.36</v>
      </c>
      <c r="O1164" s="69">
        <v>1.1299999999999999</v>
      </c>
      <c r="P1164" s="69">
        <v>28.33</v>
      </c>
      <c r="Q1164" s="27">
        <v>34</v>
      </c>
      <c r="R1164" s="69">
        <v>1.35</v>
      </c>
      <c r="S1164" s="69">
        <v>133.13999999999999</v>
      </c>
      <c r="X1164" s="2">
        <f t="shared" si="54"/>
        <v>0.66</v>
      </c>
      <c r="Y1164" s="2">
        <f>SUMIF(收盤價!A:A,A1164,收盤價!C:C)</f>
        <v>20.05</v>
      </c>
      <c r="Z1164" s="2">
        <f t="shared" si="55"/>
        <v>1262792.7519999999</v>
      </c>
      <c r="AA1164" s="2">
        <f t="shared" si="56"/>
        <v>893716.72000000009</v>
      </c>
    </row>
    <row r="1165" spans="1:27" ht="14.5" customHeight="1">
      <c r="A1165" s="7" t="s">
        <v>6544</v>
      </c>
      <c r="B1165" s="8" t="s">
        <v>2451</v>
      </c>
      <c r="C1165" s="27">
        <v>872</v>
      </c>
      <c r="D1165" s="27">
        <v>13339</v>
      </c>
      <c r="E1165" s="69">
        <v>-93.46</v>
      </c>
      <c r="F1165" s="27">
        <v>-1450861</v>
      </c>
      <c r="G1165" s="27">
        <v>-1427683</v>
      </c>
      <c r="H1165" s="27">
        <v>5680</v>
      </c>
      <c r="I1165" s="27">
        <v>171881</v>
      </c>
      <c r="J1165" s="27">
        <v>-1407026</v>
      </c>
      <c r="K1165" s="27">
        <v>-1222242</v>
      </c>
      <c r="L1165" s="69">
        <v>-15.12</v>
      </c>
      <c r="M1165" s="27">
        <v>1881287</v>
      </c>
      <c r="N1165" s="69">
        <v>-7.76</v>
      </c>
      <c r="O1165" s="69">
        <v>-7.06</v>
      </c>
      <c r="P1165" s="69">
        <v>27.13</v>
      </c>
      <c r="Q1165" s="27">
        <v>90</v>
      </c>
      <c r="R1165" s="69">
        <v>23.53</v>
      </c>
      <c r="S1165" s="69">
        <v>2295.11</v>
      </c>
      <c r="X1165" s="2">
        <f t="shared" si="54"/>
        <v>0.1</v>
      </c>
      <c r="Y1165" s="2">
        <f>SUMIF(收盤價!A:A,A1165,收盤價!C:C)</f>
        <v>132</v>
      </c>
      <c r="Z1165" s="2">
        <f t="shared" si="55"/>
        <v>5103931.6309999991</v>
      </c>
      <c r="AA1165" s="2">
        <f t="shared" si="56"/>
        <v>24832988.399999999</v>
      </c>
    </row>
    <row r="1166" spans="1:27" ht="14.5" customHeight="1">
      <c r="A1166" s="7" t="s">
        <v>6545</v>
      </c>
      <c r="B1166" s="8" t="s">
        <v>2453</v>
      </c>
      <c r="C1166" s="27">
        <v>5304985</v>
      </c>
      <c r="D1166" s="27">
        <v>4632643</v>
      </c>
      <c r="E1166" s="69">
        <v>14.51</v>
      </c>
      <c r="F1166" s="27">
        <v>174162</v>
      </c>
      <c r="G1166" s="27">
        <v>152202</v>
      </c>
      <c r="H1166" s="27">
        <v>4578</v>
      </c>
      <c r="I1166" s="27">
        <v>-3993</v>
      </c>
      <c r="J1166" s="27">
        <v>141026</v>
      </c>
      <c r="K1166" s="27">
        <v>112950</v>
      </c>
      <c r="L1166" s="69">
        <v>24.86</v>
      </c>
      <c r="M1166" s="27">
        <v>303089</v>
      </c>
      <c r="N1166" s="69">
        <v>4.7</v>
      </c>
      <c r="O1166" s="69">
        <v>3.76</v>
      </c>
      <c r="P1166" s="69">
        <v>32.25</v>
      </c>
      <c r="Q1166" s="27">
        <v>20</v>
      </c>
      <c r="R1166" s="69">
        <v>0.87</v>
      </c>
      <c r="S1166" s="69">
        <v>34.130000000000003</v>
      </c>
      <c r="X1166" s="2">
        <f t="shared" si="54"/>
        <v>0.8</v>
      </c>
      <c r="Y1166" s="2">
        <f>SUMIF(收盤價!A:A,A1166,收盤價!C:C)</f>
        <v>72.3</v>
      </c>
      <c r="Z1166" s="2">
        <f t="shared" si="55"/>
        <v>977462.02500000002</v>
      </c>
      <c r="AA1166" s="2">
        <f t="shared" si="56"/>
        <v>2191333.4699999997</v>
      </c>
    </row>
    <row r="1167" spans="1:27" ht="14.5" customHeight="1">
      <c r="A1167" s="7" t="s">
        <v>6546</v>
      </c>
      <c r="B1167" s="8" t="s">
        <v>2455</v>
      </c>
      <c r="C1167" s="27">
        <v>459346</v>
      </c>
      <c r="D1167" s="27">
        <v>414217</v>
      </c>
      <c r="E1167" s="69">
        <v>10.9</v>
      </c>
      <c r="F1167" s="27">
        <v>27731</v>
      </c>
      <c r="G1167" s="27">
        <v>9839</v>
      </c>
      <c r="H1167" s="27">
        <v>-3721</v>
      </c>
      <c r="I1167" s="27">
        <v>7969</v>
      </c>
      <c r="J1167" s="27">
        <v>18438</v>
      </c>
      <c r="K1167" s="27">
        <v>15797</v>
      </c>
      <c r="L1167" s="69">
        <v>16.72</v>
      </c>
      <c r="M1167" s="27">
        <v>238000</v>
      </c>
      <c r="N1167" s="69">
        <v>0.77</v>
      </c>
      <c r="O1167" s="69">
        <v>0.66</v>
      </c>
      <c r="P1167" s="69">
        <v>12.36</v>
      </c>
      <c r="Q1167" s="27">
        <v>55</v>
      </c>
      <c r="R1167" s="69">
        <v>3.06</v>
      </c>
      <c r="S1167" s="69">
        <v>262.95999999999998</v>
      </c>
      <c r="X1167" s="2">
        <f t="shared" si="54"/>
        <v>0.45</v>
      </c>
      <c r="Y1167" s="2">
        <f>SUMIF(收盤價!A:A,A1167,收盤價!C:C)</f>
        <v>19.600000000000001</v>
      </c>
      <c r="Z1167" s="2">
        <f t="shared" si="55"/>
        <v>294168</v>
      </c>
      <c r="AA1167" s="2">
        <f t="shared" si="56"/>
        <v>466480</v>
      </c>
    </row>
    <row r="1168" spans="1:27" ht="14.5" customHeight="1">
      <c r="A1168" s="7" t="s">
        <v>6547</v>
      </c>
      <c r="B1168" s="8" t="s">
        <v>2457</v>
      </c>
      <c r="C1168" s="27">
        <v>84086</v>
      </c>
      <c r="D1168" s="27">
        <v>72323</v>
      </c>
      <c r="E1168" s="69">
        <v>16.260000000000002</v>
      </c>
      <c r="F1168" s="27">
        <v>-56288</v>
      </c>
      <c r="G1168" s="27">
        <v>-80094</v>
      </c>
      <c r="H1168" s="27">
        <v>8787</v>
      </c>
      <c r="I1168" s="27">
        <v>37810</v>
      </c>
      <c r="J1168" s="27">
        <v>-37741</v>
      </c>
      <c r="K1168" s="27">
        <v>-44679</v>
      </c>
      <c r="L1168" s="69">
        <v>15.53</v>
      </c>
      <c r="M1168" s="27">
        <v>532214</v>
      </c>
      <c r="N1168" s="69">
        <v>-0.71</v>
      </c>
      <c r="O1168" s="69">
        <v>-0.85</v>
      </c>
      <c r="P1168" s="69">
        <v>10.02</v>
      </c>
      <c r="Q1168" s="27">
        <v>72</v>
      </c>
      <c r="R1168" s="69">
        <v>6.69</v>
      </c>
      <c r="S1168" s="69">
        <v>636.14</v>
      </c>
      <c r="X1168" s="2">
        <f t="shared" si="54"/>
        <v>0.28000000000000003</v>
      </c>
      <c r="Y1168" s="2">
        <f>SUMIF(收盤價!A:A,A1168,收盤價!C:C)</f>
        <v>24.2</v>
      </c>
      <c r="Z1168" s="2">
        <f t="shared" si="55"/>
        <v>533278.42799999996</v>
      </c>
      <c r="AA1168" s="2">
        <f t="shared" si="56"/>
        <v>1287957.8799999999</v>
      </c>
    </row>
    <row r="1169" spans="1:27" ht="14.5" customHeight="1">
      <c r="A1169" s="7" t="s">
        <v>6548</v>
      </c>
      <c r="B1169" s="8" t="s">
        <v>2459</v>
      </c>
      <c r="C1169" s="27">
        <v>12967</v>
      </c>
      <c r="D1169" s="27">
        <v>7706</v>
      </c>
      <c r="E1169" s="69">
        <v>68.27</v>
      </c>
      <c r="F1169" s="27">
        <v>-416587</v>
      </c>
      <c r="G1169" s="27">
        <v>-301024</v>
      </c>
      <c r="H1169" s="27">
        <v>7950</v>
      </c>
      <c r="I1169" s="27">
        <v>6897</v>
      </c>
      <c r="J1169" s="27">
        <v>-408637</v>
      </c>
      <c r="K1169" s="27">
        <v>-294127</v>
      </c>
      <c r="L1169" s="69">
        <v>-38.93</v>
      </c>
      <c r="M1169" s="27">
        <v>973670</v>
      </c>
      <c r="N1169" s="69">
        <v>-4.54</v>
      </c>
      <c r="O1169" s="69">
        <v>-3.88</v>
      </c>
      <c r="P1169" s="69">
        <v>6.29</v>
      </c>
      <c r="Q1169" s="27">
        <v>80</v>
      </c>
      <c r="R1169" s="69">
        <v>4.04</v>
      </c>
      <c r="S1169" s="69">
        <v>302.77</v>
      </c>
      <c r="X1169" s="2">
        <f t="shared" si="54"/>
        <v>0.2</v>
      </c>
      <c r="Y1169" s="2">
        <f>SUMIF(收盤價!A:A,A1169,收盤價!C:C)</f>
        <v>30</v>
      </c>
      <c r="Z1169" s="2">
        <f t="shared" si="55"/>
        <v>612438.42999999993</v>
      </c>
      <c r="AA1169" s="2">
        <f t="shared" si="56"/>
        <v>2921010</v>
      </c>
    </row>
    <row r="1170" spans="1:27" ht="14.5" customHeight="1">
      <c r="A1170" s="7" t="s">
        <v>6549</v>
      </c>
      <c r="B1170" s="8" t="s">
        <v>2461</v>
      </c>
      <c r="C1170" s="27">
        <v>181729</v>
      </c>
      <c r="D1170" s="27">
        <v>323303</v>
      </c>
      <c r="E1170" s="69">
        <v>-43.79</v>
      </c>
      <c r="F1170" s="27">
        <v>-124304</v>
      </c>
      <c r="G1170" s="27">
        <v>-238310</v>
      </c>
      <c r="H1170" s="27">
        <v>-27980</v>
      </c>
      <c r="I1170" s="27">
        <v>500</v>
      </c>
      <c r="J1170" s="27">
        <v>-152383</v>
      </c>
      <c r="K1170" s="27">
        <v>-237973</v>
      </c>
      <c r="L1170" s="69">
        <v>35.97</v>
      </c>
      <c r="M1170" s="27">
        <v>425400</v>
      </c>
      <c r="N1170" s="69">
        <v>-3.58</v>
      </c>
      <c r="O1170" s="69">
        <v>-5.59</v>
      </c>
      <c r="P1170" s="69">
        <v>2.35</v>
      </c>
      <c r="Q1170" s="27">
        <v>34</v>
      </c>
      <c r="R1170" s="69">
        <v>2.84</v>
      </c>
      <c r="S1170" s="69">
        <v>115.07</v>
      </c>
      <c r="X1170" s="2">
        <f t="shared" si="54"/>
        <v>0.66</v>
      </c>
      <c r="Y1170" s="2">
        <f>SUMIF(收盤價!A:A,A1170,收盤價!C:C)</f>
        <v>3.7</v>
      </c>
      <c r="Z1170" s="2">
        <f t="shared" si="55"/>
        <v>99969</v>
      </c>
      <c r="AA1170" s="2">
        <f t="shared" si="56"/>
        <v>157398</v>
      </c>
    </row>
    <row r="1171" spans="1:27" ht="14.5" customHeight="1">
      <c r="A1171" s="7" t="s">
        <v>6550</v>
      </c>
      <c r="B1171" s="8" t="s">
        <v>2565</v>
      </c>
      <c r="C1171" s="27">
        <v>390844</v>
      </c>
      <c r="D1171" s="27">
        <v>211424</v>
      </c>
      <c r="E1171" s="69">
        <v>84.86</v>
      </c>
      <c r="F1171" s="27">
        <v>-230254</v>
      </c>
      <c r="G1171" s="27">
        <v>-322522</v>
      </c>
      <c r="H1171" s="27">
        <v>280</v>
      </c>
      <c r="I1171" s="27">
        <v>36731</v>
      </c>
      <c r="J1171" s="27">
        <v>-218175</v>
      </c>
      <c r="K1171" s="27">
        <v>-274430</v>
      </c>
      <c r="L1171" s="69">
        <v>20.5</v>
      </c>
      <c r="M1171" s="27">
        <v>1279545</v>
      </c>
      <c r="N1171" s="69">
        <v>-1.74</v>
      </c>
      <c r="O1171" s="69">
        <v>-2.5</v>
      </c>
      <c r="P1171" s="69">
        <v>8.61</v>
      </c>
      <c r="Q1171" s="27">
        <v>78</v>
      </c>
      <c r="R1171" s="69">
        <v>2.13</v>
      </c>
      <c r="S1171" s="69">
        <v>178.77</v>
      </c>
      <c r="X1171" s="2">
        <f t="shared" si="54"/>
        <v>0.22</v>
      </c>
      <c r="Y1171" s="2">
        <f>SUMIF(收盤價!A:A,A1171,收盤價!C:C)</f>
        <v>23.3</v>
      </c>
      <c r="Z1171" s="2">
        <f t="shared" si="55"/>
        <v>1101688.2449999999</v>
      </c>
      <c r="AA1171" s="2">
        <f t="shared" si="56"/>
        <v>2981339.85</v>
      </c>
    </row>
    <row r="1172" spans="1:27" ht="14.5" customHeight="1">
      <c r="A1172" s="7" t="s">
        <v>6551</v>
      </c>
      <c r="B1172" s="8" t="s">
        <v>2567</v>
      </c>
      <c r="C1172" s="27">
        <v>594145</v>
      </c>
      <c r="D1172" s="27">
        <v>304068</v>
      </c>
      <c r="E1172" s="69">
        <v>95.4</v>
      </c>
      <c r="F1172" s="27">
        <v>175055</v>
      </c>
      <c r="G1172" s="27">
        <v>62796</v>
      </c>
      <c r="H1172" s="27">
        <v>-20638</v>
      </c>
      <c r="I1172" s="27">
        <v>24582</v>
      </c>
      <c r="J1172" s="27">
        <v>100447</v>
      </c>
      <c r="K1172" s="27">
        <v>74657</v>
      </c>
      <c r="L1172" s="69">
        <v>34.54</v>
      </c>
      <c r="M1172" s="27">
        <v>544630</v>
      </c>
      <c r="N1172" s="69">
        <v>1.84</v>
      </c>
      <c r="O1172" s="69">
        <v>1.38</v>
      </c>
      <c r="P1172" s="69">
        <v>12.43</v>
      </c>
      <c r="Q1172" s="27">
        <v>60</v>
      </c>
      <c r="R1172" s="69">
        <v>3</v>
      </c>
      <c r="S1172" s="69">
        <v>284.63</v>
      </c>
      <c r="X1172" s="2">
        <f t="shared" si="54"/>
        <v>0.4</v>
      </c>
      <c r="Y1172" s="2">
        <f>SUMIF(收盤價!A:A,A1172,收盤價!C:C)</f>
        <v>80.2</v>
      </c>
      <c r="Z1172" s="2">
        <f t="shared" si="55"/>
        <v>676975.09</v>
      </c>
      <c r="AA1172" s="2">
        <f t="shared" si="56"/>
        <v>4367932.5999999996</v>
      </c>
    </row>
    <row r="1173" spans="1:27" ht="14.5" customHeight="1">
      <c r="A1173" s="7" t="s">
        <v>6552</v>
      </c>
      <c r="B1173" s="8" t="s">
        <v>2571</v>
      </c>
      <c r="C1173" s="27">
        <v>1247590</v>
      </c>
      <c r="D1173" s="27">
        <v>1326830</v>
      </c>
      <c r="E1173" s="69">
        <v>-5.97</v>
      </c>
      <c r="F1173" s="27">
        <v>176750</v>
      </c>
      <c r="G1173" s="27">
        <v>130203</v>
      </c>
      <c r="H1173" s="27">
        <v>-8363</v>
      </c>
      <c r="I1173" s="27">
        <v>-6338</v>
      </c>
      <c r="J1173" s="27">
        <v>130946</v>
      </c>
      <c r="K1173" s="27">
        <v>98821</v>
      </c>
      <c r="L1173" s="69">
        <v>32.51</v>
      </c>
      <c r="M1173" s="27">
        <v>334886</v>
      </c>
      <c r="N1173" s="69">
        <v>4.2</v>
      </c>
      <c r="O1173" s="69">
        <v>3.06</v>
      </c>
      <c r="P1173" s="69">
        <v>16.59</v>
      </c>
      <c r="Q1173" s="27">
        <v>50</v>
      </c>
      <c r="R1173" s="69">
        <v>2.0299999999999998</v>
      </c>
      <c r="S1173" s="69">
        <v>149.55000000000001</v>
      </c>
      <c r="X1173" s="2">
        <f t="shared" si="54"/>
        <v>0.5</v>
      </c>
      <c r="Y1173" s="2">
        <f>SUMIF(收盤價!A:A,A1173,收盤價!C:C)</f>
        <v>47</v>
      </c>
      <c r="Z1173" s="2">
        <f t="shared" si="55"/>
        <v>555575.87400000007</v>
      </c>
      <c r="AA1173" s="2">
        <f t="shared" si="56"/>
        <v>1573964.2</v>
      </c>
    </row>
    <row r="1174" spans="1:27" ht="14.5" customHeight="1">
      <c r="A1174" s="7" t="s">
        <v>6553</v>
      </c>
      <c r="B1174" s="8" t="s">
        <v>2573</v>
      </c>
      <c r="C1174" s="27">
        <v>4138499</v>
      </c>
      <c r="D1174" s="27">
        <v>4347275</v>
      </c>
      <c r="E1174" s="69">
        <v>-4.8</v>
      </c>
      <c r="F1174" s="27">
        <v>802728</v>
      </c>
      <c r="G1174" s="27">
        <v>986686</v>
      </c>
      <c r="H1174" s="27">
        <v>30390</v>
      </c>
      <c r="I1174" s="27">
        <v>111626</v>
      </c>
      <c r="J1174" s="27">
        <v>663905</v>
      </c>
      <c r="K1174" s="27">
        <v>876675</v>
      </c>
      <c r="L1174" s="69">
        <v>-24.27</v>
      </c>
      <c r="M1174" s="27">
        <v>840625</v>
      </c>
      <c r="N1174" s="69">
        <v>8.0299999999999994</v>
      </c>
      <c r="O1174" s="69">
        <v>11.05</v>
      </c>
      <c r="P1174" s="69">
        <v>51.98</v>
      </c>
      <c r="Q1174" s="27">
        <v>56</v>
      </c>
      <c r="R1174" s="69">
        <v>2.89</v>
      </c>
      <c r="S1174" s="69">
        <v>219.23</v>
      </c>
      <c r="X1174" s="2">
        <f t="shared" si="54"/>
        <v>0.44</v>
      </c>
      <c r="Y1174" s="2">
        <f>SUMIF(收盤價!A:A,A1174,收盤價!C:C)</f>
        <v>130.5</v>
      </c>
      <c r="Z1174" s="2">
        <f t="shared" si="55"/>
        <v>4369568.75</v>
      </c>
      <c r="AA1174" s="2">
        <f t="shared" si="56"/>
        <v>10970156.25</v>
      </c>
    </row>
    <row r="1175" spans="1:27" ht="14.5" customHeight="1">
      <c r="A1175" s="7" t="s">
        <v>6554</v>
      </c>
      <c r="B1175" s="8" t="s">
        <v>2577</v>
      </c>
      <c r="C1175" s="27">
        <v>13475</v>
      </c>
      <c r="D1175" s="27">
        <v>18856</v>
      </c>
      <c r="E1175" s="69">
        <v>-28.54</v>
      </c>
      <c r="F1175" s="27">
        <v>-311733</v>
      </c>
      <c r="G1175" s="27">
        <v>-132186</v>
      </c>
      <c r="H1175" s="27">
        <v>-14528</v>
      </c>
      <c r="I1175" s="27">
        <v>-112755</v>
      </c>
      <c r="J1175" s="27">
        <v>-322206</v>
      </c>
      <c r="K1175" s="27">
        <v>-235436</v>
      </c>
      <c r="L1175" s="69">
        <v>-36.86</v>
      </c>
      <c r="M1175" s="27">
        <v>3524908</v>
      </c>
      <c r="N1175" s="69">
        <v>-1.28</v>
      </c>
      <c r="O1175" s="69">
        <v>-1.2</v>
      </c>
      <c r="P1175" s="69">
        <v>18.079999999999998</v>
      </c>
      <c r="Q1175" s="27">
        <v>91</v>
      </c>
      <c r="R1175" s="69">
        <v>23.5</v>
      </c>
      <c r="S1175" s="69">
        <v>2282.9699999999998</v>
      </c>
      <c r="X1175" s="2">
        <f t="shared" si="54"/>
        <v>0.09</v>
      </c>
      <c r="Y1175" s="2">
        <f>SUMIF(收盤價!A:A,A1175,收盤價!C:C)</f>
        <v>29.4</v>
      </c>
      <c r="Z1175" s="2">
        <f t="shared" si="55"/>
        <v>6373033.6639999989</v>
      </c>
      <c r="AA1175" s="2">
        <f t="shared" si="56"/>
        <v>10363229.52</v>
      </c>
    </row>
    <row r="1176" spans="1:27" ht="14.5" customHeight="1">
      <c r="A1176" s="7" t="s">
        <v>6555</v>
      </c>
      <c r="B1176" s="8" t="s">
        <v>2579</v>
      </c>
      <c r="C1176" s="27">
        <v>1122237</v>
      </c>
      <c r="D1176" s="27">
        <v>1169291</v>
      </c>
      <c r="E1176" s="69">
        <v>-4.0199999999999996</v>
      </c>
      <c r="F1176" s="27">
        <v>121843</v>
      </c>
      <c r="G1176" s="27">
        <v>84799</v>
      </c>
      <c r="H1176" s="27">
        <v>-7497</v>
      </c>
      <c r="I1176" s="27">
        <v>19100</v>
      </c>
      <c r="J1176" s="27">
        <v>93159</v>
      </c>
      <c r="K1176" s="27">
        <v>85960</v>
      </c>
      <c r="L1176" s="69">
        <v>8.3699999999999992</v>
      </c>
      <c r="M1176" s="27">
        <v>468557</v>
      </c>
      <c r="N1176" s="69">
        <v>2.0499999999999998</v>
      </c>
      <c r="O1176" s="69">
        <v>2</v>
      </c>
      <c r="P1176" s="69">
        <v>20.32</v>
      </c>
      <c r="Q1176" s="27">
        <v>46</v>
      </c>
      <c r="R1176" s="69">
        <v>3.25</v>
      </c>
      <c r="S1176" s="69">
        <v>248.27</v>
      </c>
      <c r="X1176" s="2">
        <f t="shared" si="54"/>
        <v>0.54</v>
      </c>
      <c r="Y1176" s="2">
        <f>SUMIF(收盤價!A:A,A1176,收盤價!C:C)</f>
        <v>33.85</v>
      </c>
      <c r="Z1176" s="2">
        <f t="shared" si="55"/>
        <v>952107.82400000002</v>
      </c>
      <c r="AA1176" s="2">
        <f t="shared" si="56"/>
        <v>1586065.4450000001</v>
      </c>
    </row>
    <row r="1177" spans="1:27" ht="14.5" customHeight="1">
      <c r="A1177" s="7" t="s">
        <v>6556</v>
      </c>
      <c r="B1177" s="8" t="s">
        <v>2583</v>
      </c>
      <c r="C1177" s="27">
        <v>425339</v>
      </c>
      <c r="D1177" s="27">
        <v>411913</v>
      </c>
      <c r="E1177" s="69">
        <v>3.26</v>
      </c>
      <c r="F1177" s="27">
        <v>78834</v>
      </c>
      <c r="G1177" s="27">
        <v>68733</v>
      </c>
      <c r="H1177" s="27">
        <v>2608</v>
      </c>
      <c r="I1177" s="27">
        <v>2170</v>
      </c>
      <c r="J1177" s="27">
        <v>64471</v>
      </c>
      <c r="K1177" s="27">
        <v>57285</v>
      </c>
      <c r="L1177" s="69">
        <v>12.54</v>
      </c>
      <c r="M1177" s="27">
        <v>300188</v>
      </c>
      <c r="N1177" s="69">
        <v>2.15</v>
      </c>
      <c r="O1177" s="69">
        <v>1.91</v>
      </c>
      <c r="P1177" s="69">
        <v>28.25</v>
      </c>
      <c r="Q1177" s="27">
        <v>89</v>
      </c>
      <c r="R1177" s="69">
        <v>5.35</v>
      </c>
      <c r="S1177" s="69">
        <v>402.49</v>
      </c>
      <c r="X1177" s="2">
        <f t="shared" si="54"/>
        <v>0.11</v>
      </c>
      <c r="Y1177" s="2">
        <f>SUMIF(收盤價!A:A,A1177,收盤價!C:C)</f>
        <v>39</v>
      </c>
      <c r="Z1177" s="2">
        <f t="shared" si="55"/>
        <v>848031.1</v>
      </c>
      <c r="AA1177" s="2">
        <f t="shared" si="56"/>
        <v>1170733.2</v>
      </c>
    </row>
    <row r="1178" spans="1:27" ht="14.5" customHeight="1">
      <c r="A1178" s="7" t="s">
        <v>6557</v>
      </c>
      <c r="B1178" s="8" t="s">
        <v>2607</v>
      </c>
      <c r="C1178" s="27">
        <v>17554</v>
      </c>
      <c r="D1178" s="27">
        <v>2200</v>
      </c>
      <c r="E1178" s="69">
        <v>697.91</v>
      </c>
      <c r="F1178" s="27">
        <v>-28677</v>
      </c>
      <c r="G1178" s="27">
        <v>-35951</v>
      </c>
      <c r="H1178" s="27">
        <v>1161</v>
      </c>
      <c r="I1178" s="27">
        <v>5282</v>
      </c>
      <c r="J1178" s="27">
        <v>-23365</v>
      </c>
      <c r="K1178" s="27">
        <v>-22623</v>
      </c>
      <c r="L1178" s="69">
        <v>-3.28</v>
      </c>
      <c r="M1178" s="27">
        <v>556600</v>
      </c>
      <c r="N1178" s="69">
        <v>-0.42</v>
      </c>
      <c r="O1178" s="69">
        <v>-0.41</v>
      </c>
      <c r="P1178" s="69">
        <v>12.89</v>
      </c>
      <c r="Q1178" s="27">
        <v>97</v>
      </c>
      <c r="R1178" s="69">
        <v>12.77</v>
      </c>
      <c r="S1178" s="69">
        <v>1063.18</v>
      </c>
      <c r="X1178" s="2">
        <f t="shared" si="54"/>
        <v>0.03</v>
      </c>
      <c r="Y1178" s="2">
        <f>SUMIF(收盤價!A:A,A1178,收盤價!C:C)</f>
        <v>36</v>
      </c>
      <c r="Z1178" s="2">
        <f t="shared" si="55"/>
        <v>717457.4</v>
      </c>
      <c r="AA1178" s="2">
        <f t="shared" si="56"/>
        <v>2003760</v>
      </c>
    </row>
    <row r="1179" spans="1:27" ht="14.5" customHeight="1">
      <c r="A1179" s="7" t="s">
        <v>6558</v>
      </c>
      <c r="B1179" s="8" t="s">
        <v>2721</v>
      </c>
      <c r="C1179" s="27">
        <v>3216310</v>
      </c>
      <c r="D1179" s="27">
        <v>3066268</v>
      </c>
      <c r="E1179" s="69">
        <v>4.8899999999999997</v>
      </c>
      <c r="F1179" s="27">
        <v>166045</v>
      </c>
      <c r="G1179" s="27">
        <v>169341</v>
      </c>
      <c r="H1179" s="27">
        <v>276148</v>
      </c>
      <c r="I1179" s="27">
        <v>200906</v>
      </c>
      <c r="J1179" s="27">
        <v>379052</v>
      </c>
      <c r="K1179" s="27">
        <v>253517</v>
      </c>
      <c r="L1179" s="69">
        <v>49.52</v>
      </c>
      <c r="M1179" s="27">
        <v>600599</v>
      </c>
      <c r="N1179" s="69">
        <v>6.31</v>
      </c>
      <c r="O1179" s="69">
        <v>4.22</v>
      </c>
      <c r="P1179" s="69">
        <v>42.07</v>
      </c>
      <c r="Q1179" s="27">
        <v>46</v>
      </c>
      <c r="R1179" s="69">
        <v>0.86</v>
      </c>
      <c r="S1179" s="69">
        <v>35.99</v>
      </c>
      <c r="X1179" s="2">
        <f t="shared" si="54"/>
        <v>0.54</v>
      </c>
      <c r="Y1179" s="2">
        <f>SUMIF(收盤價!A:A,A1179,收盤價!C:C)</f>
        <v>67.5</v>
      </c>
      <c r="Z1179" s="2">
        <f t="shared" si="55"/>
        <v>2526719.9929999998</v>
      </c>
      <c r="AA1179" s="2">
        <f t="shared" si="56"/>
        <v>4054043.25</v>
      </c>
    </row>
    <row r="1180" spans="1:27" ht="14.5" customHeight="1">
      <c r="A1180" s="7" t="s">
        <v>6559</v>
      </c>
      <c r="B1180" s="8" t="s">
        <v>2915</v>
      </c>
      <c r="C1180" s="27">
        <v>63472</v>
      </c>
      <c r="D1180" s="27">
        <v>53716</v>
      </c>
      <c r="E1180" s="69">
        <v>18.16</v>
      </c>
      <c r="F1180" s="27">
        <v>-15810</v>
      </c>
      <c r="G1180" s="27">
        <v>-26683</v>
      </c>
      <c r="H1180" s="27">
        <v>244</v>
      </c>
      <c r="I1180" s="27">
        <v>3400</v>
      </c>
      <c r="J1180" s="27">
        <v>-16435</v>
      </c>
      <c r="K1180" s="27">
        <v>-23454</v>
      </c>
      <c r="L1180" s="69">
        <v>29.93</v>
      </c>
      <c r="M1180" s="27">
        <v>273000</v>
      </c>
      <c r="N1180" s="69">
        <v>-0.61</v>
      </c>
      <c r="O1180" s="69">
        <v>-0.88</v>
      </c>
      <c r="P1180" s="69">
        <v>9.34</v>
      </c>
      <c r="Q1180" s="27">
        <v>45</v>
      </c>
      <c r="R1180" s="69">
        <v>2.44</v>
      </c>
      <c r="S1180" s="69">
        <v>171.17</v>
      </c>
      <c r="X1180" s="2">
        <f t="shared" si="54"/>
        <v>0.55000000000000004</v>
      </c>
      <c r="Y1180" s="2">
        <f>SUMIF(收盤價!A:A,A1180,收盤價!C:C)</f>
        <v>30.65</v>
      </c>
      <c r="Z1180" s="2">
        <f t="shared" si="55"/>
        <v>254982</v>
      </c>
      <c r="AA1180" s="2">
        <f t="shared" si="56"/>
        <v>836745</v>
      </c>
    </row>
    <row r="1181" spans="1:27" ht="14.5" customHeight="1">
      <c r="A1181" s="7" t="s">
        <v>6560</v>
      </c>
      <c r="B1181" s="8" t="s">
        <v>3035</v>
      </c>
      <c r="C1181" s="27">
        <v>483297</v>
      </c>
      <c r="D1181" s="27">
        <v>495567</v>
      </c>
      <c r="E1181" s="69">
        <v>-2.48</v>
      </c>
      <c r="F1181" s="27">
        <v>88306</v>
      </c>
      <c r="G1181" s="27">
        <v>90997</v>
      </c>
      <c r="H1181" s="27">
        <v>3025</v>
      </c>
      <c r="I1181" s="27">
        <v>5272</v>
      </c>
      <c r="J1181" s="27">
        <v>72016</v>
      </c>
      <c r="K1181" s="27">
        <v>76738</v>
      </c>
      <c r="L1181" s="69">
        <v>-6.15</v>
      </c>
      <c r="M1181" s="27">
        <v>222000</v>
      </c>
      <c r="N1181" s="69">
        <v>3.24</v>
      </c>
      <c r="O1181" s="69">
        <v>3.46</v>
      </c>
      <c r="P1181" s="69">
        <v>21.78</v>
      </c>
      <c r="Q1181" s="27">
        <v>77</v>
      </c>
      <c r="R1181" s="69">
        <v>2.37</v>
      </c>
      <c r="S1181" s="69">
        <v>205.54</v>
      </c>
      <c r="X1181" s="2">
        <f t="shared" si="54"/>
        <v>0.23</v>
      </c>
      <c r="Y1181" s="2">
        <f>SUMIF(收盤價!A:A,A1181,收盤價!C:C)</f>
        <v>40.25</v>
      </c>
      <c r="Z1181" s="2">
        <f t="shared" si="55"/>
        <v>483516</v>
      </c>
      <c r="AA1181" s="2">
        <f t="shared" si="56"/>
        <v>893550</v>
      </c>
    </row>
    <row r="1182" spans="1:27" ht="14.5" customHeight="1">
      <c r="A1182" s="7" t="s">
        <v>6561</v>
      </c>
      <c r="B1182" s="8" t="s">
        <v>3103</v>
      </c>
      <c r="C1182" s="27">
        <v>305692</v>
      </c>
      <c r="D1182" s="27">
        <v>26236</v>
      </c>
      <c r="E1182" s="28" t="s">
        <v>6378</v>
      </c>
      <c r="F1182" s="27">
        <v>-849223</v>
      </c>
      <c r="G1182" s="27">
        <v>-1054890</v>
      </c>
      <c r="H1182" s="27">
        <v>7079</v>
      </c>
      <c r="I1182" s="27">
        <v>15722</v>
      </c>
      <c r="J1182" s="27">
        <v>-842994</v>
      </c>
      <c r="K1182" s="27">
        <v>-1039760</v>
      </c>
      <c r="L1182" s="69">
        <v>18.920000000000002</v>
      </c>
      <c r="M1182" s="27">
        <v>2250438</v>
      </c>
      <c r="N1182" s="69">
        <v>-3.85</v>
      </c>
      <c r="O1182" s="69">
        <v>-4.76</v>
      </c>
      <c r="P1182" s="69">
        <v>10.02</v>
      </c>
      <c r="Q1182" s="27">
        <v>76</v>
      </c>
      <c r="R1182" s="69">
        <v>5.7</v>
      </c>
      <c r="S1182" s="69">
        <v>477.71</v>
      </c>
      <c r="X1182" s="2">
        <f t="shared" si="54"/>
        <v>0.24</v>
      </c>
      <c r="Y1182" s="2">
        <f>SUMIF(收盤價!A:A,A1182,收盤價!C:C)</f>
        <v>110</v>
      </c>
      <c r="Z1182" s="2">
        <f t="shared" si="55"/>
        <v>2254938.8759999997</v>
      </c>
      <c r="AA1182" s="2">
        <f t="shared" si="56"/>
        <v>24754818</v>
      </c>
    </row>
    <row r="1183" spans="1:27" ht="14.5" customHeight="1">
      <c r="A1183" s="7" t="s">
        <v>6562</v>
      </c>
      <c r="B1183" s="8" t="s">
        <v>3107</v>
      </c>
      <c r="C1183" s="27">
        <v>16684</v>
      </c>
      <c r="D1183" s="27">
        <v>17234</v>
      </c>
      <c r="E1183" s="69">
        <v>-3.19</v>
      </c>
      <c r="F1183" s="27">
        <v>-299707</v>
      </c>
      <c r="G1183" s="27">
        <v>-230952</v>
      </c>
      <c r="H1183" s="27">
        <v>-11717</v>
      </c>
      <c r="I1183" s="27">
        <v>6487</v>
      </c>
      <c r="J1183" s="27">
        <v>-311424</v>
      </c>
      <c r="K1183" s="27">
        <v>-222075</v>
      </c>
      <c r="L1183" s="69">
        <v>-40.229999999999997</v>
      </c>
      <c r="M1183" s="27">
        <v>1004940</v>
      </c>
      <c r="N1183" s="69">
        <v>-3.82</v>
      </c>
      <c r="O1183" s="69">
        <v>-2.86</v>
      </c>
      <c r="P1183" s="69">
        <v>15.61</v>
      </c>
      <c r="Q1183" s="27">
        <v>59</v>
      </c>
      <c r="R1183" s="69">
        <v>1.74</v>
      </c>
      <c r="S1183" s="69">
        <v>139.99</v>
      </c>
      <c r="X1183" s="2">
        <f t="shared" si="54"/>
        <v>0.41</v>
      </c>
      <c r="Y1183" s="2">
        <f>SUMIF(收盤價!A:A,A1183,收盤價!C:C)</f>
        <v>18.399999999999999</v>
      </c>
      <c r="Z1183" s="2">
        <f t="shared" si="55"/>
        <v>1568711.3399999999</v>
      </c>
      <c r="AA1183" s="2">
        <f t="shared" si="56"/>
        <v>1849089.6</v>
      </c>
    </row>
    <row r="1184" spans="1:27" ht="14.5" customHeight="1">
      <c r="A1184" s="7" t="s">
        <v>6563</v>
      </c>
      <c r="B1184" s="8" t="s">
        <v>3113</v>
      </c>
      <c r="C1184" s="27">
        <v>6601612</v>
      </c>
      <c r="D1184" s="27">
        <v>4900729</v>
      </c>
      <c r="E1184" s="69">
        <v>34.71</v>
      </c>
      <c r="F1184" s="27">
        <v>142371</v>
      </c>
      <c r="G1184" s="27">
        <v>124532</v>
      </c>
      <c r="H1184" s="27">
        <v>28724</v>
      </c>
      <c r="I1184" s="27">
        <v>10328</v>
      </c>
      <c r="J1184" s="27">
        <v>135985</v>
      </c>
      <c r="K1184" s="27">
        <v>106002</v>
      </c>
      <c r="L1184" s="69">
        <v>28.29</v>
      </c>
      <c r="M1184" s="27">
        <v>432271</v>
      </c>
      <c r="N1184" s="69">
        <v>3.25</v>
      </c>
      <c r="O1184" s="69">
        <v>2.66</v>
      </c>
      <c r="P1184" s="69">
        <v>27.77</v>
      </c>
      <c r="Q1184" s="27">
        <v>26</v>
      </c>
      <c r="R1184" s="69">
        <v>1.28</v>
      </c>
      <c r="S1184" s="69">
        <v>50.57</v>
      </c>
      <c r="X1184" s="2">
        <f t="shared" si="54"/>
        <v>0.74</v>
      </c>
      <c r="Y1184" s="2">
        <f>SUMIF(收盤價!A:A,A1184,收盤價!C:C)</f>
        <v>81.7</v>
      </c>
      <c r="Z1184" s="2">
        <f t="shared" si="55"/>
        <v>1200416.567</v>
      </c>
      <c r="AA1184" s="2">
        <f t="shared" si="56"/>
        <v>3531654.0700000003</v>
      </c>
    </row>
    <row r="1185" spans="1:27" ht="14.5" customHeight="1">
      <c r="A1185" s="7" t="s">
        <v>6564</v>
      </c>
      <c r="B1185" s="8" t="s">
        <v>3117</v>
      </c>
      <c r="C1185" s="27">
        <v>1529216</v>
      </c>
      <c r="D1185" s="27">
        <v>1372428</v>
      </c>
      <c r="E1185" s="69">
        <v>11.42</v>
      </c>
      <c r="F1185" s="27">
        <v>344846</v>
      </c>
      <c r="G1185" s="27">
        <v>187390</v>
      </c>
      <c r="H1185" s="27">
        <v>-19496</v>
      </c>
      <c r="I1185" s="27">
        <v>299167</v>
      </c>
      <c r="J1185" s="27">
        <v>305031</v>
      </c>
      <c r="K1185" s="27">
        <v>442843</v>
      </c>
      <c r="L1185" s="69">
        <v>-31.12</v>
      </c>
      <c r="M1185" s="27">
        <v>394272</v>
      </c>
      <c r="N1185" s="69">
        <v>7.9</v>
      </c>
      <c r="O1185" s="69">
        <v>12.44</v>
      </c>
      <c r="P1185" s="69">
        <v>42.02</v>
      </c>
      <c r="Q1185" s="27">
        <v>48</v>
      </c>
      <c r="R1185" s="69">
        <v>2.2400000000000002</v>
      </c>
      <c r="S1185" s="69">
        <v>166.84</v>
      </c>
      <c r="X1185" s="2">
        <f t="shared" si="54"/>
        <v>0.52</v>
      </c>
      <c r="Y1185" s="2">
        <f>SUMIF(收盤價!A:A,A1185,收盤價!C:C)</f>
        <v>142.5</v>
      </c>
      <c r="Z1185" s="2">
        <f t="shared" si="55"/>
        <v>1656730.9440000001</v>
      </c>
      <c r="AA1185" s="2">
        <f t="shared" si="56"/>
        <v>5618376</v>
      </c>
    </row>
    <row r="1186" spans="1:27" ht="14.5" customHeight="1">
      <c r="A1186" s="7" t="s">
        <v>6565</v>
      </c>
      <c r="B1186" s="8" t="s">
        <v>3127</v>
      </c>
      <c r="C1186" s="27">
        <v>300</v>
      </c>
      <c r="D1186" s="27">
        <v>733</v>
      </c>
      <c r="E1186" s="69">
        <v>-59.07</v>
      </c>
      <c r="F1186" s="27">
        <v>-393800</v>
      </c>
      <c r="G1186" s="27">
        <v>-387468</v>
      </c>
      <c r="H1186" s="27">
        <v>4098</v>
      </c>
      <c r="I1186" s="27">
        <v>9348</v>
      </c>
      <c r="J1186" s="27">
        <v>-391426</v>
      </c>
      <c r="K1186" s="27">
        <v>-375850</v>
      </c>
      <c r="L1186" s="69">
        <v>-4.1399999999999997</v>
      </c>
      <c r="M1186" s="27">
        <v>744986</v>
      </c>
      <c r="N1186" s="69">
        <v>-5.26</v>
      </c>
      <c r="O1186" s="69">
        <v>-5.05</v>
      </c>
      <c r="P1186" s="69">
        <v>11.12</v>
      </c>
      <c r="Q1186" s="27">
        <v>95</v>
      </c>
      <c r="R1186" s="69">
        <v>28.97</v>
      </c>
      <c r="S1186" s="69">
        <v>2857.34</v>
      </c>
      <c r="X1186" s="2">
        <f t="shared" si="54"/>
        <v>0.05</v>
      </c>
      <c r="Y1186" s="2">
        <f>SUMIF(收盤價!A:A,A1186,收盤價!C:C)</f>
        <v>64.5</v>
      </c>
      <c r="Z1186" s="2">
        <f t="shared" si="55"/>
        <v>828424.43199999991</v>
      </c>
      <c r="AA1186" s="2">
        <f t="shared" si="56"/>
        <v>4805159.7</v>
      </c>
    </row>
    <row r="1187" spans="1:27" ht="14.5" customHeight="1">
      <c r="A1187" s="7" t="s">
        <v>6566</v>
      </c>
      <c r="B1187" s="8" t="s">
        <v>3131</v>
      </c>
      <c r="C1187" s="27">
        <v>1540064</v>
      </c>
      <c r="D1187" s="27">
        <v>1689124</v>
      </c>
      <c r="E1187" s="69">
        <v>-8.82</v>
      </c>
      <c r="F1187" s="27">
        <v>85799</v>
      </c>
      <c r="G1187" s="27">
        <v>282086</v>
      </c>
      <c r="H1187" s="27">
        <v>6019</v>
      </c>
      <c r="I1187" s="27">
        <v>3835</v>
      </c>
      <c r="J1187" s="27">
        <v>71012</v>
      </c>
      <c r="K1187" s="27">
        <v>221827</v>
      </c>
      <c r="L1187" s="69">
        <v>-67.989999999999995</v>
      </c>
      <c r="M1187" s="27">
        <v>466670</v>
      </c>
      <c r="N1187" s="69">
        <v>1.52</v>
      </c>
      <c r="O1187" s="69">
        <v>4.75</v>
      </c>
      <c r="P1187" s="69">
        <v>26.89</v>
      </c>
      <c r="Q1187" s="27">
        <v>83</v>
      </c>
      <c r="R1187" s="69">
        <v>7.5</v>
      </c>
      <c r="S1187" s="69">
        <v>489.6</v>
      </c>
      <c r="X1187" s="2">
        <f t="shared" si="54"/>
        <v>0.17</v>
      </c>
      <c r="Y1187" s="2">
        <f>SUMIF(收盤價!A:A,A1187,收盤價!C:C)</f>
        <v>35.700000000000003</v>
      </c>
      <c r="Z1187" s="2">
        <f t="shared" si="55"/>
        <v>1254875.6300000001</v>
      </c>
      <c r="AA1187" s="2">
        <f t="shared" si="56"/>
        <v>1666011.9000000001</v>
      </c>
    </row>
    <row r="1188" spans="1:27" ht="14.5" customHeight="1">
      <c r="A1188" s="7" t="s">
        <v>6567</v>
      </c>
      <c r="B1188" s="8" t="s">
        <v>3135</v>
      </c>
      <c r="C1188" s="27">
        <v>453763</v>
      </c>
      <c r="D1188" s="27">
        <v>673529</v>
      </c>
      <c r="E1188" s="69">
        <v>-32.630000000000003</v>
      </c>
      <c r="F1188" s="27">
        <v>-257294</v>
      </c>
      <c r="G1188" s="27">
        <v>176274</v>
      </c>
      <c r="H1188" s="27">
        <v>3223</v>
      </c>
      <c r="I1188" s="27">
        <v>39012</v>
      </c>
      <c r="J1188" s="27">
        <v>-261985</v>
      </c>
      <c r="K1188" s="27">
        <v>256601</v>
      </c>
      <c r="L1188" s="69">
        <v>-202.1</v>
      </c>
      <c r="M1188" s="27">
        <v>664952</v>
      </c>
      <c r="N1188" s="69">
        <v>-3.96</v>
      </c>
      <c r="O1188" s="69">
        <v>4.49</v>
      </c>
      <c r="P1188" s="69">
        <v>30.14</v>
      </c>
      <c r="Q1188" s="27">
        <v>80</v>
      </c>
      <c r="R1188" s="69">
        <v>11.41</v>
      </c>
      <c r="S1188" s="69">
        <v>1102.81</v>
      </c>
      <c r="X1188" s="2">
        <f t="shared" si="54"/>
        <v>0.2</v>
      </c>
      <c r="Y1188" s="2">
        <f>SUMIF(收盤價!A:A,A1188,收盤價!C:C)</f>
        <v>63.2</v>
      </c>
      <c r="Z1188" s="2">
        <f t="shared" si="55"/>
        <v>2004165.3280000002</v>
      </c>
      <c r="AA1188" s="2">
        <f t="shared" si="56"/>
        <v>4202496.6399999997</v>
      </c>
    </row>
    <row r="1189" spans="1:27" ht="14.5" customHeight="1">
      <c r="A1189" s="7" t="s">
        <v>6568</v>
      </c>
      <c r="B1189" s="8" t="s">
        <v>3151</v>
      </c>
      <c r="C1189" s="27">
        <v>1014212</v>
      </c>
      <c r="D1189" s="27">
        <v>962998</v>
      </c>
      <c r="E1189" s="69">
        <v>5.32</v>
      </c>
      <c r="F1189" s="27">
        <v>235428</v>
      </c>
      <c r="G1189" s="27">
        <v>70812</v>
      </c>
      <c r="H1189" s="27">
        <v>-7224</v>
      </c>
      <c r="I1189" s="27">
        <v>-7562</v>
      </c>
      <c r="J1189" s="27">
        <v>191797</v>
      </c>
      <c r="K1189" s="27">
        <v>24839</v>
      </c>
      <c r="L1189" s="69">
        <v>672.16</v>
      </c>
      <c r="M1189" s="27">
        <v>450477</v>
      </c>
      <c r="N1189" s="69">
        <v>4.26</v>
      </c>
      <c r="O1189" s="69">
        <v>0.55000000000000004</v>
      </c>
      <c r="P1189" s="69">
        <v>41.82</v>
      </c>
      <c r="Q1189" s="27">
        <v>92</v>
      </c>
      <c r="R1189" s="69">
        <v>14.48</v>
      </c>
      <c r="S1189" s="69">
        <v>1365.65</v>
      </c>
      <c r="X1189" s="2">
        <f t="shared" si="54"/>
        <v>0.08</v>
      </c>
      <c r="Y1189" s="2">
        <f>SUMIF(收盤價!A:A,A1189,收盤價!C:C)</f>
        <v>101.5</v>
      </c>
      <c r="Z1189" s="2">
        <f t="shared" si="55"/>
        <v>1883894.814</v>
      </c>
      <c r="AA1189" s="2">
        <f t="shared" si="56"/>
        <v>4572341.55</v>
      </c>
    </row>
    <row r="1190" spans="1:27" ht="14.5" customHeight="1">
      <c r="A1190" s="7" t="s">
        <v>6138</v>
      </c>
      <c r="B1190" s="8" t="s">
        <v>3153</v>
      </c>
      <c r="C1190" s="27">
        <v>661107</v>
      </c>
      <c r="D1190" s="27">
        <v>606308</v>
      </c>
      <c r="E1190" s="69">
        <v>9.0399999999999991</v>
      </c>
      <c r="F1190" s="27">
        <v>114074</v>
      </c>
      <c r="G1190" s="27">
        <v>77171</v>
      </c>
      <c r="H1190" s="27">
        <v>-2336</v>
      </c>
      <c r="I1190" s="27">
        <v>3172</v>
      </c>
      <c r="J1190" s="27">
        <v>91076</v>
      </c>
      <c r="K1190" s="27">
        <v>69886</v>
      </c>
      <c r="L1190" s="69">
        <v>30.32</v>
      </c>
      <c r="M1190" s="27">
        <v>242760</v>
      </c>
      <c r="N1190" s="69">
        <v>4.26</v>
      </c>
      <c r="O1190" s="69">
        <v>3.28</v>
      </c>
      <c r="P1190" s="69">
        <v>28.9</v>
      </c>
      <c r="Q1190" s="27">
        <v>78</v>
      </c>
      <c r="R1190" s="69">
        <v>5.23</v>
      </c>
      <c r="S1190" s="69">
        <v>418.08</v>
      </c>
      <c r="X1190" s="2">
        <f t="shared" si="54"/>
        <v>0.22</v>
      </c>
      <c r="Y1190" s="2">
        <f>SUMIF(收盤價!A:A,A1190,收盤價!C:C)</f>
        <v>162.44</v>
      </c>
      <c r="Z1190" s="2">
        <f t="shared" si="55"/>
        <v>701576.4</v>
      </c>
      <c r="AA1190" s="2">
        <f t="shared" si="56"/>
        <v>3943393.44</v>
      </c>
    </row>
    <row r="1191" spans="1:27" ht="14.5" customHeight="1">
      <c r="A1191" s="7" t="s">
        <v>6569</v>
      </c>
      <c r="B1191" s="8" t="s">
        <v>3159</v>
      </c>
      <c r="C1191" s="27">
        <v>172044</v>
      </c>
      <c r="D1191" s="27">
        <v>60615</v>
      </c>
      <c r="E1191" s="69">
        <v>183.83</v>
      </c>
      <c r="F1191" s="27">
        <v>-149963</v>
      </c>
      <c r="G1191" s="27">
        <v>-138099</v>
      </c>
      <c r="H1191" s="27">
        <v>-76288</v>
      </c>
      <c r="I1191" s="27">
        <v>87721</v>
      </c>
      <c r="J1191" s="27">
        <v>-240938</v>
      </c>
      <c r="K1191" s="27">
        <v>-50378</v>
      </c>
      <c r="L1191" s="69">
        <v>-378.26</v>
      </c>
      <c r="M1191" s="27">
        <v>1175648</v>
      </c>
      <c r="N1191" s="69">
        <v>-2.0499999999999998</v>
      </c>
      <c r="O1191" s="69">
        <v>-0.51</v>
      </c>
      <c r="P1191" s="69">
        <v>8.9</v>
      </c>
      <c r="Q1191" s="27">
        <v>79</v>
      </c>
      <c r="R1191" s="69">
        <v>3.52</v>
      </c>
      <c r="S1191" s="69">
        <v>343.37</v>
      </c>
      <c r="X1191" s="2">
        <f t="shared" si="54"/>
        <v>0.21</v>
      </c>
      <c r="Y1191" s="2">
        <f>SUMIF(收盤價!A:A,A1191,收盤價!C:C)</f>
        <v>34.4</v>
      </c>
      <c r="Z1191" s="2">
        <f t="shared" si="55"/>
        <v>1046326.7200000001</v>
      </c>
      <c r="AA1191" s="2">
        <f t="shared" si="56"/>
        <v>4044229.1199999996</v>
      </c>
    </row>
    <row r="1192" spans="1:27" ht="14.5" customHeight="1">
      <c r="A1192" s="7" t="s">
        <v>6570</v>
      </c>
      <c r="B1192" s="8" t="s">
        <v>3165</v>
      </c>
      <c r="C1192" s="27">
        <v>1120</v>
      </c>
      <c r="D1192" s="27">
        <v>0</v>
      </c>
      <c r="E1192" s="28" t="s">
        <v>6571</v>
      </c>
      <c r="F1192" s="27">
        <v>-603912</v>
      </c>
      <c r="G1192" s="27">
        <v>-466336</v>
      </c>
      <c r="H1192" s="27">
        <v>-13806</v>
      </c>
      <c r="I1192" s="27">
        <v>-10004</v>
      </c>
      <c r="J1192" s="27">
        <v>-617718</v>
      </c>
      <c r="K1192" s="27">
        <v>-476340</v>
      </c>
      <c r="L1192" s="69">
        <v>-29.68</v>
      </c>
      <c r="M1192" s="27">
        <v>1690056</v>
      </c>
      <c r="N1192" s="69">
        <v>-3.97</v>
      </c>
      <c r="O1192" s="69">
        <v>-3.17</v>
      </c>
      <c r="P1192" s="69">
        <v>8.09</v>
      </c>
      <c r="Q1192" s="27">
        <v>59</v>
      </c>
      <c r="R1192" s="69">
        <v>2.2799999999999998</v>
      </c>
      <c r="S1192" s="69">
        <v>224.09</v>
      </c>
      <c r="X1192" s="2">
        <f t="shared" si="54"/>
        <v>0.41</v>
      </c>
      <c r="Y1192" s="2">
        <f>SUMIF(收盤價!A:A,A1192,收盤價!C:C)</f>
        <v>28.5</v>
      </c>
      <c r="Z1192" s="2">
        <f t="shared" si="55"/>
        <v>1367255.304</v>
      </c>
      <c r="AA1192" s="2">
        <f t="shared" si="56"/>
        <v>4816659.5999999996</v>
      </c>
    </row>
    <row r="1193" spans="1:27" ht="14.5" customHeight="1">
      <c r="A1193" s="7" t="s">
        <v>6572</v>
      </c>
      <c r="B1193" s="8" t="s">
        <v>3177</v>
      </c>
      <c r="C1193" s="27">
        <v>1482944</v>
      </c>
      <c r="D1193" s="27">
        <v>1424672</v>
      </c>
      <c r="E1193" s="69">
        <v>4.09</v>
      </c>
      <c r="F1193" s="27">
        <v>236626</v>
      </c>
      <c r="G1193" s="27">
        <v>181657</v>
      </c>
      <c r="H1193" s="27">
        <v>53284</v>
      </c>
      <c r="I1193" s="27">
        <v>46254</v>
      </c>
      <c r="J1193" s="27">
        <v>239377</v>
      </c>
      <c r="K1193" s="27">
        <v>194906</v>
      </c>
      <c r="L1193" s="69">
        <v>22.82</v>
      </c>
      <c r="M1193" s="27">
        <v>220082</v>
      </c>
      <c r="N1193" s="69">
        <v>10.88</v>
      </c>
      <c r="O1193" s="69">
        <v>8.86</v>
      </c>
      <c r="P1193" s="69">
        <v>45.8</v>
      </c>
      <c r="Q1193" s="27">
        <v>72</v>
      </c>
      <c r="R1193" s="69">
        <v>2.69</v>
      </c>
      <c r="S1193" s="69">
        <v>203.65</v>
      </c>
      <c r="X1193" s="2">
        <f t="shared" si="54"/>
        <v>0.28000000000000003</v>
      </c>
      <c r="Y1193" s="2">
        <f>SUMIF(收盤價!A:A,A1193,收盤價!C:C)</f>
        <v>157</v>
      </c>
      <c r="Z1193" s="2">
        <f t="shared" si="55"/>
        <v>1007975.5599999999</v>
      </c>
      <c r="AA1193" s="2">
        <f t="shared" si="56"/>
        <v>3455287.4</v>
      </c>
    </row>
    <row r="1194" spans="1:27" ht="14.5" customHeight="1">
      <c r="A1194" s="7" t="s">
        <v>6573</v>
      </c>
      <c r="B1194" s="8" t="s">
        <v>3181</v>
      </c>
      <c r="C1194" s="27">
        <v>1064096</v>
      </c>
      <c r="D1194" s="27">
        <v>990815</v>
      </c>
      <c r="E1194" s="69">
        <v>7.4</v>
      </c>
      <c r="F1194" s="27">
        <v>109493</v>
      </c>
      <c r="G1194" s="27">
        <v>132285</v>
      </c>
      <c r="H1194" s="27">
        <v>2896</v>
      </c>
      <c r="I1194" s="27">
        <v>3616</v>
      </c>
      <c r="J1194" s="27">
        <v>88934</v>
      </c>
      <c r="K1194" s="27">
        <v>108774</v>
      </c>
      <c r="L1194" s="69">
        <v>-18.239999999999998</v>
      </c>
      <c r="M1194" s="27">
        <v>219900</v>
      </c>
      <c r="N1194" s="69">
        <v>4.04</v>
      </c>
      <c r="O1194" s="69">
        <v>4.95</v>
      </c>
      <c r="P1194" s="69">
        <v>28.48</v>
      </c>
      <c r="Q1194" s="27">
        <v>75</v>
      </c>
      <c r="R1194" s="69">
        <v>3.93</v>
      </c>
      <c r="S1194" s="69">
        <v>351.98</v>
      </c>
      <c r="X1194" s="2">
        <f t="shared" si="54"/>
        <v>0.25</v>
      </c>
      <c r="Y1194" s="2">
        <f>SUMIF(收盤價!A:A,A1194,收盤價!C:C)</f>
        <v>0</v>
      </c>
      <c r="Z1194" s="2">
        <f t="shared" si="55"/>
        <v>626275.19999999995</v>
      </c>
      <c r="AA1194" s="2">
        <f t="shared" si="56"/>
        <v>0</v>
      </c>
    </row>
    <row r="1195" spans="1:27" ht="14.5" customHeight="1">
      <c r="A1195" s="7" t="s">
        <v>6574</v>
      </c>
      <c r="B1195" s="8" t="s">
        <v>3183</v>
      </c>
      <c r="C1195" s="27">
        <v>75198</v>
      </c>
      <c r="D1195" s="27">
        <v>26036</v>
      </c>
      <c r="E1195" s="69">
        <v>188.82</v>
      </c>
      <c r="F1195" s="27">
        <v>-470125</v>
      </c>
      <c r="G1195" s="27">
        <v>-545000</v>
      </c>
      <c r="H1195" s="27">
        <v>145</v>
      </c>
      <c r="I1195" s="27">
        <v>-2251</v>
      </c>
      <c r="J1195" s="27">
        <v>-487212</v>
      </c>
      <c r="K1195" s="27">
        <v>-551515</v>
      </c>
      <c r="L1195" s="69">
        <v>11.66</v>
      </c>
      <c r="M1195" s="27">
        <v>1003337</v>
      </c>
      <c r="N1195" s="69">
        <v>-5.08</v>
      </c>
      <c r="O1195" s="69">
        <v>-6.55</v>
      </c>
      <c r="P1195" s="69">
        <v>8.93</v>
      </c>
      <c r="Q1195" s="27">
        <v>89</v>
      </c>
      <c r="R1195" s="69">
        <v>8.6999999999999993</v>
      </c>
      <c r="S1195" s="69">
        <v>788.35</v>
      </c>
      <c r="X1195" s="2">
        <f t="shared" si="54"/>
        <v>0.11</v>
      </c>
      <c r="Y1195" s="2">
        <f>SUMIF(收盤價!A:A,A1195,收盤價!C:C)</f>
        <v>58.3</v>
      </c>
      <c r="Z1195" s="2">
        <f t="shared" si="55"/>
        <v>895979.94099999999</v>
      </c>
      <c r="AA1195" s="2">
        <f t="shared" si="56"/>
        <v>5849454.709999999</v>
      </c>
    </row>
    <row r="1196" spans="1:27" ht="14.5" customHeight="1">
      <c r="A1196" s="7" t="s">
        <v>6164</v>
      </c>
      <c r="B1196" s="8" t="s">
        <v>3189</v>
      </c>
      <c r="C1196" s="27">
        <v>476085</v>
      </c>
      <c r="D1196" s="27">
        <v>282209</v>
      </c>
      <c r="E1196" s="69">
        <v>68.7</v>
      </c>
      <c r="F1196" s="27">
        <v>-847671</v>
      </c>
      <c r="G1196" s="27">
        <v>-376477</v>
      </c>
      <c r="H1196" s="27">
        <v>-13254</v>
      </c>
      <c r="I1196" s="27">
        <v>8655</v>
      </c>
      <c r="J1196" s="27">
        <v>-860925</v>
      </c>
      <c r="K1196" s="27">
        <v>-367788</v>
      </c>
      <c r="L1196" s="69">
        <v>-134.08000000000001</v>
      </c>
      <c r="M1196" s="27">
        <v>1693041</v>
      </c>
      <c r="N1196" s="69">
        <v>-5.39</v>
      </c>
      <c r="O1196" s="69">
        <v>-2.97</v>
      </c>
      <c r="P1196" s="69">
        <v>10.96</v>
      </c>
      <c r="Q1196" s="27">
        <v>54</v>
      </c>
      <c r="R1196" s="69">
        <v>2.1800000000000002</v>
      </c>
      <c r="S1196" s="69">
        <v>112.01</v>
      </c>
      <c r="X1196" s="2">
        <f t="shared" si="54"/>
        <v>0.46</v>
      </c>
      <c r="Y1196" s="2">
        <f>SUMIF(收盤價!A:A,A1196,收盤價!C:C)</f>
        <v>62.599999999999994</v>
      </c>
      <c r="Z1196" s="2">
        <f t="shared" si="55"/>
        <v>1855572.9360000002</v>
      </c>
      <c r="AA1196" s="2">
        <f t="shared" si="56"/>
        <v>10598436.66</v>
      </c>
    </row>
    <row r="1197" spans="1:27" ht="14.5" customHeight="1">
      <c r="A1197" s="7" t="s">
        <v>6575</v>
      </c>
      <c r="B1197" s="8" t="s">
        <v>3203</v>
      </c>
      <c r="C1197" s="27">
        <v>419364</v>
      </c>
      <c r="D1197" s="27">
        <v>329284</v>
      </c>
      <c r="E1197" s="69">
        <v>27.36</v>
      </c>
      <c r="F1197" s="27">
        <v>105551</v>
      </c>
      <c r="G1197" s="27">
        <v>86186</v>
      </c>
      <c r="H1197" s="27">
        <v>3455</v>
      </c>
      <c r="I1197" s="27">
        <v>14261</v>
      </c>
      <c r="J1197" s="27">
        <v>81021</v>
      </c>
      <c r="K1197" s="27">
        <v>70453</v>
      </c>
      <c r="L1197" s="69">
        <v>15</v>
      </c>
      <c r="M1197" s="27">
        <v>337445</v>
      </c>
      <c r="N1197" s="69">
        <v>2.4300000000000002</v>
      </c>
      <c r="O1197" s="69">
        <v>2.23</v>
      </c>
      <c r="P1197" s="69">
        <v>18.48</v>
      </c>
      <c r="Q1197" s="27">
        <v>79</v>
      </c>
      <c r="R1197" s="69">
        <v>4.9400000000000004</v>
      </c>
      <c r="S1197" s="69">
        <v>442.23</v>
      </c>
      <c r="X1197" s="2">
        <f t="shared" si="54"/>
        <v>0.21</v>
      </c>
      <c r="Y1197" s="2">
        <f>SUMIF(收盤價!A:A,A1197,收盤價!C:C)</f>
        <v>86.9</v>
      </c>
      <c r="Z1197" s="2">
        <f t="shared" si="55"/>
        <v>623598.3600000001</v>
      </c>
      <c r="AA1197" s="2">
        <f t="shared" si="56"/>
        <v>2932397.0500000003</v>
      </c>
    </row>
    <row r="1198" spans="1:27" ht="14.5" customHeight="1">
      <c r="A1198" s="7" t="s">
        <v>6576</v>
      </c>
      <c r="B1198" s="8" t="s">
        <v>3207</v>
      </c>
      <c r="C1198" s="27">
        <v>509446</v>
      </c>
      <c r="D1198" s="27">
        <v>459396</v>
      </c>
      <c r="E1198" s="69">
        <v>10.89</v>
      </c>
      <c r="F1198" s="27">
        <v>66722</v>
      </c>
      <c r="G1198" s="27">
        <v>54066</v>
      </c>
      <c r="H1198" s="27">
        <v>8494</v>
      </c>
      <c r="I1198" s="27">
        <v>-2031</v>
      </c>
      <c r="J1198" s="27">
        <v>62671</v>
      </c>
      <c r="K1198" s="27">
        <v>47350</v>
      </c>
      <c r="L1198" s="69">
        <v>32.36</v>
      </c>
      <c r="M1198" s="27">
        <v>212152</v>
      </c>
      <c r="N1198" s="69">
        <v>2.96</v>
      </c>
      <c r="O1198" s="69">
        <v>2.2599999999999998</v>
      </c>
      <c r="P1198" s="69">
        <v>24.24</v>
      </c>
      <c r="Q1198" s="27">
        <v>70</v>
      </c>
      <c r="R1198" s="69">
        <v>3.28</v>
      </c>
      <c r="S1198" s="69">
        <v>288.97000000000003</v>
      </c>
      <c r="X1198" s="2">
        <f t="shared" si="54"/>
        <v>0.3</v>
      </c>
      <c r="Y1198" s="2">
        <f>SUMIF(收盤價!A:A,A1198,收盤價!C:C)</f>
        <v>70.900000000000006</v>
      </c>
      <c r="Z1198" s="2">
        <f t="shared" si="55"/>
        <v>514256.44799999997</v>
      </c>
      <c r="AA1198" s="2">
        <f t="shared" si="56"/>
        <v>1504157.6800000002</v>
      </c>
    </row>
    <row r="1199" spans="1:27" ht="14.5" customHeight="1">
      <c r="A1199" s="7" t="s">
        <v>6187</v>
      </c>
      <c r="B1199" s="8" t="s">
        <v>3221</v>
      </c>
      <c r="C1199" s="27">
        <v>16543</v>
      </c>
      <c r="D1199" s="27">
        <v>1004</v>
      </c>
      <c r="E1199" s="28" t="s">
        <v>6378</v>
      </c>
      <c r="F1199" s="27">
        <v>-73053</v>
      </c>
      <c r="G1199" s="27">
        <v>-67912</v>
      </c>
      <c r="H1199" s="27">
        <v>1754</v>
      </c>
      <c r="I1199" s="27">
        <v>7371</v>
      </c>
      <c r="J1199" s="27">
        <v>-71299</v>
      </c>
      <c r="K1199" s="27">
        <v>-60541</v>
      </c>
      <c r="L1199" s="69">
        <v>-17.77</v>
      </c>
      <c r="M1199" s="27">
        <v>330000</v>
      </c>
      <c r="N1199" s="69">
        <v>-2.25</v>
      </c>
      <c r="O1199" s="69">
        <v>-2.02</v>
      </c>
      <c r="P1199" s="69">
        <v>15.89</v>
      </c>
      <c r="Q1199" s="27">
        <v>79</v>
      </c>
      <c r="R1199" s="69">
        <v>6.72</v>
      </c>
      <c r="S1199" s="69">
        <v>637.4</v>
      </c>
      <c r="X1199" s="2">
        <f t="shared" si="54"/>
        <v>0.21</v>
      </c>
      <c r="Y1199" s="2">
        <f>SUMIF(收盤價!A:A,A1199,收盤價!C:C)</f>
        <v>92.35</v>
      </c>
      <c r="Z1199" s="2">
        <f t="shared" si="55"/>
        <v>524370</v>
      </c>
      <c r="AA1199" s="2">
        <f t="shared" si="56"/>
        <v>3047549.9999999995</v>
      </c>
    </row>
    <row r="1200" spans="1:27" ht="14.5" customHeight="1">
      <c r="A1200" s="7" t="s">
        <v>6197</v>
      </c>
      <c r="B1200" s="8" t="s">
        <v>3225</v>
      </c>
      <c r="C1200" s="27">
        <v>346686</v>
      </c>
      <c r="D1200" s="27">
        <v>293704</v>
      </c>
      <c r="E1200" s="69">
        <v>18.04</v>
      </c>
      <c r="F1200" s="27">
        <v>70877</v>
      </c>
      <c r="G1200" s="27">
        <v>68746</v>
      </c>
      <c r="H1200" s="27">
        <v>-2159</v>
      </c>
      <c r="I1200" s="27">
        <v>-3003</v>
      </c>
      <c r="J1200" s="27">
        <v>54973</v>
      </c>
      <c r="K1200" s="27">
        <v>53127</v>
      </c>
      <c r="L1200" s="69">
        <v>3.47</v>
      </c>
      <c r="M1200" s="27">
        <v>256124</v>
      </c>
      <c r="N1200" s="69">
        <v>2.19</v>
      </c>
      <c r="O1200" s="69">
        <v>2.2799999999999998</v>
      </c>
      <c r="P1200" s="69">
        <v>18.239999999999998</v>
      </c>
      <c r="Q1200" s="27">
        <v>88</v>
      </c>
      <c r="R1200" s="69">
        <v>7.08</v>
      </c>
      <c r="S1200" s="69">
        <v>653.04</v>
      </c>
      <c r="X1200" s="2">
        <f t="shared" si="54"/>
        <v>0.12</v>
      </c>
      <c r="Y1200" s="2">
        <f>SUMIF(收盤價!A:A,A1200,收盤價!C:C)</f>
        <v>94.78</v>
      </c>
      <c r="Z1200" s="2">
        <f t="shared" si="55"/>
        <v>467170.17599999998</v>
      </c>
      <c r="AA1200" s="2">
        <f t="shared" si="56"/>
        <v>2427543.2719999999</v>
      </c>
    </row>
    <row r="1201" spans="1:27" ht="14.5" customHeight="1">
      <c r="A1201" s="7" t="s">
        <v>6577</v>
      </c>
      <c r="B1201" s="8" t="s">
        <v>3349</v>
      </c>
      <c r="C1201" s="27">
        <v>1297269</v>
      </c>
      <c r="D1201" s="27">
        <v>1080453</v>
      </c>
      <c r="E1201" s="69">
        <v>20.07</v>
      </c>
      <c r="F1201" s="27">
        <v>242895</v>
      </c>
      <c r="G1201" s="27">
        <v>166149</v>
      </c>
      <c r="H1201" s="27">
        <v>-2640</v>
      </c>
      <c r="I1201" s="27">
        <v>10009</v>
      </c>
      <c r="J1201" s="27">
        <v>188765</v>
      </c>
      <c r="K1201" s="27">
        <v>133990</v>
      </c>
      <c r="L1201" s="69">
        <v>40.880000000000003</v>
      </c>
      <c r="M1201" s="27">
        <v>271009</v>
      </c>
      <c r="N1201" s="69">
        <v>7.86</v>
      </c>
      <c r="O1201" s="69">
        <v>5.8</v>
      </c>
      <c r="P1201" s="69">
        <v>55.03</v>
      </c>
      <c r="Q1201" s="27">
        <v>77</v>
      </c>
      <c r="R1201" s="69">
        <v>3.67</v>
      </c>
      <c r="S1201" s="69">
        <v>279.89999999999998</v>
      </c>
      <c r="X1201" s="2">
        <f t="shared" si="54"/>
        <v>0.23</v>
      </c>
      <c r="Y1201" s="2">
        <f>SUMIF(收盤價!A:A,A1201,收盤價!C:C)</f>
        <v>117.5</v>
      </c>
      <c r="Z1201" s="2">
        <f t="shared" si="55"/>
        <v>1491362.527</v>
      </c>
      <c r="AA1201" s="2">
        <f t="shared" si="56"/>
        <v>3184355.75</v>
      </c>
    </row>
    <row r="1202" spans="1:27" ht="14.5" customHeight="1">
      <c r="A1202" s="7" t="s">
        <v>6578</v>
      </c>
      <c r="B1202" s="8" t="s">
        <v>3373</v>
      </c>
      <c r="C1202" s="27">
        <v>3123887</v>
      </c>
      <c r="D1202" s="27">
        <v>3057324</v>
      </c>
      <c r="E1202" s="69">
        <v>2.1800000000000002</v>
      </c>
      <c r="F1202" s="27">
        <v>143546</v>
      </c>
      <c r="G1202" s="27">
        <v>66016</v>
      </c>
      <c r="H1202" s="27">
        <v>60707</v>
      </c>
      <c r="I1202" s="27">
        <v>99234</v>
      </c>
      <c r="J1202" s="27">
        <v>195052</v>
      </c>
      <c r="K1202" s="27">
        <v>145852</v>
      </c>
      <c r="L1202" s="69">
        <v>33.729999999999997</v>
      </c>
      <c r="M1202" s="27">
        <v>1023097</v>
      </c>
      <c r="N1202" s="69">
        <v>1.91</v>
      </c>
      <c r="O1202" s="69">
        <v>1.48</v>
      </c>
      <c r="P1202" s="69">
        <v>24.53</v>
      </c>
      <c r="Q1202" s="27">
        <v>59</v>
      </c>
      <c r="R1202" s="69">
        <v>1.78</v>
      </c>
      <c r="S1202" s="69">
        <v>158.38</v>
      </c>
      <c r="X1202" s="2">
        <f t="shared" si="54"/>
        <v>0.41</v>
      </c>
      <c r="Y1202" s="2">
        <f>SUMIF(收盤價!A:A,A1202,收盤價!C:C)</f>
        <v>29.95</v>
      </c>
      <c r="Z1202" s="2">
        <f t="shared" si="55"/>
        <v>2509656.9410000001</v>
      </c>
      <c r="AA1202" s="2">
        <f t="shared" si="56"/>
        <v>3064175.5149999997</v>
      </c>
    </row>
    <row r="1203" spans="1:27" ht="14.5" customHeight="1">
      <c r="A1203" s="7" t="s">
        <v>6579</v>
      </c>
      <c r="B1203" s="8" t="s">
        <v>3377</v>
      </c>
      <c r="C1203" s="27">
        <v>234643</v>
      </c>
      <c r="D1203" s="27">
        <v>211008</v>
      </c>
      <c r="E1203" s="69">
        <v>11.2</v>
      </c>
      <c r="F1203" s="27">
        <v>-14583</v>
      </c>
      <c r="G1203" s="27">
        <v>-17604</v>
      </c>
      <c r="H1203" s="27">
        <v>-2052</v>
      </c>
      <c r="I1203" s="27">
        <v>5883</v>
      </c>
      <c r="J1203" s="27">
        <v>-14406</v>
      </c>
      <c r="K1203" s="27">
        <v>-10489</v>
      </c>
      <c r="L1203" s="69">
        <v>-37.340000000000003</v>
      </c>
      <c r="M1203" s="27">
        <v>280000</v>
      </c>
      <c r="N1203" s="69">
        <v>-0.51</v>
      </c>
      <c r="O1203" s="69">
        <v>-0.37</v>
      </c>
      <c r="P1203" s="69">
        <v>10.92</v>
      </c>
      <c r="Q1203" s="27">
        <v>68</v>
      </c>
      <c r="R1203" s="69">
        <v>1.62</v>
      </c>
      <c r="S1203" s="69">
        <v>142.61000000000001</v>
      </c>
      <c r="X1203" s="2">
        <f t="shared" si="54"/>
        <v>0.32</v>
      </c>
      <c r="Y1203" s="2">
        <f>SUMIF(收盤價!A:A,A1203,收盤價!C:C)</f>
        <v>15.35</v>
      </c>
      <c r="Z1203" s="2">
        <f t="shared" si="55"/>
        <v>305760</v>
      </c>
      <c r="AA1203" s="2">
        <f t="shared" si="56"/>
        <v>429800</v>
      </c>
    </row>
    <row r="1204" spans="1:27" ht="14.5" customHeight="1">
      <c r="A1204" s="7" t="s">
        <v>6580</v>
      </c>
      <c r="B1204" s="8" t="s">
        <v>3399</v>
      </c>
      <c r="C1204" s="27">
        <v>507666</v>
      </c>
      <c r="D1204" s="27">
        <v>515646</v>
      </c>
      <c r="E1204" s="69">
        <v>-1.55</v>
      </c>
      <c r="F1204" s="27">
        <v>56198</v>
      </c>
      <c r="G1204" s="27">
        <v>61964</v>
      </c>
      <c r="H1204" s="27">
        <v>47157</v>
      </c>
      <c r="I1204" s="27">
        <v>3943</v>
      </c>
      <c r="J1204" s="27">
        <v>85327</v>
      </c>
      <c r="K1204" s="27">
        <v>57784</v>
      </c>
      <c r="L1204" s="69">
        <v>47.67</v>
      </c>
      <c r="M1204" s="27">
        <v>383981</v>
      </c>
      <c r="N1204" s="69">
        <v>2.2200000000000002</v>
      </c>
      <c r="O1204" s="69">
        <v>1.5</v>
      </c>
      <c r="P1204" s="69">
        <v>29.3</v>
      </c>
      <c r="Q1204" s="27">
        <v>89</v>
      </c>
      <c r="R1204" s="69">
        <v>6.38</v>
      </c>
      <c r="S1204" s="69">
        <v>595.73</v>
      </c>
      <c r="X1204" s="2">
        <f t="shared" si="54"/>
        <v>0.11</v>
      </c>
      <c r="Y1204" s="2">
        <f>SUMIF(收盤價!A:A,A1204,收盤價!C:C)</f>
        <v>78.5</v>
      </c>
      <c r="Z1204" s="2">
        <f t="shared" si="55"/>
        <v>1125064.33</v>
      </c>
      <c r="AA1204" s="2">
        <f t="shared" si="56"/>
        <v>3014250.85</v>
      </c>
    </row>
    <row r="1205" spans="1:27" ht="14.5" customHeight="1">
      <c r="A1205" s="7" t="s">
        <v>6581</v>
      </c>
      <c r="B1205" s="8" t="s">
        <v>3405</v>
      </c>
      <c r="C1205" s="27">
        <v>9566132</v>
      </c>
      <c r="D1205" s="27">
        <v>8098414</v>
      </c>
      <c r="E1205" s="69">
        <v>18.12</v>
      </c>
      <c r="F1205" s="27">
        <v>2202317</v>
      </c>
      <c r="G1205" s="27">
        <v>2036923</v>
      </c>
      <c r="H1205" s="27">
        <v>202914</v>
      </c>
      <c r="I1205" s="27">
        <v>169614</v>
      </c>
      <c r="J1205" s="27">
        <v>2016129</v>
      </c>
      <c r="K1205" s="27">
        <v>1794899</v>
      </c>
      <c r="L1205" s="69">
        <v>12.33</v>
      </c>
      <c r="M1205" s="27">
        <v>1196172</v>
      </c>
      <c r="N1205" s="69">
        <v>17.02</v>
      </c>
      <c r="O1205" s="69">
        <v>15.48</v>
      </c>
      <c r="P1205" s="69">
        <v>59.63</v>
      </c>
      <c r="Q1205" s="27">
        <v>66</v>
      </c>
      <c r="R1205" s="69">
        <v>2.0099999999999998</v>
      </c>
      <c r="S1205" s="69">
        <v>157.91999999999999</v>
      </c>
      <c r="X1205" s="2">
        <f t="shared" si="54"/>
        <v>0.34</v>
      </c>
      <c r="Y1205" s="2">
        <f>SUMIF(收盤價!A:A,A1205,收盤價!C:C)</f>
        <v>285</v>
      </c>
      <c r="Z1205" s="2">
        <f t="shared" si="55"/>
        <v>7132773.6359999999</v>
      </c>
      <c r="AA1205" s="2">
        <f t="shared" si="56"/>
        <v>34090902</v>
      </c>
    </row>
    <row r="1206" spans="1:27" ht="14.5" customHeight="1">
      <c r="A1206" s="7" t="s">
        <v>6582</v>
      </c>
      <c r="B1206" s="8" t="s">
        <v>3431</v>
      </c>
      <c r="C1206" s="27">
        <v>8274444</v>
      </c>
      <c r="D1206" s="27">
        <v>7246465</v>
      </c>
      <c r="E1206" s="69">
        <v>14.19</v>
      </c>
      <c r="F1206" s="27">
        <v>505277</v>
      </c>
      <c r="G1206" s="27">
        <v>411166</v>
      </c>
      <c r="H1206" s="27">
        <v>-2927</v>
      </c>
      <c r="I1206" s="27">
        <v>-1243</v>
      </c>
      <c r="J1206" s="27">
        <v>401793</v>
      </c>
      <c r="K1206" s="27">
        <v>328656</v>
      </c>
      <c r="L1206" s="69">
        <v>22.25</v>
      </c>
      <c r="M1206" s="27">
        <v>1802506</v>
      </c>
      <c r="N1206" s="69">
        <v>2.23</v>
      </c>
      <c r="O1206" s="69">
        <v>1.82</v>
      </c>
      <c r="P1206" s="69">
        <v>13.75</v>
      </c>
      <c r="Q1206" s="27">
        <v>46</v>
      </c>
      <c r="R1206" s="69">
        <v>0.95</v>
      </c>
      <c r="S1206" s="69">
        <v>79.680000000000007</v>
      </c>
      <c r="X1206" s="2">
        <f t="shared" si="54"/>
        <v>0.54</v>
      </c>
      <c r="Y1206" s="2">
        <f>SUMIF(收盤價!A:A,A1206,收盤價!C:C)</f>
        <v>46.45</v>
      </c>
      <c r="Z1206" s="2">
        <f t="shared" si="55"/>
        <v>2478445.75</v>
      </c>
      <c r="AA1206" s="2">
        <f t="shared" si="56"/>
        <v>8372640.3700000001</v>
      </c>
    </row>
    <row r="1207" spans="1:27" ht="14.5" customHeight="1">
      <c r="A1207" s="7" t="s">
        <v>6583</v>
      </c>
      <c r="B1207" s="8" t="s">
        <v>3435</v>
      </c>
      <c r="C1207" s="27">
        <v>2453955</v>
      </c>
      <c r="D1207" s="27">
        <v>1914844</v>
      </c>
      <c r="E1207" s="69">
        <v>28.15</v>
      </c>
      <c r="F1207" s="27">
        <v>429513</v>
      </c>
      <c r="G1207" s="27">
        <v>287584</v>
      </c>
      <c r="H1207" s="27">
        <v>22076</v>
      </c>
      <c r="I1207" s="27">
        <v>12468</v>
      </c>
      <c r="J1207" s="27">
        <v>365677</v>
      </c>
      <c r="K1207" s="27">
        <v>242934</v>
      </c>
      <c r="L1207" s="69">
        <v>50.53</v>
      </c>
      <c r="M1207" s="27">
        <v>1222032</v>
      </c>
      <c r="N1207" s="69">
        <v>2.99</v>
      </c>
      <c r="O1207" s="69">
        <v>1.99</v>
      </c>
      <c r="P1207" s="69">
        <v>16.93</v>
      </c>
      <c r="Q1207" s="27">
        <v>44</v>
      </c>
      <c r="R1207" s="69">
        <v>1.63</v>
      </c>
      <c r="S1207" s="69">
        <v>157.86000000000001</v>
      </c>
      <c r="X1207" s="2">
        <f t="shared" si="54"/>
        <v>0.56000000000000005</v>
      </c>
      <c r="Y1207" s="2">
        <f>SUMIF(收盤價!A:A,A1207,收盤價!C:C)</f>
        <v>51.6</v>
      </c>
      <c r="Z1207" s="2">
        <f t="shared" si="55"/>
        <v>2068900.1759999997</v>
      </c>
      <c r="AA1207" s="2">
        <f t="shared" si="56"/>
        <v>6305685.1200000001</v>
      </c>
    </row>
    <row r="1208" spans="1:27" ht="14.5" customHeight="1">
      <c r="A1208" s="7" t="s">
        <v>6584</v>
      </c>
      <c r="B1208" s="8" t="s">
        <v>3443</v>
      </c>
      <c r="C1208" s="27">
        <v>5149620</v>
      </c>
      <c r="D1208" s="27">
        <v>5252048</v>
      </c>
      <c r="E1208" s="69">
        <v>-1.95</v>
      </c>
      <c r="F1208" s="27">
        <v>97140</v>
      </c>
      <c r="G1208" s="27">
        <v>102964</v>
      </c>
      <c r="H1208" s="27">
        <v>-25462</v>
      </c>
      <c r="I1208" s="27">
        <v>-7848</v>
      </c>
      <c r="J1208" s="27">
        <v>52900</v>
      </c>
      <c r="K1208" s="27">
        <v>76436</v>
      </c>
      <c r="L1208" s="69">
        <v>-30.79</v>
      </c>
      <c r="M1208" s="27">
        <v>1918332</v>
      </c>
      <c r="N1208" s="69">
        <v>0.28000000000000003</v>
      </c>
      <c r="O1208" s="69">
        <v>0.4</v>
      </c>
      <c r="P1208" s="69">
        <v>11.35</v>
      </c>
      <c r="Q1208" s="27">
        <v>42</v>
      </c>
      <c r="R1208" s="69">
        <v>0.83</v>
      </c>
      <c r="S1208" s="69">
        <v>32.909999999999997</v>
      </c>
      <c r="X1208" s="2">
        <f t="shared" si="54"/>
        <v>0.57999999999999996</v>
      </c>
      <c r="Y1208" s="2">
        <f>SUMIF(收盤價!A:A,A1208,收盤價!C:C)</f>
        <v>16.600000000000001</v>
      </c>
      <c r="Z1208" s="2">
        <f t="shared" si="55"/>
        <v>2177306.8199999998</v>
      </c>
      <c r="AA1208" s="2">
        <f t="shared" si="56"/>
        <v>3184431.12</v>
      </c>
    </row>
    <row r="1209" spans="1:27" ht="14.5" customHeight="1">
      <c r="A1209" s="7" t="s">
        <v>6585</v>
      </c>
      <c r="B1209" s="8" t="s">
        <v>3451</v>
      </c>
      <c r="C1209" s="27">
        <v>1629623</v>
      </c>
      <c r="D1209" s="27">
        <v>1778517</v>
      </c>
      <c r="E1209" s="69">
        <v>-8.3699999999999992</v>
      </c>
      <c r="F1209" s="27">
        <v>181411</v>
      </c>
      <c r="G1209" s="27">
        <v>173111</v>
      </c>
      <c r="H1209" s="27">
        <v>1634</v>
      </c>
      <c r="I1209" s="27">
        <v>2046</v>
      </c>
      <c r="J1209" s="27">
        <v>146843</v>
      </c>
      <c r="K1209" s="27">
        <v>138557</v>
      </c>
      <c r="L1209" s="69">
        <v>5.98</v>
      </c>
      <c r="M1209" s="27">
        <v>1222549</v>
      </c>
      <c r="N1209" s="69">
        <v>1.2</v>
      </c>
      <c r="O1209" s="69">
        <v>1.1299999999999999</v>
      </c>
      <c r="P1209" s="69">
        <v>14.9</v>
      </c>
      <c r="Q1209" s="27">
        <v>47</v>
      </c>
      <c r="R1209" s="69">
        <v>2.21</v>
      </c>
      <c r="S1209" s="69">
        <v>140.32</v>
      </c>
      <c r="X1209" s="2">
        <f t="shared" si="54"/>
        <v>0.53</v>
      </c>
      <c r="Y1209" s="2">
        <f>SUMIF(收盤價!A:A,A1209,收盤價!C:C)</f>
        <v>25.55</v>
      </c>
      <c r="Z1209" s="2">
        <f t="shared" si="55"/>
        <v>1821598.0100000002</v>
      </c>
      <c r="AA1209" s="2">
        <f t="shared" si="56"/>
        <v>3123612.6949999998</v>
      </c>
    </row>
    <row r="1210" spans="1:27" ht="14.5" customHeight="1">
      <c r="A1210" s="7" t="s">
        <v>6586</v>
      </c>
      <c r="B1210" s="8" t="s">
        <v>2057</v>
      </c>
      <c r="C1210" s="27">
        <v>136488</v>
      </c>
      <c r="D1210" s="27">
        <v>97514</v>
      </c>
      <c r="E1210" s="69">
        <v>39.97</v>
      </c>
      <c r="F1210" s="27">
        <v>-23181</v>
      </c>
      <c r="G1210" s="27">
        <v>-39532</v>
      </c>
      <c r="H1210" s="27">
        <v>-70432</v>
      </c>
      <c r="I1210" s="27">
        <v>4541</v>
      </c>
      <c r="J1210" s="27">
        <v>-79298</v>
      </c>
      <c r="K1210" s="27">
        <v>-24914</v>
      </c>
      <c r="L1210" s="69">
        <v>-218.29</v>
      </c>
      <c r="M1210" s="27">
        <v>247440</v>
      </c>
      <c r="N1210" s="69">
        <v>-3.2</v>
      </c>
      <c r="O1210" s="69">
        <v>-1.01</v>
      </c>
      <c r="P1210" s="69">
        <v>6.84</v>
      </c>
      <c r="Q1210" s="27">
        <v>23</v>
      </c>
      <c r="R1210" s="69">
        <v>0.97</v>
      </c>
      <c r="S1210" s="69">
        <v>96.92</v>
      </c>
      <c r="X1210" s="2">
        <f t="shared" si="54"/>
        <v>0.77</v>
      </c>
      <c r="Y1210" s="2">
        <f>SUMIF(收盤價!A:A,A1210,收盤價!C:C)</f>
        <v>5.2</v>
      </c>
      <c r="Z1210" s="2">
        <f t="shared" si="55"/>
        <v>169248.96</v>
      </c>
      <c r="AA1210" s="2">
        <f t="shared" si="56"/>
        <v>128668.8</v>
      </c>
    </row>
    <row r="1211" spans="1:27" ht="14.5" customHeight="1">
      <c r="A1211" s="7" t="s">
        <v>6587</v>
      </c>
      <c r="B1211" s="8" t="s">
        <v>2079</v>
      </c>
      <c r="C1211" s="27">
        <v>21377724</v>
      </c>
      <c r="D1211" s="27">
        <v>17310716</v>
      </c>
      <c r="E1211" s="69">
        <v>23.49</v>
      </c>
      <c r="F1211" s="27">
        <v>5558552</v>
      </c>
      <c r="G1211" s="27">
        <v>3205342</v>
      </c>
      <c r="H1211" s="27">
        <v>-165124</v>
      </c>
      <c r="I1211" s="27">
        <v>529281</v>
      </c>
      <c r="J1211" s="27">
        <v>4474399</v>
      </c>
      <c r="K1211" s="27">
        <v>3124454</v>
      </c>
      <c r="L1211" s="69">
        <v>43.21</v>
      </c>
      <c r="M1211" s="27">
        <v>4240564</v>
      </c>
      <c r="N1211" s="69">
        <v>10.59</v>
      </c>
      <c r="O1211" s="69">
        <v>7.39</v>
      </c>
      <c r="P1211" s="69">
        <v>69.94</v>
      </c>
      <c r="Q1211" s="27">
        <v>69</v>
      </c>
      <c r="R1211" s="69">
        <v>2.2799999999999998</v>
      </c>
      <c r="S1211" s="69">
        <v>154.97999999999999</v>
      </c>
      <c r="X1211" s="2">
        <f t="shared" si="54"/>
        <v>0.31</v>
      </c>
      <c r="Y1211" s="2">
        <f>SUMIF(收盤價!A:A,A1211,收盤價!C:C)</f>
        <v>294</v>
      </c>
      <c r="Z1211" s="2">
        <f t="shared" si="55"/>
        <v>29658504.615999997</v>
      </c>
      <c r="AA1211" s="2">
        <f t="shared" si="56"/>
        <v>124672581.59999999</v>
      </c>
    </row>
    <row r="1212" spans="1:27" ht="14.5" customHeight="1">
      <c r="A1212" s="7" t="s">
        <v>6588</v>
      </c>
      <c r="B1212" s="8" t="s">
        <v>2087</v>
      </c>
      <c r="C1212" s="27">
        <v>404460</v>
      </c>
      <c r="D1212" s="27">
        <v>401323</v>
      </c>
      <c r="E1212" s="69">
        <v>0.78</v>
      </c>
      <c r="F1212" s="27">
        <v>-46284</v>
      </c>
      <c r="G1212" s="27">
        <v>-37187</v>
      </c>
      <c r="H1212" s="27">
        <v>2003</v>
      </c>
      <c r="I1212" s="27">
        <v>11731</v>
      </c>
      <c r="J1212" s="27">
        <v>-43966</v>
      </c>
      <c r="K1212" s="27">
        <v>-24172</v>
      </c>
      <c r="L1212" s="69">
        <v>-81.89</v>
      </c>
      <c r="M1212" s="27">
        <v>392999</v>
      </c>
      <c r="N1212" s="69">
        <v>-1.1499999999999999</v>
      </c>
      <c r="O1212" s="69">
        <v>-0.63</v>
      </c>
      <c r="P1212" s="69">
        <v>10.64</v>
      </c>
      <c r="Q1212" s="27">
        <v>81</v>
      </c>
      <c r="R1212" s="69">
        <v>3.72</v>
      </c>
      <c r="S1212" s="69">
        <v>305.24</v>
      </c>
      <c r="X1212" s="2">
        <f t="shared" si="54"/>
        <v>0.19</v>
      </c>
      <c r="Y1212" s="2">
        <f>SUMIF(收盤價!A:A,A1212,收盤價!C:C)</f>
        <v>12.05</v>
      </c>
      <c r="Z1212" s="2">
        <f t="shared" si="55"/>
        <v>418150.93600000005</v>
      </c>
      <c r="AA1212" s="2">
        <f t="shared" si="56"/>
        <v>473563.79500000004</v>
      </c>
    </row>
    <row r="1213" spans="1:27" ht="14.5" customHeight="1">
      <c r="A1213" s="7" t="s">
        <v>6589</v>
      </c>
      <c r="B1213" s="8" t="s">
        <v>2093</v>
      </c>
      <c r="C1213" s="27">
        <v>1195929</v>
      </c>
      <c r="D1213" s="27">
        <v>1294711</v>
      </c>
      <c r="E1213" s="69">
        <v>-7.63</v>
      </c>
      <c r="F1213" s="27">
        <v>97215</v>
      </c>
      <c r="G1213" s="27">
        <v>175465</v>
      </c>
      <c r="H1213" s="27">
        <v>-15186</v>
      </c>
      <c r="I1213" s="27">
        <v>-2139</v>
      </c>
      <c r="J1213" s="27">
        <v>78110</v>
      </c>
      <c r="K1213" s="27">
        <v>176977</v>
      </c>
      <c r="L1213" s="69">
        <v>-55.86</v>
      </c>
      <c r="M1213" s="27">
        <v>639175</v>
      </c>
      <c r="N1213" s="69">
        <v>1.23</v>
      </c>
      <c r="O1213" s="69">
        <v>2.79</v>
      </c>
      <c r="P1213" s="69">
        <v>17.16</v>
      </c>
      <c r="Q1213" s="27">
        <v>81</v>
      </c>
      <c r="R1213" s="69">
        <v>4.03</v>
      </c>
      <c r="S1213" s="69">
        <v>258.08</v>
      </c>
      <c r="X1213" s="2">
        <f t="shared" si="54"/>
        <v>0.19</v>
      </c>
      <c r="Y1213" s="2">
        <f>SUMIF(收盤價!A:A,A1213,收盤價!C:C)</f>
        <v>30.5</v>
      </c>
      <c r="Z1213" s="2">
        <f t="shared" si="55"/>
        <v>1096824.3</v>
      </c>
      <c r="AA1213" s="2">
        <f t="shared" si="56"/>
        <v>1949483.75</v>
      </c>
    </row>
    <row r="1214" spans="1:27" ht="14.5" customHeight="1">
      <c r="A1214" s="7" t="s">
        <v>6590</v>
      </c>
      <c r="B1214" s="8" t="s">
        <v>2105</v>
      </c>
      <c r="C1214" s="27">
        <v>723153</v>
      </c>
      <c r="D1214" s="27">
        <v>647830</v>
      </c>
      <c r="E1214" s="69">
        <v>11.63</v>
      </c>
      <c r="F1214" s="27">
        <v>164164</v>
      </c>
      <c r="G1214" s="27">
        <v>126371</v>
      </c>
      <c r="H1214" s="27">
        <v>1421</v>
      </c>
      <c r="I1214" s="27">
        <v>12597</v>
      </c>
      <c r="J1214" s="27">
        <v>142202</v>
      </c>
      <c r="K1214" s="27">
        <v>120659</v>
      </c>
      <c r="L1214" s="69">
        <v>17.850000000000001</v>
      </c>
      <c r="M1214" s="27">
        <v>544406</v>
      </c>
      <c r="N1214" s="69">
        <v>2.62</v>
      </c>
      <c r="O1214" s="69">
        <v>2.25</v>
      </c>
      <c r="P1214" s="69">
        <v>16.63</v>
      </c>
      <c r="Q1214" s="27">
        <v>88</v>
      </c>
      <c r="R1214" s="69">
        <v>7.73</v>
      </c>
      <c r="S1214" s="69">
        <v>713.19</v>
      </c>
      <c r="X1214" s="2">
        <f t="shared" si="54"/>
        <v>0.12</v>
      </c>
      <c r="Y1214" s="2">
        <f>SUMIF(收盤價!A:A,A1214,收盤價!C:C)</f>
        <v>37.950000000000003</v>
      </c>
      <c r="Z1214" s="2">
        <f t="shared" si="55"/>
        <v>905347.17799999996</v>
      </c>
      <c r="AA1214" s="2">
        <f t="shared" si="56"/>
        <v>2066020.7700000003</v>
      </c>
    </row>
    <row r="1215" spans="1:27" ht="14.5" customHeight="1">
      <c r="A1215" s="7" t="s">
        <v>6591</v>
      </c>
      <c r="B1215" s="8" t="s">
        <v>2133</v>
      </c>
      <c r="C1215" s="27">
        <v>104504</v>
      </c>
      <c r="D1215" s="27">
        <v>447704</v>
      </c>
      <c r="E1215" s="69">
        <v>-76.66</v>
      </c>
      <c r="F1215" s="27">
        <v>-60266</v>
      </c>
      <c r="G1215" s="27">
        <v>-40715</v>
      </c>
      <c r="H1215" s="27">
        <v>-2124</v>
      </c>
      <c r="I1215" s="27">
        <v>16223</v>
      </c>
      <c r="J1215" s="27">
        <v>-56726</v>
      </c>
      <c r="K1215" s="27">
        <v>-25919</v>
      </c>
      <c r="L1215" s="69">
        <v>-118.86</v>
      </c>
      <c r="M1215" s="27">
        <v>147840</v>
      </c>
      <c r="N1215" s="69">
        <v>-3.84</v>
      </c>
      <c r="O1215" s="69">
        <v>-1.75</v>
      </c>
      <c r="P1215" s="69">
        <v>4.51</v>
      </c>
      <c r="Q1215" s="27">
        <v>47</v>
      </c>
      <c r="R1215" s="69">
        <v>2.08</v>
      </c>
      <c r="S1215" s="69">
        <v>192.64</v>
      </c>
      <c r="X1215" s="2">
        <f t="shared" si="54"/>
        <v>0.53</v>
      </c>
      <c r="Y1215" s="2">
        <f>SUMIF(收盤價!A:A,A1215,收盤價!C:C)</f>
        <v>16.95</v>
      </c>
      <c r="Z1215" s="2">
        <f t="shared" si="55"/>
        <v>66675.839999999997</v>
      </c>
      <c r="AA1215" s="2">
        <f t="shared" si="56"/>
        <v>250588.79999999999</v>
      </c>
    </row>
    <row r="1216" spans="1:27" ht="14.5" customHeight="1">
      <c r="A1216" s="7" t="s">
        <v>6592</v>
      </c>
      <c r="B1216" s="8" t="s">
        <v>2141</v>
      </c>
      <c r="C1216" s="27">
        <v>6075020</v>
      </c>
      <c r="D1216" s="27">
        <v>5513179</v>
      </c>
      <c r="E1216" s="69">
        <v>10.19</v>
      </c>
      <c r="F1216" s="27">
        <v>961454</v>
      </c>
      <c r="G1216" s="27">
        <v>921804</v>
      </c>
      <c r="H1216" s="27">
        <v>77576</v>
      </c>
      <c r="I1216" s="27">
        <v>116699</v>
      </c>
      <c r="J1216" s="27">
        <v>835586</v>
      </c>
      <c r="K1216" s="27">
        <v>858358</v>
      </c>
      <c r="L1216" s="69">
        <v>-2.65</v>
      </c>
      <c r="M1216" s="27">
        <v>1378140</v>
      </c>
      <c r="N1216" s="69">
        <v>6.23</v>
      </c>
      <c r="O1216" s="69">
        <v>6.57</v>
      </c>
      <c r="P1216" s="69">
        <v>50.68</v>
      </c>
      <c r="Q1216" s="27">
        <v>76</v>
      </c>
      <c r="R1216" s="69">
        <v>4.46</v>
      </c>
      <c r="S1216" s="69">
        <v>394.46</v>
      </c>
      <c r="X1216" s="2">
        <f t="shared" si="54"/>
        <v>0.24</v>
      </c>
      <c r="Y1216" s="2">
        <f>SUMIF(收盤價!A:A,A1216,收盤價!C:C)</f>
        <v>148</v>
      </c>
      <c r="Z1216" s="2">
        <f t="shared" si="55"/>
        <v>6984413.5200000005</v>
      </c>
      <c r="AA1216" s="2">
        <f t="shared" si="56"/>
        <v>20396472</v>
      </c>
    </row>
    <row r="1217" spans="1:27" ht="14.5" customHeight="1">
      <c r="A1217" s="7" t="s">
        <v>6593</v>
      </c>
      <c r="B1217" s="8" t="s">
        <v>2143</v>
      </c>
      <c r="C1217" s="27">
        <v>228393</v>
      </c>
      <c r="D1217" s="27">
        <v>369654</v>
      </c>
      <c r="E1217" s="69">
        <v>-38.21</v>
      </c>
      <c r="F1217" s="27">
        <v>-44484</v>
      </c>
      <c r="G1217" s="27">
        <v>45838</v>
      </c>
      <c r="H1217" s="27">
        <v>-1490</v>
      </c>
      <c r="I1217" s="27">
        <v>4756</v>
      </c>
      <c r="J1217" s="27">
        <v>-45974</v>
      </c>
      <c r="K1217" s="27">
        <v>50594</v>
      </c>
      <c r="L1217" s="69">
        <v>-190.87</v>
      </c>
      <c r="M1217" s="27">
        <v>677927</v>
      </c>
      <c r="N1217" s="69">
        <v>-0.68</v>
      </c>
      <c r="O1217" s="69">
        <v>0.75</v>
      </c>
      <c r="P1217" s="69">
        <v>6.15</v>
      </c>
      <c r="Q1217" s="27">
        <v>78</v>
      </c>
      <c r="R1217" s="69">
        <v>2.6</v>
      </c>
      <c r="S1217" s="69">
        <v>140.54</v>
      </c>
      <c r="X1217" s="2">
        <f t="shared" si="54"/>
        <v>0.22</v>
      </c>
      <c r="Y1217" s="2">
        <f>SUMIF(收盤價!A:A,A1217,收盤價!C:C)</f>
        <v>35.5</v>
      </c>
      <c r="Z1217" s="2">
        <f t="shared" si="55"/>
        <v>416925.10500000004</v>
      </c>
      <c r="AA1217" s="2">
        <f t="shared" si="56"/>
        <v>2406640.85</v>
      </c>
    </row>
    <row r="1218" spans="1:27" ht="14.5" customHeight="1">
      <c r="A1218" s="7" t="s">
        <v>6594</v>
      </c>
      <c r="B1218" s="8" t="s">
        <v>2155</v>
      </c>
      <c r="C1218" s="27">
        <v>633419</v>
      </c>
      <c r="D1218" s="27">
        <v>739621</v>
      </c>
      <c r="E1218" s="69">
        <v>-14.36</v>
      </c>
      <c r="F1218" s="27">
        <v>-118989</v>
      </c>
      <c r="G1218" s="27">
        <v>-28316</v>
      </c>
      <c r="H1218" s="27">
        <v>-1196</v>
      </c>
      <c r="I1218" s="27">
        <v>2845</v>
      </c>
      <c r="J1218" s="27">
        <v>-120178</v>
      </c>
      <c r="K1218" s="27">
        <v>-20159</v>
      </c>
      <c r="L1218" s="69">
        <v>-496.15</v>
      </c>
      <c r="M1218" s="27">
        <v>808596</v>
      </c>
      <c r="N1218" s="69">
        <v>-1.49</v>
      </c>
      <c r="O1218" s="69">
        <v>-0.25</v>
      </c>
      <c r="P1218" s="69">
        <v>5.55</v>
      </c>
      <c r="Q1218" s="27">
        <v>79</v>
      </c>
      <c r="R1218" s="69">
        <v>2.58</v>
      </c>
      <c r="S1218" s="69">
        <v>127.34</v>
      </c>
      <c r="X1218" s="2">
        <f t="shared" si="54"/>
        <v>0.21</v>
      </c>
      <c r="Y1218" s="2">
        <f>SUMIF(收盤價!A:A,A1218,收盤價!C:C)</f>
        <v>17.95</v>
      </c>
      <c r="Z1218" s="2">
        <f t="shared" si="55"/>
        <v>448770.77999999997</v>
      </c>
      <c r="AA1218" s="2">
        <f t="shared" si="56"/>
        <v>1451429.8199999998</v>
      </c>
    </row>
    <row r="1219" spans="1:27" ht="14.5" customHeight="1">
      <c r="A1219" s="7" t="s">
        <v>6595</v>
      </c>
      <c r="B1219" s="8" t="s">
        <v>2157</v>
      </c>
      <c r="C1219" s="27">
        <v>25596853</v>
      </c>
      <c r="D1219" s="27">
        <v>31457377</v>
      </c>
      <c r="E1219" s="69">
        <v>-18.63</v>
      </c>
      <c r="F1219" s="27">
        <v>190086</v>
      </c>
      <c r="G1219" s="27">
        <v>-718380</v>
      </c>
      <c r="H1219" s="27">
        <v>460789</v>
      </c>
      <c r="I1219" s="27">
        <v>469715</v>
      </c>
      <c r="J1219" s="27">
        <v>445598</v>
      </c>
      <c r="K1219" s="27">
        <v>-178971</v>
      </c>
      <c r="L1219" s="69">
        <v>348.98</v>
      </c>
      <c r="M1219" s="27">
        <v>2237943</v>
      </c>
      <c r="N1219" s="69">
        <v>2.04</v>
      </c>
      <c r="O1219" s="69">
        <v>-0.82</v>
      </c>
      <c r="P1219" s="69">
        <v>34.82</v>
      </c>
      <c r="Q1219" s="27">
        <v>32</v>
      </c>
      <c r="R1219" s="69">
        <v>1.58</v>
      </c>
      <c r="S1219" s="69">
        <v>95.73</v>
      </c>
      <c r="X1219" s="2">
        <f t="shared" si="54"/>
        <v>0.68</v>
      </c>
      <c r="Y1219" s="2">
        <f>SUMIF(收盤價!A:A,A1219,收盤價!C:C)</f>
        <v>68.7</v>
      </c>
      <c r="Z1219" s="2">
        <f t="shared" si="55"/>
        <v>7792517.5260000005</v>
      </c>
      <c r="AA1219" s="2">
        <f t="shared" si="56"/>
        <v>15374668.41</v>
      </c>
    </row>
    <row r="1220" spans="1:27" ht="14.5" customHeight="1">
      <c r="A1220" s="7" t="s">
        <v>6596</v>
      </c>
      <c r="B1220" s="8" t="s">
        <v>2159</v>
      </c>
      <c r="C1220" s="27">
        <v>8050139</v>
      </c>
      <c r="D1220" s="27">
        <v>8443804</v>
      </c>
      <c r="E1220" s="69">
        <v>-4.66</v>
      </c>
      <c r="F1220" s="27">
        <v>1574351</v>
      </c>
      <c r="G1220" s="27">
        <v>1837931</v>
      </c>
      <c r="H1220" s="27">
        <v>-83163</v>
      </c>
      <c r="I1220" s="27">
        <v>143303</v>
      </c>
      <c r="J1220" s="27">
        <v>1109596</v>
      </c>
      <c r="K1220" s="27">
        <v>1548542</v>
      </c>
      <c r="L1220" s="69">
        <v>-28.35</v>
      </c>
      <c r="M1220" s="27">
        <v>4902592</v>
      </c>
      <c r="N1220" s="69">
        <v>2.36</v>
      </c>
      <c r="O1220" s="69">
        <v>3.31</v>
      </c>
      <c r="P1220" s="69">
        <v>23.9</v>
      </c>
      <c r="Q1220" s="27">
        <v>60</v>
      </c>
      <c r="R1220" s="69">
        <v>1.59</v>
      </c>
      <c r="S1220" s="69">
        <v>147.78</v>
      </c>
      <c r="X1220" s="2">
        <f t="shared" si="54"/>
        <v>0.4</v>
      </c>
      <c r="Y1220" s="2">
        <f>SUMIF(收盤價!A:A,A1220,收盤價!C:C)</f>
        <v>30.85</v>
      </c>
      <c r="Z1220" s="2">
        <f t="shared" si="55"/>
        <v>11717194.879999999</v>
      </c>
      <c r="AA1220" s="2">
        <f t="shared" si="56"/>
        <v>15124496.320000002</v>
      </c>
    </row>
    <row r="1221" spans="1:27" ht="14.5" customHeight="1">
      <c r="A1221" s="7" t="s">
        <v>6597</v>
      </c>
      <c r="B1221" s="8" t="s">
        <v>2161</v>
      </c>
      <c r="C1221" s="27">
        <v>2942669</v>
      </c>
      <c r="D1221" s="27">
        <v>2869643</v>
      </c>
      <c r="E1221" s="69">
        <v>2.54</v>
      </c>
      <c r="F1221" s="27">
        <v>655616</v>
      </c>
      <c r="G1221" s="27">
        <v>435840</v>
      </c>
      <c r="H1221" s="27">
        <v>85017</v>
      </c>
      <c r="I1221" s="27">
        <v>20372</v>
      </c>
      <c r="J1221" s="27">
        <v>567643</v>
      </c>
      <c r="K1221" s="27">
        <v>329820</v>
      </c>
      <c r="L1221" s="69">
        <v>72.11</v>
      </c>
      <c r="M1221" s="27">
        <v>1362617</v>
      </c>
      <c r="N1221" s="69">
        <v>4.17</v>
      </c>
      <c r="O1221" s="69">
        <v>2.42</v>
      </c>
      <c r="P1221" s="69">
        <v>35.880000000000003</v>
      </c>
      <c r="Q1221" s="27">
        <v>76</v>
      </c>
      <c r="R1221" s="69">
        <v>4.7300000000000004</v>
      </c>
      <c r="S1221" s="69">
        <v>464.24</v>
      </c>
      <c r="X1221" s="2">
        <f t="shared" ref="X1221:X1284" si="57">IF(W1221&lt;&gt;"",ROUND(W1221/U1221,2),(100-Q1221)/100)</f>
        <v>0.24</v>
      </c>
      <c r="Y1221" s="2">
        <f>SUMIF(收盤價!A:A,A1221,收盤價!C:C)</f>
        <v>27.55</v>
      </c>
      <c r="Z1221" s="2">
        <f t="shared" ref="Z1221:Z1284" si="58">IF(W1221&lt;&gt;"",U1221-W1221,M1221*P1221/10)</f>
        <v>4889069.7960000001</v>
      </c>
      <c r="AA1221" s="2">
        <f t="shared" ref="AA1221:AA1284" si="59">Y1221*M1221/10</f>
        <v>3754009.835</v>
      </c>
    </row>
    <row r="1222" spans="1:27" ht="14.5" customHeight="1">
      <c r="A1222" s="7" t="s">
        <v>6598</v>
      </c>
      <c r="B1222" s="8" t="s">
        <v>2163</v>
      </c>
      <c r="C1222" s="27">
        <v>942512</v>
      </c>
      <c r="D1222" s="27">
        <v>830531</v>
      </c>
      <c r="E1222" s="69">
        <v>13.48</v>
      </c>
      <c r="F1222" s="27">
        <v>-2444</v>
      </c>
      <c r="G1222" s="27">
        <v>-13063</v>
      </c>
      <c r="H1222" s="27">
        <v>-16301</v>
      </c>
      <c r="I1222" s="27">
        <v>-4418</v>
      </c>
      <c r="J1222" s="27">
        <v>-18745</v>
      </c>
      <c r="K1222" s="27">
        <v>-17484</v>
      </c>
      <c r="L1222" s="69">
        <v>-7.21</v>
      </c>
      <c r="M1222" s="27">
        <v>334263</v>
      </c>
      <c r="N1222" s="69">
        <v>-0.56000000000000005</v>
      </c>
      <c r="O1222" s="69">
        <v>-0.52</v>
      </c>
      <c r="P1222" s="69">
        <v>14.26</v>
      </c>
      <c r="Q1222" s="27">
        <v>47</v>
      </c>
      <c r="R1222" s="69">
        <v>1.76</v>
      </c>
      <c r="S1222" s="69">
        <v>161.29</v>
      </c>
      <c r="X1222" s="2">
        <f t="shared" si="57"/>
        <v>0.53</v>
      </c>
      <c r="Y1222" s="2">
        <f>SUMIF(收盤價!A:A,A1222,收盤價!C:C)</f>
        <v>12.75</v>
      </c>
      <c r="Z1222" s="2">
        <f t="shared" si="58"/>
        <v>476659.038</v>
      </c>
      <c r="AA1222" s="2">
        <f t="shared" si="59"/>
        <v>426185.32500000001</v>
      </c>
    </row>
    <row r="1223" spans="1:27" ht="14.5" customHeight="1">
      <c r="A1223" s="7" t="s">
        <v>6599</v>
      </c>
      <c r="B1223" s="8" t="s">
        <v>2195</v>
      </c>
      <c r="C1223" s="27">
        <v>2808424</v>
      </c>
      <c r="D1223" s="27">
        <v>2411112</v>
      </c>
      <c r="E1223" s="69">
        <v>16.48</v>
      </c>
      <c r="F1223" s="27">
        <v>251144</v>
      </c>
      <c r="G1223" s="27">
        <v>164698</v>
      </c>
      <c r="H1223" s="27">
        <v>-896</v>
      </c>
      <c r="I1223" s="27">
        <v>29011</v>
      </c>
      <c r="J1223" s="27">
        <v>193960</v>
      </c>
      <c r="K1223" s="27">
        <v>153393</v>
      </c>
      <c r="L1223" s="69">
        <v>26.45</v>
      </c>
      <c r="M1223" s="27">
        <v>612515</v>
      </c>
      <c r="N1223" s="69">
        <v>3.17</v>
      </c>
      <c r="O1223" s="69">
        <v>2.5</v>
      </c>
      <c r="P1223" s="69">
        <v>30.97</v>
      </c>
      <c r="Q1223" s="27">
        <v>77</v>
      </c>
      <c r="R1223" s="69">
        <v>3.61</v>
      </c>
      <c r="S1223" s="69">
        <v>270.57</v>
      </c>
      <c r="X1223" s="2">
        <f t="shared" si="57"/>
        <v>0.23</v>
      </c>
      <c r="Y1223" s="2">
        <f>SUMIF(收盤價!A:A,A1223,收盤價!C:C)</f>
        <v>50.8</v>
      </c>
      <c r="Z1223" s="2">
        <f t="shared" si="58"/>
        <v>1896958.9550000001</v>
      </c>
      <c r="AA1223" s="2">
        <f t="shared" si="59"/>
        <v>3111576.2</v>
      </c>
    </row>
    <row r="1224" spans="1:27" ht="14.5" customHeight="1">
      <c r="A1224" s="7" t="s">
        <v>6600</v>
      </c>
      <c r="B1224" s="8" t="s">
        <v>2217</v>
      </c>
      <c r="C1224" s="27">
        <v>1181337</v>
      </c>
      <c r="D1224" s="27">
        <v>1270678</v>
      </c>
      <c r="E1224" s="69">
        <v>-7.03</v>
      </c>
      <c r="F1224" s="27">
        <v>-61059</v>
      </c>
      <c r="G1224" s="27">
        <v>-602491</v>
      </c>
      <c r="H1224" s="27">
        <v>13627</v>
      </c>
      <c r="I1224" s="27">
        <v>34429</v>
      </c>
      <c r="J1224" s="27">
        <v>-47432</v>
      </c>
      <c r="K1224" s="27">
        <v>-568062</v>
      </c>
      <c r="L1224" s="69">
        <v>91.65</v>
      </c>
      <c r="M1224" s="27">
        <v>1721000</v>
      </c>
      <c r="N1224" s="69">
        <v>-0.28000000000000003</v>
      </c>
      <c r="O1224" s="69">
        <v>-3.31</v>
      </c>
      <c r="P1224" s="69">
        <v>10.25</v>
      </c>
      <c r="Q1224" s="27">
        <v>83</v>
      </c>
      <c r="R1224" s="69">
        <v>3.79</v>
      </c>
      <c r="S1224" s="69">
        <v>320.81</v>
      </c>
      <c r="X1224" s="2">
        <f t="shared" si="57"/>
        <v>0.17</v>
      </c>
      <c r="Y1224" s="2">
        <f>SUMIF(收盤價!A:A,A1224,收盤價!C:C)</f>
        <v>10.15</v>
      </c>
      <c r="Z1224" s="2">
        <f t="shared" si="58"/>
        <v>1764025</v>
      </c>
      <c r="AA1224" s="2">
        <f t="shared" si="59"/>
        <v>1746815</v>
      </c>
    </row>
    <row r="1225" spans="1:27" ht="14.5" customHeight="1">
      <c r="A1225" s="7" t="s">
        <v>6601</v>
      </c>
      <c r="B1225" s="8" t="s">
        <v>2221</v>
      </c>
      <c r="C1225" s="27">
        <v>4653180</v>
      </c>
      <c r="D1225" s="27">
        <v>4714446</v>
      </c>
      <c r="E1225" s="69">
        <v>-1.3</v>
      </c>
      <c r="F1225" s="27">
        <v>233537</v>
      </c>
      <c r="G1225" s="27">
        <v>-1304492</v>
      </c>
      <c r="H1225" s="27">
        <v>-51559</v>
      </c>
      <c r="I1225" s="27">
        <v>-47459</v>
      </c>
      <c r="J1225" s="27">
        <v>181978</v>
      </c>
      <c r="K1225" s="27">
        <v>-1351951</v>
      </c>
      <c r="L1225" s="69">
        <v>113.46</v>
      </c>
      <c r="M1225" s="27">
        <v>2713643</v>
      </c>
      <c r="N1225" s="69">
        <v>0.67</v>
      </c>
      <c r="O1225" s="69">
        <v>-4.99</v>
      </c>
      <c r="P1225" s="69">
        <v>12.13</v>
      </c>
      <c r="Q1225" s="27">
        <v>53</v>
      </c>
      <c r="R1225" s="69">
        <v>1.72</v>
      </c>
      <c r="S1225" s="69">
        <v>158.07</v>
      </c>
      <c r="X1225" s="2">
        <f t="shared" si="57"/>
        <v>0.47</v>
      </c>
      <c r="Y1225" s="2">
        <f>SUMIF(收盤價!A:A,A1225,收盤價!C:C)</f>
        <v>80.5</v>
      </c>
      <c r="Z1225" s="2">
        <f t="shared" si="58"/>
        <v>3291648.9590000003</v>
      </c>
      <c r="AA1225" s="2">
        <f t="shared" si="59"/>
        <v>21844826.149999999</v>
      </c>
    </row>
    <row r="1226" spans="1:27" ht="14.5" customHeight="1">
      <c r="A1226" s="7" t="s">
        <v>6602</v>
      </c>
      <c r="B1226" s="8" t="s">
        <v>2235</v>
      </c>
      <c r="C1226" s="27">
        <v>1069647</v>
      </c>
      <c r="D1226" s="27">
        <v>1052369</v>
      </c>
      <c r="E1226" s="69">
        <v>1.64</v>
      </c>
      <c r="F1226" s="27">
        <v>-7111</v>
      </c>
      <c r="G1226" s="27">
        <v>-126097</v>
      </c>
      <c r="H1226" s="27">
        <v>2739</v>
      </c>
      <c r="I1226" s="27">
        <v>32796</v>
      </c>
      <c r="J1226" s="27">
        <v>-5057</v>
      </c>
      <c r="K1226" s="27">
        <v>-92457</v>
      </c>
      <c r="L1226" s="69">
        <v>94.53</v>
      </c>
      <c r="M1226" s="27">
        <v>673797</v>
      </c>
      <c r="N1226" s="69">
        <v>-0.08</v>
      </c>
      <c r="O1226" s="69">
        <v>-1.37</v>
      </c>
      <c r="P1226" s="69">
        <v>20.55</v>
      </c>
      <c r="Q1226" s="27">
        <v>86</v>
      </c>
      <c r="R1226" s="69">
        <v>4.37</v>
      </c>
      <c r="S1226" s="69">
        <v>357.35</v>
      </c>
      <c r="X1226" s="2">
        <f t="shared" si="57"/>
        <v>0.14000000000000001</v>
      </c>
      <c r="Y1226" s="2">
        <f>SUMIF(收盤價!A:A,A1226,收盤價!C:C)</f>
        <v>40.799999999999997</v>
      </c>
      <c r="Z1226" s="2">
        <f t="shared" si="58"/>
        <v>1384652.835</v>
      </c>
      <c r="AA1226" s="2">
        <f t="shared" si="59"/>
        <v>2749091.76</v>
      </c>
    </row>
    <row r="1227" spans="1:27" ht="14.5" customHeight="1">
      <c r="A1227" s="7" t="s">
        <v>6603</v>
      </c>
      <c r="B1227" s="8" t="s">
        <v>2283</v>
      </c>
      <c r="C1227" s="27">
        <v>2805789</v>
      </c>
      <c r="D1227" s="27">
        <v>2985122</v>
      </c>
      <c r="E1227" s="69">
        <v>-6.01</v>
      </c>
      <c r="F1227" s="27">
        <v>238623</v>
      </c>
      <c r="G1227" s="27">
        <v>312430</v>
      </c>
      <c r="H1227" s="27">
        <v>12051</v>
      </c>
      <c r="I1227" s="27">
        <v>8564</v>
      </c>
      <c r="J1227" s="27">
        <v>229803</v>
      </c>
      <c r="K1227" s="27">
        <v>268121</v>
      </c>
      <c r="L1227" s="69">
        <v>-14.29</v>
      </c>
      <c r="M1227" s="27">
        <v>409451</v>
      </c>
      <c r="N1227" s="69">
        <v>5.63</v>
      </c>
      <c r="O1227" s="69">
        <v>7.03</v>
      </c>
      <c r="P1227" s="69">
        <v>51.85</v>
      </c>
      <c r="Q1227" s="27">
        <v>80</v>
      </c>
      <c r="R1227" s="69">
        <v>4.47</v>
      </c>
      <c r="S1227" s="69">
        <v>327.5</v>
      </c>
      <c r="X1227" s="2">
        <f t="shared" si="57"/>
        <v>0.2</v>
      </c>
      <c r="Y1227" s="2">
        <f>SUMIF(收盤價!A:A,A1227,收盤價!C:C)</f>
        <v>113.5</v>
      </c>
      <c r="Z1227" s="2">
        <f t="shared" si="58"/>
        <v>2123003.4350000001</v>
      </c>
      <c r="AA1227" s="2">
        <f t="shared" si="59"/>
        <v>4647268.8499999996</v>
      </c>
    </row>
    <row r="1228" spans="1:27" ht="14.5" customHeight="1">
      <c r="A1228" s="7" t="s">
        <v>6604</v>
      </c>
      <c r="B1228" s="8" t="s">
        <v>2285</v>
      </c>
      <c r="C1228" s="27">
        <v>1410085</v>
      </c>
      <c r="D1228" s="27">
        <v>1476516</v>
      </c>
      <c r="E1228" s="69">
        <v>-4.5</v>
      </c>
      <c r="F1228" s="27">
        <v>621323</v>
      </c>
      <c r="G1228" s="27">
        <v>672735</v>
      </c>
      <c r="H1228" s="27">
        <v>11861</v>
      </c>
      <c r="I1228" s="27">
        <v>26096</v>
      </c>
      <c r="J1228" s="27">
        <v>542072</v>
      </c>
      <c r="K1228" s="27">
        <v>613106</v>
      </c>
      <c r="L1228" s="69">
        <v>-11.59</v>
      </c>
      <c r="M1228" s="27">
        <v>758336</v>
      </c>
      <c r="N1228" s="69">
        <v>7.3</v>
      </c>
      <c r="O1228" s="69">
        <v>8.1300000000000008</v>
      </c>
      <c r="P1228" s="69">
        <v>22.92</v>
      </c>
      <c r="Q1228" s="27">
        <v>83</v>
      </c>
      <c r="R1228" s="69">
        <v>4.6399999999999997</v>
      </c>
      <c r="S1228" s="69">
        <v>457.9</v>
      </c>
      <c r="X1228" s="2">
        <f t="shared" si="57"/>
        <v>0.17</v>
      </c>
      <c r="Y1228" s="2">
        <f>SUMIF(收盤價!A:A,A1228,收盤價!C:C)</f>
        <v>356.5</v>
      </c>
      <c r="Z1228" s="2">
        <f t="shared" si="58"/>
        <v>1738106.1120000002</v>
      </c>
      <c r="AA1228" s="2">
        <f t="shared" si="59"/>
        <v>27034678.399999999</v>
      </c>
    </row>
    <row r="1229" spans="1:27" ht="14.5" customHeight="1">
      <c r="A1229" s="7" t="s">
        <v>6605</v>
      </c>
      <c r="B1229" s="8" t="s">
        <v>2303</v>
      </c>
      <c r="C1229" s="27">
        <v>164028</v>
      </c>
      <c r="D1229" s="27">
        <v>215722</v>
      </c>
      <c r="E1229" s="69">
        <v>-23.96</v>
      </c>
      <c r="F1229" s="27">
        <v>-86888</v>
      </c>
      <c r="G1229" s="27">
        <v>-45708</v>
      </c>
      <c r="H1229" s="27">
        <v>24884</v>
      </c>
      <c r="I1229" s="27">
        <v>29449</v>
      </c>
      <c r="J1229" s="27">
        <v>-52625</v>
      </c>
      <c r="K1229" s="27">
        <v>-18685</v>
      </c>
      <c r="L1229" s="69">
        <v>-181.64</v>
      </c>
      <c r="M1229" s="27">
        <v>355500</v>
      </c>
      <c r="N1229" s="69">
        <v>-1.48</v>
      </c>
      <c r="O1229" s="69">
        <v>-0.53</v>
      </c>
      <c r="P1229" s="69">
        <v>9.4600000000000009</v>
      </c>
      <c r="Q1229" s="27">
        <v>73</v>
      </c>
      <c r="R1229" s="69">
        <v>4.26</v>
      </c>
      <c r="S1229" s="69">
        <v>364.25</v>
      </c>
      <c r="X1229" s="2">
        <f t="shared" si="57"/>
        <v>0.27</v>
      </c>
      <c r="Y1229" s="2">
        <f>SUMIF(收盤價!A:A,A1229,收盤價!C:C)</f>
        <v>31.35</v>
      </c>
      <c r="Z1229" s="2">
        <f t="shared" si="58"/>
        <v>336303.00000000006</v>
      </c>
      <c r="AA1229" s="2">
        <f t="shared" si="59"/>
        <v>1114492.5</v>
      </c>
    </row>
    <row r="1230" spans="1:27" ht="14.5" customHeight="1">
      <c r="A1230" s="7" t="s">
        <v>6606</v>
      </c>
      <c r="B1230" s="8" t="s">
        <v>2305</v>
      </c>
      <c r="C1230" s="27">
        <v>1147034</v>
      </c>
      <c r="D1230" s="27">
        <v>1076953</v>
      </c>
      <c r="E1230" s="69">
        <v>6.51</v>
      </c>
      <c r="F1230" s="27">
        <v>259164</v>
      </c>
      <c r="G1230" s="27">
        <v>211369</v>
      </c>
      <c r="H1230" s="27">
        <v>-42842</v>
      </c>
      <c r="I1230" s="27">
        <v>20426</v>
      </c>
      <c r="J1230" s="27">
        <v>195851</v>
      </c>
      <c r="K1230" s="27">
        <v>197685</v>
      </c>
      <c r="L1230" s="69">
        <v>-0.93</v>
      </c>
      <c r="M1230" s="27">
        <v>594687</v>
      </c>
      <c r="N1230" s="69">
        <v>3.29</v>
      </c>
      <c r="O1230" s="69">
        <v>3.32</v>
      </c>
      <c r="P1230" s="69">
        <v>18.190000000000001</v>
      </c>
      <c r="Q1230" s="27">
        <v>72</v>
      </c>
      <c r="R1230" s="69">
        <v>4.5</v>
      </c>
      <c r="S1230" s="69">
        <v>359.8</v>
      </c>
      <c r="X1230" s="2">
        <f t="shared" si="57"/>
        <v>0.28000000000000003</v>
      </c>
      <c r="Y1230" s="2">
        <f>SUMIF(收盤價!A:A,A1230,收盤價!C:C)</f>
        <v>49.25</v>
      </c>
      <c r="Z1230" s="2">
        <f t="shared" si="58"/>
        <v>1081735.6530000002</v>
      </c>
      <c r="AA1230" s="2">
        <f t="shared" si="59"/>
        <v>2928833.4750000001</v>
      </c>
    </row>
    <row r="1231" spans="1:27" ht="14.5" customHeight="1">
      <c r="A1231" s="7" t="s">
        <v>6607</v>
      </c>
      <c r="B1231" s="8" t="s">
        <v>2311</v>
      </c>
      <c r="C1231" s="27">
        <v>359840</v>
      </c>
      <c r="D1231" s="27">
        <v>413112</v>
      </c>
      <c r="E1231" s="69">
        <v>-12.9</v>
      </c>
      <c r="F1231" s="27">
        <v>77130</v>
      </c>
      <c r="G1231" s="27">
        <v>113984</v>
      </c>
      <c r="H1231" s="27">
        <v>946</v>
      </c>
      <c r="I1231" s="27">
        <v>1415</v>
      </c>
      <c r="J1231" s="27">
        <v>61533</v>
      </c>
      <c r="K1231" s="27">
        <v>92944</v>
      </c>
      <c r="L1231" s="69">
        <v>-33.799999999999997</v>
      </c>
      <c r="M1231" s="27">
        <v>341270</v>
      </c>
      <c r="N1231" s="69">
        <v>1.8</v>
      </c>
      <c r="O1231" s="69">
        <v>2.63</v>
      </c>
      <c r="P1231" s="69">
        <v>16.21</v>
      </c>
      <c r="Q1231" s="27">
        <v>88</v>
      </c>
      <c r="R1231" s="69">
        <v>2.85</v>
      </c>
      <c r="S1231" s="69">
        <v>285.02999999999997</v>
      </c>
      <c r="X1231" s="2">
        <f t="shared" si="57"/>
        <v>0.12</v>
      </c>
      <c r="Y1231" s="2">
        <f>SUMIF(收盤價!A:A,A1231,收盤價!C:C)</f>
        <v>23.25</v>
      </c>
      <c r="Z1231" s="2">
        <f t="shared" si="58"/>
        <v>553198.67000000004</v>
      </c>
      <c r="AA1231" s="2">
        <f t="shared" si="59"/>
        <v>793452.75</v>
      </c>
    </row>
    <row r="1232" spans="1:27" ht="14.5" customHeight="1">
      <c r="A1232" s="7" t="s">
        <v>6608</v>
      </c>
      <c r="B1232" s="8" t="s">
        <v>2319</v>
      </c>
      <c r="C1232" s="27">
        <v>1180354</v>
      </c>
      <c r="D1232" s="27">
        <v>1165521</v>
      </c>
      <c r="E1232" s="69">
        <v>1.27</v>
      </c>
      <c r="F1232" s="27">
        <v>84880</v>
      </c>
      <c r="G1232" s="27">
        <v>69526</v>
      </c>
      <c r="H1232" s="27">
        <v>1503</v>
      </c>
      <c r="I1232" s="27">
        <v>-629</v>
      </c>
      <c r="J1232" s="27">
        <v>53698</v>
      </c>
      <c r="K1232" s="27">
        <v>36276</v>
      </c>
      <c r="L1232" s="69">
        <v>48.03</v>
      </c>
      <c r="M1232" s="27">
        <v>510060</v>
      </c>
      <c r="N1232" s="69">
        <v>1.05</v>
      </c>
      <c r="O1232" s="69">
        <v>0.71</v>
      </c>
      <c r="P1232" s="69">
        <v>14.29</v>
      </c>
      <c r="Q1232" s="27">
        <v>47</v>
      </c>
      <c r="R1232" s="69">
        <v>1.9</v>
      </c>
      <c r="S1232" s="69">
        <v>136.44999999999999</v>
      </c>
      <c r="X1232" s="2">
        <f t="shared" si="57"/>
        <v>0.53</v>
      </c>
      <c r="Y1232" s="2">
        <f>SUMIF(收盤價!A:A,A1232,收盤價!C:C)</f>
        <v>17.5</v>
      </c>
      <c r="Z1232" s="2">
        <f t="shared" si="58"/>
        <v>728875.74</v>
      </c>
      <c r="AA1232" s="2">
        <f t="shared" si="59"/>
        <v>892605</v>
      </c>
    </row>
    <row r="1233" spans="1:27" ht="14.5" customHeight="1">
      <c r="A1233" s="7" t="s">
        <v>6609</v>
      </c>
      <c r="B1233" s="8" t="s">
        <v>2363</v>
      </c>
      <c r="C1233" s="27">
        <v>1547880</v>
      </c>
      <c r="D1233" s="27">
        <v>1508500</v>
      </c>
      <c r="E1233" s="69">
        <v>2.61</v>
      </c>
      <c r="F1233" s="27">
        <v>131500</v>
      </c>
      <c r="G1233" s="27">
        <v>139181</v>
      </c>
      <c r="H1233" s="27">
        <v>6983</v>
      </c>
      <c r="I1233" s="27">
        <v>7497</v>
      </c>
      <c r="J1233" s="27">
        <v>102097</v>
      </c>
      <c r="K1233" s="27">
        <v>112701</v>
      </c>
      <c r="L1233" s="69">
        <v>-9.41</v>
      </c>
      <c r="M1233" s="27">
        <v>444283</v>
      </c>
      <c r="N1233" s="69">
        <v>2.2999999999999998</v>
      </c>
      <c r="O1233" s="69">
        <v>2.54</v>
      </c>
      <c r="P1233" s="69">
        <v>23.31</v>
      </c>
      <c r="Q1233" s="27">
        <v>39</v>
      </c>
      <c r="R1233" s="69">
        <v>1.21</v>
      </c>
      <c r="S1233" s="69">
        <v>87.96</v>
      </c>
      <c r="X1233" s="2">
        <f t="shared" si="57"/>
        <v>0.61</v>
      </c>
      <c r="Y1233" s="2">
        <f>SUMIF(收盤價!A:A,A1233,收盤價!C:C)</f>
        <v>45.7</v>
      </c>
      <c r="Z1233" s="2">
        <f t="shared" si="58"/>
        <v>1035623.6729999998</v>
      </c>
      <c r="AA1233" s="2">
        <f t="shared" si="59"/>
        <v>2030373.31</v>
      </c>
    </row>
    <row r="1234" spans="1:27" ht="14.5" customHeight="1">
      <c r="A1234" s="7" t="s">
        <v>6610</v>
      </c>
      <c r="B1234" s="8" t="s">
        <v>2365</v>
      </c>
      <c r="C1234" s="27">
        <v>2374821</v>
      </c>
      <c r="D1234" s="27">
        <v>1634740</v>
      </c>
      <c r="E1234" s="69">
        <v>45.27</v>
      </c>
      <c r="F1234" s="27">
        <v>199744</v>
      </c>
      <c r="G1234" s="27">
        <v>-23609</v>
      </c>
      <c r="H1234" s="27">
        <v>90152</v>
      </c>
      <c r="I1234" s="27">
        <v>42413</v>
      </c>
      <c r="J1234" s="27">
        <v>224155</v>
      </c>
      <c r="K1234" s="27">
        <v>19063</v>
      </c>
      <c r="L1234" s="28" t="s">
        <v>6378</v>
      </c>
      <c r="M1234" s="27">
        <v>740606</v>
      </c>
      <c r="N1234" s="69">
        <v>3.25</v>
      </c>
      <c r="O1234" s="69">
        <v>0.27</v>
      </c>
      <c r="P1234" s="69">
        <v>25.16</v>
      </c>
      <c r="Q1234" s="27">
        <v>38</v>
      </c>
      <c r="R1234" s="69">
        <v>1.33</v>
      </c>
      <c r="S1234" s="69">
        <v>66.92</v>
      </c>
      <c r="X1234" s="2">
        <f t="shared" si="57"/>
        <v>0.62</v>
      </c>
      <c r="Y1234" s="2">
        <f>SUMIF(收盤價!A:A,A1234,收盤價!C:C)</f>
        <v>174.5</v>
      </c>
      <c r="Z1234" s="2">
        <f t="shared" si="58"/>
        <v>1863364.696</v>
      </c>
      <c r="AA1234" s="2">
        <f t="shared" si="59"/>
        <v>12923574.699999999</v>
      </c>
    </row>
    <row r="1235" spans="1:27" ht="14.5" customHeight="1">
      <c r="A1235" s="7" t="s">
        <v>6611</v>
      </c>
      <c r="B1235" s="8" t="s">
        <v>2379</v>
      </c>
      <c r="C1235" s="27">
        <v>5419225</v>
      </c>
      <c r="D1235" s="27">
        <v>6436456</v>
      </c>
      <c r="E1235" s="69">
        <v>-15.8</v>
      </c>
      <c r="F1235" s="27">
        <v>-582628</v>
      </c>
      <c r="G1235" s="27">
        <v>305900</v>
      </c>
      <c r="H1235" s="27">
        <v>-19612</v>
      </c>
      <c r="I1235" s="27">
        <v>34139</v>
      </c>
      <c r="J1235" s="27">
        <v>-606678</v>
      </c>
      <c r="K1235" s="27">
        <v>71203</v>
      </c>
      <c r="L1235" s="69">
        <v>-952.04</v>
      </c>
      <c r="M1235" s="27">
        <v>2937244</v>
      </c>
      <c r="N1235" s="69">
        <v>-2.13</v>
      </c>
      <c r="O1235" s="69">
        <v>0.26</v>
      </c>
      <c r="P1235" s="69">
        <v>10.71</v>
      </c>
      <c r="Q1235" s="27">
        <v>34</v>
      </c>
      <c r="R1235" s="69">
        <v>2.1800000000000002</v>
      </c>
      <c r="S1235" s="69">
        <v>140.13</v>
      </c>
      <c r="X1235" s="2">
        <f t="shared" si="57"/>
        <v>0.66</v>
      </c>
      <c r="Y1235" s="2">
        <f>SUMIF(收盤價!A:A,A1235,收盤價!C:C)</f>
        <v>27.9</v>
      </c>
      <c r="Z1235" s="2">
        <f t="shared" si="58"/>
        <v>3145788.324</v>
      </c>
      <c r="AA1235" s="2">
        <f t="shared" si="59"/>
        <v>8194910.7599999998</v>
      </c>
    </row>
    <row r="1236" spans="1:27" ht="14.5" customHeight="1">
      <c r="A1236" s="7" t="s">
        <v>6612</v>
      </c>
      <c r="B1236" s="8" t="s">
        <v>2633</v>
      </c>
      <c r="C1236" s="27">
        <v>3844725</v>
      </c>
      <c r="D1236" s="27">
        <v>4496163</v>
      </c>
      <c r="E1236" s="69">
        <v>-14.49</v>
      </c>
      <c r="F1236" s="27">
        <v>104604</v>
      </c>
      <c r="G1236" s="27">
        <v>42254</v>
      </c>
      <c r="H1236" s="27">
        <v>6979</v>
      </c>
      <c r="I1236" s="27">
        <v>53009</v>
      </c>
      <c r="J1236" s="27">
        <v>95462</v>
      </c>
      <c r="K1236" s="27">
        <v>85123</v>
      </c>
      <c r="L1236" s="69">
        <v>12.15</v>
      </c>
      <c r="M1236" s="27">
        <v>635058</v>
      </c>
      <c r="N1236" s="69">
        <v>1.5</v>
      </c>
      <c r="O1236" s="69">
        <v>1.34</v>
      </c>
      <c r="P1236" s="69">
        <v>28.65</v>
      </c>
      <c r="Q1236" s="27">
        <v>68</v>
      </c>
      <c r="R1236" s="69">
        <v>2.2400000000000002</v>
      </c>
      <c r="S1236" s="69">
        <v>121.2</v>
      </c>
      <c r="X1236" s="2">
        <f t="shared" si="57"/>
        <v>0.32</v>
      </c>
      <c r="Y1236" s="2">
        <f>SUMIF(收盤價!A:A,A1236,收盤價!C:C)</f>
        <v>25.75</v>
      </c>
      <c r="Z1236" s="2">
        <f t="shared" si="58"/>
        <v>1819441.17</v>
      </c>
      <c r="AA1236" s="2">
        <f t="shared" si="59"/>
        <v>1635274.35</v>
      </c>
    </row>
    <row r="1237" spans="1:27" ht="14.5" customHeight="1">
      <c r="A1237" s="7" t="s">
        <v>6613</v>
      </c>
      <c r="B1237" s="8" t="s">
        <v>2691</v>
      </c>
      <c r="C1237" s="27">
        <v>521596</v>
      </c>
      <c r="D1237" s="27">
        <v>553240</v>
      </c>
      <c r="E1237" s="69">
        <v>-5.72</v>
      </c>
      <c r="F1237" s="27">
        <v>-1215</v>
      </c>
      <c r="G1237" s="27">
        <v>-31491</v>
      </c>
      <c r="H1237" s="27">
        <v>8005</v>
      </c>
      <c r="I1237" s="27">
        <v>12949</v>
      </c>
      <c r="J1237" s="27">
        <v>12504</v>
      </c>
      <c r="K1237" s="27">
        <v>-18542</v>
      </c>
      <c r="L1237" s="69">
        <v>167.44</v>
      </c>
      <c r="M1237" s="27">
        <v>564241</v>
      </c>
      <c r="N1237" s="69">
        <v>0.22</v>
      </c>
      <c r="O1237" s="69">
        <v>-0.33</v>
      </c>
      <c r="P1237" s="69">
        <v>17.100000000000001</v>
      </c>
      <c r="Q1237" s="27">
        <v>81</v>
      </c>
      <c r="R1237" s="69">
        <v>5.03</v>
      </c>
      <c r="S1237" s="69">
        <v>322.20999999999998</v>
      </c>
      <c r="X1237" s="2">
        <f t="shared" si="57"/>
        <v>0.19</v>
      </c>
      <c r="Y1237" s="2">
        <f>SUMIF(收盤價!A:A,A1237,收盤價!C:C)</f>
        <v>26.9</v>
      </c>
      <c r="Z1237" s="2">
        <f t="shared" si="58"/>
        <v>964852.1100000001</v>
      </c>
      <c r="AA1237" s="2">
        <f t="shared" si="59"/>
        <v>1517808.2899999998</v>
      </c>
    </row>
    <row r="1238" spans="1:27" ht="14.5" customHeight="1">
      <c r="A1238" s="7" t="s">
        <v>6614</v>
      </c>
      <c r="B1238" s="8" t="s">
        <v>2693</v>
      </c>
      <c r="C1238" s="27">
        <v>2484295</v>
      </c>
      <c r="D1238" s="27">
        <v>2153519</v>
      </c>
      <c r="E1238" s="69">
        <v>15.36</v>
      </c>
      <c r="F1238" s="27">
        <v>1008389</v>
      </c>
      <c r="G1238" s="27">
        <v>799888</v>
      </c>
      <c r="H1238" s="27">
        <v>2178</v>
      </c>
      <c r="I1238" s="27">
        <v>54142</v>
      </c>
      <c r="J1238" s="27">
        <v>831185</v>
      </c>
      <c r="K1238" s="27">
        <v>685922</v>
      </c>
      <c r="L1238" s="69">
        <v>21.18</v>
      </c>
      <c r="M1238" s="27">
        <v>341848</v>
      </c>
      <c r="N1238" s="69">
        <v>24.39</v>
      </c>
      <c r="O1238" s="69">
        <v>20.2</v>
      </c>
      <c r="P1238" s="69">
        <v>77.03</v>
      </c>
      <c r="Q1238" s="27">
        <v>77</v>
      </c>
      <c r="R1238" s="69">
        <v>3.64</v>
      </c>
      <c r="S1238" s="69">
        <v>351.14</v>
      </c>
      <c r="X1238" s="2">
        <f t="shared" si="57"/>
        <v>0.23</v>
      </c>
      <c r="Y1238" s="2">
        <f>SUMIF(收盤價!A:A,A1238,收盤價!C:C)</f>
        <v>959</v>
      </c>
      <c r="Z1238" s="2">
        <f t="shared" si="58"/>
        <v>2633255.1440000003</v>
      </c>
      <c r="AA1238" s="2">
        <f t="shared" si="59"/>
        <v>32783223.199999999</v>
      </c>
    </row>
    <row r="1239" spans="1:27" ht="14.5" customHeight="1">
      <c r="A1239" s="7" t="s">
        <v>6615</v>
      </c>
      <c r="B1239" s="8" t="s">
        <v>2707</v>
      </c>
      <c r="C1239" s="27">
        <v>1648213</v>
      </c>
      <c r="D1239" s="27">
        <v>1466529</v>
      </c>
      <c r="E1239" s="69">
        <v>12.39</v>
      </c>
      <c r="F1239" s="27">
        <v>335606</v>
      </c>
      <c r="G1239" s="27">
        <v>275860</v>
      </c>
      <c r="H1239" s="27">
        <v>611</v>
      </c>
      <c r="I1239" s="27">
        <v>28062</v>
      </c>
      <c r="J1239" s="27">
        <v>280584</v>
      </c>
      <c r="K1239" s="27">
        <v>257309</v>
      </c>
      <c r="L1239" s="69">
        <v>9.0500000000000007</v>
      </c>
      <c r="M1239" s="27">
        <v>352290</v>
      </c>
      <c r="N1239" s="69">
        <v>7.96</v>
      </c>
      <c r="O1239" s="69">
        <v>7.3</v>
      </c>
      <c r="P1239" s="69">
        <v>30.57</v>
      </c>
      <c r="Q1239" s="27">
        <v>73</v>
      </c>
      <c r="R1239" s="69">
        <v>3.18</v>
      </c>
      <c r="S1239" s="69">
        <v>214.9</v>
      </c>
      <c r="X1239" s="2">
        <f t="shared" si="57"/>
        <v>0.27</v>
      </c>
      <c r="Y1239" s="2">
        <f>SUMIF(收盤價!A:A,A1239,收盤價!C:C)</f>
        <v>119.5</v>
      </c>
      <c r="Z1239" s="2">
        <f t="shared" si="58"/>
        <v>1076950.53</v>
      </c>
      <c r="AA1239" s="2">
        <f t="shared" si="59"/>
        <v>4209865.5</v>
      </c>
    </row>
    <row r="1240" spans="1:27" ht="14.5" customHeight="1">
      <c r="A1240" s="7" t="s">
        <v>6616</v>
      </c>
      <c r="B1240" s="8" t="s">
        <v>2711</v>
      </c>
      <c r="C1240" s="27">
        <v>56825</v>
      </c>
      <c r="D1240" s="27">
        <v>81812</v>
      </c>
      <c r="E1240" s="69">
        <v>-30.54</v>
      </c>
      <c r="F1240" s="27">
        <v>-83844</v>
      </c>
      <c r="G1240" s="27">
        <v>-79276</v>
      </c>
      <c r="H1240" s="27">
        <v>17663</v>
      </c>
      <c r="I1240" s="27">
        <v>27269</v>
      </c>
      <c r="J1240" s="27">
        <v>-62536</v>
      </c>
      <c r="K1240" s="27">
        <v>-48612</v>
      </c>
      <c r="L1240" s="69">
        <v>-28.64</v>
      </c>
      <c r="M1240" s="27">
        <v>1623770</v>
      </c>
      <c r="N1240" s="69">
        <v>-0.39</v>
      </c>
      <c r="O1240" s="69">
        <v>-0.3</v>
      </c>
      <c r="P1240" s="69">
        <v>9.48</v>
      </c>
      <c r="Q1240" s="27">
        <v>81</v>
      </c>
      <c r="R1240" s="69">
        <v>0.48</v>
      </c>
      <c r="S1240" s="69">
        <v>40.07</v>
      </c>
      <c r="X1240" s="2">
        <f t="shared" si="57"/>
        <v>0.19</v>
      </c>
      <c r="Y1240" s="2">
        <f>SUMIF(收盤價!A:A,A1240,收盤價!C:C)</f>
        <v>6</v>
      </c>
      <c r="Z1240" s="2">
        <f t="shared" si="58"/>
        <v>1539333.9600000002</v>
      </c>
      <c r="AA1240" s="2">
        <f t="shared" si="59"/>
        <v>974262</v>
      </c>
    </row>
    <row r="1241" spans="1:27" ht="14.5" customHeight="1">
      <c r="A1241" s="7" t="s">
        <v>6617</v>
      </c>
      <c r="B1241" s="8" t="s">
        <v>2723</v>
      </c>
      <c r="C1241" s="27">
        <v>51919</v>
      </c>
      <c r="D1241" s="27">
        <v>86980</v>
      </c>
      <c r="E1241" s="69">
        <v>-40.31</v>
      </c>
      <c r="F1241" s="27">
        <v>-25246</v>
      </c>
      <c r="G1241" s="27">
        <v>-56692</v>
      </c>
      <c r="H1241" s="27">
        <v>1033</v>
      </c>
      <c r="I1241" s="27">
        <v>69624</v>
      </c>
      <c r="J1241" s="27">
        <v>-24182</v>
      </c>
      <c r="K1241" s="27">
        <v>12934</v>
      </c>
      <c r="L1241" s="69">
        <v>-286.95999999999998</v>
      </c>
      <c r="M1241" s="27">
        <v>600000</v>
      </c>
      <c r="N1241" s="69">
        <v>-0.4</v>
      </c>
      <c r="O1241" s="69">
        <v>0.22</v>
      </c>
      <c r="P1241" s="69">
        <v>3.39</v>
      </c>
      <c r="Q1241" s="27">
        <v>90</v>
      </c>
      <c r="R1241" s="69">
        <v>18.8</v>
      </c>
      <c r="S1241" s="69">
        <v>1765.8</v>
      </c>
      <c r="X1241" s="2">
        <f t="shared" si="57"/>
        <v>0.1</v>
      </c>
      <c r="Y1241" s="2">
        <f>SUMIF(收盤價!A:A,A1241,收盤價!C:C)</f>
        <v>5.98</v>
      </c>
      <c r="Z1241" s="2">
        <f t="shared" si="58"/>
        <v>203400</v>
      </c>
      <c r="AA1241" s="2">
        <f t="shared" si="59"/>
        <v>358800.00000000006</v>
      </c>
    </row>
    <row r="1242" spans="1:27" ht="14.5" customHeight="1">
      <c r="A1242" s="7" t="s">
        <v>6618</v>
      </c>
      <c r="B1242" s="8" t="s">
        <v>2735</v>
      </c>
      <c r="C1242" s="27">
        <v>211353</v>
      </c>
      <c r="D1242" s="27">
        <v>192509</v>
      </c>
      <c r="E1242" s="69">
        <v>9.7899999999999991</v>
      </c>
      <c r="F1242" s="27">
        <v>-43375</v>
      </c>
      <c r="G1242" s="27">
        <v>-55849</v>
      </c>
      <c r="H1242" s="27">
        <v>5286</v>
      </c>
      <c r="I1242" s="27">
        <v>1235</v>
      </c>
      <c r="J1242" s="27">
        <v>-38045</v>
      </c>
      <c r="K1242" s="27">
        <v>-54534</v>
      </c>
      <c r="L1242" s="69">
        <v>30.24</v>
      </c>
      <c r="M1242" s="27">
        <v>794474</v>
      </c>
      <c r="N1242" s="69">
        <v>-0.48</v>
      </c>
      <c r="O1242" s="69">
        <v>-0.69</v>
      </c>
      <c r="P1242" s="69">
        <v>5.63</v>
      </c>
      <c r="Q1242" s="27">
        <v>81</v>
      </c>
      <c r="R1242" s="69">
        <v>2.6</v>
      </c>
      <c r="S1242" s="69">
        <v>256.17</v>
      </c>
      <c r="X1242" s="2">
        <f t="shared" si="57"/>
        <v>0.19</v>
      </c>
      <c r="Y1242" s="2">
        <f>SUMIF(收盤價!A:A,A1242,收盤價!C:C)</f>
        <v>6.35</v>
      </c>
      <c r="Z1242" s="2">
        <f t="shared" si="58"/>
        <v>447288.86200000002</v>
      </c>
      <c r="AA1242" s="2">
        <f t="shared" si="59"/>
        <v>504490.98999999993</v>
      </c>
    </row>
    <row r="1243" spans="1:27" ht="14.5" customHeight="1">
      <c r="A1243" s="7" t="s">
        <v>6619</v>
      </c>
      <c r="B1243" s="8" t="s">
        <v>2739</v>
      </c>
      <c r="C1243" s="27">
        <v>28286072</v>
      </c>
      <c r="D1243" s="27">
        <v>28928094</v>
      </c>
      <c r="E1243" s="69">
        <v>-2.2200000000000002</v>
      </c>
      <c r="F1243" s="27">
        <v>6909389</v>
      </c>
      <c r="G1243" s="27">
        <v>7154708</v>
      </c>
      <c r="H1243" s="27">
        <v>448930</v>
      </c>
      <c r="I1243" s="27">
        <v>317478</v>
      </c>
      <c r="J1243" s="27">
        <v>5860497</v>
      </c>
      <c r="K1243" s="27">
        <v>6166269</v>
      </c>
      <c r="L1243" s="69">
        <v>-4.96</v>
      </c>
      <c r="M1243" s="27">
        <v>16389823</v>
      </c>
      <c r="N1243" s="69">
        <v>3.58</v>
      </c>
      <c r="O1243" s="69">
        <v>3.76</v>
      </c>
      <c r="P1243" s="69">
        <v>18.02</v>
      </c>
      <c r="Q1243" s="27">
        <v>68</v>
      </c>
      <c r="R1243" s="69">
        <v>1.91</v>
      </c>
      <c r="S1243" s="69">
        <v>160.81</v>
      </c>
      <c r="X1243" s="2">
        <f t="shared" si="57"/>
        <v>0.32</v>
      </c>
      <c r="Y1243" s="2">
        <f>SUMIF(收盤價!A:A,A1243,收盤價!C:C)</f>
        <v>79.3</v>
      </c>
      <c r="Z1243" s="2">
        <f t="shared" si="58"/>
        <v>29534461.045999996</v>
      </c>
      <c r="AA1243" s="2">
        <f t="shared" si="59"/>
        <v>129971296.38999999</v>
      </c>
    </row>
    <row r="1244" spans="1:27" ht="14.5" customHeight="1">
      <c r="A1244" s="7" t="s">
        <v>6620</v>
      </c>
      <c r="B1244" s="8" t="s">
        <v>2745</v>
      </c>
      <c r="C1244" s="27">
        <v>3681468</v>
      </c>
      <c r="D1244" s="27">
        <v>4840161</v>
      </c>
      <c r="E1244" s="69">
        <v>-23.94</v>
      </c>
      <c r="F1244" s="27">
        <v>-523084</v>
      </c>
      <c r="G1244" s="27">
        <v>-649338</v>
      </c>
      <c r="H1244" s="27">
        <v>1038</v>
      </c>
      <c r="I1244" s="27">
        <v>-25004</v>
      </c>
      <c r="J1244" s="27">
        <v>-498906</v>
      </c>
      <c r="K1244" s="27">
        <v>-650587</v>
      </c>
      <c r="L1244" s="69">
        <v>23.31</v>
      </c>
      <c r="M1244" s="27">
        <v>4352398</v>
      </c>
      <c r="N1244" s="69">
        <v>-1.1499999999999999</v>
      </c>
      <c r="O1244" s="69">
        <v>-1.49</v>
      </c>
      <c r="P1244" s="69">
        <v>5.29</v>
      </c>
      <c r="Q1244" s="27">
        <v>36</v>
      </c>
      <c r="R1244" s="69">
        <v>1.93</v>
      </c>
      <c r="S1244" s="69">
        <v>96.11</v>
      </c>
      <c r="X1244" s="2">
        <f t="shared" si="57"/>
        <v>0.64</v>
      </c>
      <c r="Y1244" s="2">
        <f>SUMIF(收盤價!A:A,A1244,收盤價!C:C)</f>
        <v>10.8</v>
      </c>
      <c r="Z1244" s="2">
        <f t="shared" si="58"/>
        <v>2302418.5420000004</v>
      </c>
      <c r="AA1244" s="2">
        <f t="shared" si="59"/>
        <v>4700589.8400000008</v>
      </c>
    </row>
    <row r="1245" spans="1:27" ht="14.5" customHeight="1">
      <c r="A1245" s="7" t="s">
        <v>6621</v>
      </c>
      <c r="B1245" s="8" t="s">
        <v>2771</v>
      </c>
      <c r="C1245" s="27">
        <v>10504202</v>
      </c>
      <c r="D1245" s="27">
        <v>9610470</v>
      </c>
      <c r="E1245" s="69">
        <v>9.3000000000000007</v>
      </c>
      <c r="F1245" s="27">
        <v>1298331</v>
      </c>
      <c r="G1245" s="27">
        <v>1708886</v>
      </c>
      <c r="H1245" s="27">
        <v>659</v>
      </c>
      <c r="I1245" s="27">
        <v>66577</v>
      </c>
      <c r="J1245" s="27">
        <v>527629</v>
      </c>
      <c r="K1245" s="27">
        <v>812307</v>
      </c>
      <c r="L1245" s="69">
        <v>-35.049999999999997</v>
      </c>
      <c r="M1245" s="27">
        <v>2494539</v>
      </c>
      <c r="N1245" s="69">
        <v>2.29</v>
      </c>
      <c r="O1245" s="69">
        <v>3.53</v>
      </c>
      <c r="P1245" s="69">
        <v>23.72</v>
      </c>
      <c r="Q1245" s="27">
        <v>39</v>
      </c>
      <c r="R1245" s="69">
        <v>1.37</v>
      </c>
      <c r="S1245" s="69">
        <v>96.14</v>
      </c>
      <c r="X1245" s="2">
        <f t="shared" si="57"/>
        <v>0.61</v>
      </c>
      <c r="Y1245" s="2">
        <f>SUMIF(收盤價!A:A,A1245,收盤價!C:C)</f>
        <v>53.6</v>
      </c>
      <c r="Z1245" s="2">
        <f t="shared" si="58"/>
        <v>5917046.5079999994</v>
      </c>
      <c r="AA1245" s="2">
        <f t="shared" si="59"/>
        <v>13370729.040000001</v>
      </c>
    </row>
    <row r="1246" spans="1:27" ht="14.5" customHeight="1">
      <c r="A1246" s="7" t="s">
        <v>6622</v>
      </c>
      <c r="B1246" s="8" t="s">
        <v>2797</v>
      </c>
      <c r="C1246" s="27">
        <v>135644</v>
      </c>
      <c r="D1246" s="27">
        <v>137643</v>
      </c>
      <c r="E1246" s="69">
        <v>-1.45</v>
      </c>
      <c r="F1246" s="27">
        <v>-47333</v>
      </c>
      <c r="G1246" s="27">
        <v>-73075</v>
      </c>
      <c r="H1246" s="27">
        <v>-70273</v>
      </c>
      <c r="I1246" s="27">
        <v>-3339</v>
      </c>
      <c r="J1246" s="27">
        <v>-68709</v>
      </c>
      <c r="K1246" s="27">
        <v>-53871</v>
      </c>
      <c r="L1246" s="69">
        <v>-27.54</v>
      </c>
      <c r="M1246" s="27">
        <v>198229</v>
      </c>
      <c r="N1246" s="69">
        <v>-3.47</v>
      </c>
      <c r="O1246" s="69">
        <v>-2.72</v>
      </c>
      <c r="P1246" s="69">
        <v>5.51</v>
      </c>
      <c r="Q1246" s="27">
        <v>35</v>
      </c>
      <c r="R1246" s="69">
        <v>0.56999999999999995</v>
      </c>
      <c r="S1246" s="69">
        <v>30.22</v>
      </c>
      <c r="X1246" s="2">
        <f t="shared" si="57"/>
        <v>0.65</v>
      </c>
      <c r="Y1246" s="2">
        <f>SUMIF(收盤價!A:A,A1246,收盤價!C:C)</f>
        <v>11.9</v>
      </c>
      <c r="Z1246" s="2">
        <f t="shared" si="58"/>
        <v>109224.179</v>
      </c>
      <c r="AA1246" s="2">
        <f t="shared" si="59"/>
        <v>235892.51</v>
      </c>
    </row>
    <row r="1247" spans="1:27" ht="14.5" customHeight="1">
      <c r="A1247" s="7" t="s">
        <v>6623</v>
      </c>
      <c r="B1247" s="8" t="s">
        <v>2807</v>
      </c>
      <c r="C1247" s="27">
        <v>65510225</v>
      </c>
      <c r="D1247" s="27">
        <v>69238945</v>
      </c>
      <c r="E1247" s="69">
        <v>-5.39</v>
      </c>
      <c r="F1247" s="27">
        <v>13515421</v>
      </c>
      <c r="G1247" s="27">
        <v>13177505</v>
      </c>
      <c r="H1247" s="27">
        <v>408748</v>
      </c>
      <c r="I1247" s="27">
        <v>140728</v>
      </c>
      <c r="J1247" s="27">
        <v>2248386</v>
      </c>
      <c r="K1247" s="27">
        <v>1950503</v>
      </c>
      <c r="L1247" s="69">
        <v>15.27</v>
      </c>
      <c r="M1247" s="27">
        <v>5862217</v>
      </c>
      <c r="N1247" s="69">
        <v>3.86</v>
      </c>
      <c r="O1247" s="69">
        <v>3.36</v>
      </c>
      <c r="P1247" s="69">
        <v>45.5</v>
      </c>
      <c r="Q1247" s="27">
        <v>23</v>
      </c>
      <c r="R1247" s="69">
        <v>1.83</v>
      </c>
      <c r="S1247" s="69">
        <v>158.38</v>
      </c>
      <c r="X1247" s="2">
        <f t="shared" si="57"/>
        <v>0.77</v>
      </c>
      <c r="Y1247" s="2">
        <f>SUMIF(收盤價!A:A,A1247,收盤價!C:C)</f>
        <v>99.4</v>
      </c>
      <c r="Z1247" s="2">
        <f t="shared" si="58"/>
        <v>26673087.350000001</v>
      </c>
      <c r="AA1247" s="2">
        <f t="shared" si="59"/>
        <v>58270436.980000004</v>
      </c>
    </row>
    <row r="1248" spans="1:27" ht="14.5" customHeight="1">
      <c r="A1248" s="7" t="s">
        <v>6624</v>
      </c>
      <c r="B1248" s="8" t="s">
        <v>2809</v>
      </c>
      <c r="C1248" s="27">
        <v>398927</v>
      </c>
      <c r="D1248" s="27">
        <v>366526</v>
      </c>
      <c r="E1248" s="69">
        <v>8.84</v>
      </c>
      <c r="F1248" s="27">
        <v>13164</v>
      </c>
      <c r="G1248" s="27">
        <v>24077</v>
      </c>
      <c r="H1248" s="27">
        <v>53288</v>
      </c>
      <c r="I1248" s="27">
        <v>4414</v>
      </c>
      <c r="J1248" s="27">
        <v>61401</v>
      </c>
      <c r="K1248" s="27">
        <v>22736</v>
      </c>
      <c r="L1248" s="69">
        <v>170.06</v>
      </c>
      <c r="M1248" s="27">
        <v>234384</v>
      </c>
      <c r="N1248" s="69">
        <v>2.69</v>
      </c>
      <c r="O1248" s="69">
        <v>1.02</v>
      </c>
      <c r="P1248" s="69">
        <v>23.01</v>
      </c>
      <c r="Q1248" s="27">
        <v>82</v>
      </c>
      <c r="R1248" s="69">
        <v>7.16</v>
      </c>
      <c r="S1248" s="69">
        <v>633.63</v>
      </c>
      <c r="X1248" s="2">
        <f t="shared" si="57"/>
        <v>0.18</v>
      </c>
      <c r="Y1248" s="2">
        <f>SUMIF(收盤價!A:A,A1248,收盤價!C:C)</f>
        <v>42.8</v>
      </c>
      <c r="Z1248" s="2">
        <f t="shared" si="58"/>
        <v>539317.58400000003</v>
      </c>
      <c r="AA1248" s="2">
        <f t="shared" si="59"/>
        <v>1003163.5199999999</v>
      </c>
    </row>
    <row r="1249" spans="1:27" ht="14.5" customHeight="1">
      <c r="A1249" s="7" t="s">
        <v>6625</v>
      </c>
      <c r="B1249" s="8" t="s">
        <v>2885</v>
      </c>
      <c r="C1249" s="27">
        <v>1905136</v>
      </c>
      <c r="D1249" s="27">
        <v>1997878</v>
      </c>
      <c r="E1249" s="69">
        <v>-4.6399999999999997</v>
      </c>
      <c r="F1249" s="27">
        <v>26975</v>
      </c>
      <c r="G1249" s="27">
        <v>34038</v>
      </c>
      <c r="H1249" s="27">
        <v>-15364</v>
      </c>
      <c r="I1249" s="27">
        <v>-19636</v>
      </c>
      <c r="J1249" s="27">
        <v>10151</v>
      </c>
      <c r="K1249" s="27">
        <v>15194</v>
      </c>
      <c r="L1249" s="69">
        <v>-33.19</v>
      </c>
      <c r="M1249" s="27">
        <v>570850</v>
      </c>
      <c r="N1249" s="69">
        <v>0.18</v>
      </c>
      <c r="O1249" s="69">
        <v>0.27</v>
      </c>
      <c r="P1249" s="69">
        <v>2.2999999999999998</v>
      </c>
      <c r="Q1249" s="27">
        <v>20</v>
      </c>
      <c r="R1249" s="69">
        <v>1.23</v>
      </c>
      <c r="S1249" s="69">
        <v>122.31</v>
      </c>
      <c r="X1249" s="2">
        <f t="shared" si="57"/>
        <v>0.8</v>
      </c>
      <c r="Y1249" s="2">
        <f>SUMIF(收盤價!A:A,A1249,收盤價!C:C)</f>
        <v>10.3</v>
      </c>
      <c r="Z1249" s="2">
        <f t="shared" si="58"/>
        <v>131295.5</v>
      </c>
      <c r="AA1249" s="2">
        <f t="shared" si="59"/>
        <v>587975.5</v>
      </c>
    </row>
    <row r="1250" spans="1:27" ht="14.5" customHeight="1">
      <c r="A1250" s="7" t="s">
        <v>6626</v>
      </c>
      <c r="B1250" s="8" t="s">
        <v>2887</v>
      </c>
      <c r="C1250" s="27">
        <v>1958541</v>
      </c>
      <c r="D1250" s="27">
        <v>1885534</v>
      </c>
      <c r="E1250" s="69">
        <v>3.87</v>
      </c>
      <c r="F1250" s="27">
        <v>232341</v>
      </c>
      <c r="G1250" s="27">
        <v>237626</v>
      </c>
      <c r="H1250" s="27">
        <v>-600</v>
      </c>
      <c r="I1250" s="27">
        <v>34776</v>
      </c>
      <c r="J1250" s="27">
        <v>198887</v>
      </c>
      <c r="K1250" s="27">
        <v>245264</v>
      </c>
      <c r="L1250" s="69">
        <v>-18.91</v>
      </c>
      <c r="M1250" s="27">
        <v>903182</v>
      </c>
      <c r="N1250" s="69">
        <v>2.2200000000000002</v>
      </c>
      <c r="O1250" s="69">
        <v>2.73</v>
      </c>
      <c r="P1250" s="69">
        <v>15.87</v>
      </c>
      <c r="Q1250" s="27">
        <v>66</v>
      </c>
      <c r="R1250" s="69">
        <v>1.67</v>
      </c>
      <c r="S1250" s="69">
        <v>133.15</v>
      </c>
      <c r="X1250" s="2">
        <f t="shared" si="57"/>
        <v>0.34</v>
      </c>
      <c r="Y1250" s="2">
        <f>SUMIF(收盤價!A:A,A1250,收盤價!C:C)</f>
        <v>36.25</v>
      </c>
      <c r="Z1250" s="2">
        <f t="shared" si="58"/>
        <v>1433349.834</v>
      </c>
      <c r="AA1250" s="2">
        <f t="shared" si="59"/>
        <v>3274034.75</v>
      </c>
    </row>
    <row r="1251" spans="1:27" ht="14.5" customHeight="1">
      <c r="A1251" s="7" t="s">
        <v>6627</v>
      </c>
      <c r="B1251" s="8" t="s">
        <v>2913</v>
      </c>
      <c r="C1251" s="27">
        <v>1107617</v>
      </c>
      <c r="D1251" s="27">
        <v>912196</v>
      </c>
      <c r="E1251" s="69">
        <v>21.42</v>
      </c>
      <c r="F1251" s="27">
        <v>-67378</v>
      </c>
      <c r="G1251" s="27">
        <v>-89762</v>
      </c>
      <c r="H1251" s="27">
        <v>31642</v>
      </c>
      <c r="I1251" s="27">
        <v>-375</v>
      </c>
      <c r="J1251" s="27">
        <v>-36265</v>
      </c>
      <c r="K1251" s="27">
        <v>-92997</v>
      </c>
      <c r="L1251" s="69">
        <v>61</v>
      </c>
      <c r="M1251" s="27">
        <v>1809437</v>
      </c>
      <c r="N1251" s="69">
        <v>-0.2</v>
      </c>
      <c r="O1251" s="69">
        <v>-0.51</v>
      </c>
      <c r="P1251" s="69">
        <v>10.050000000000001</v>
      </c>
      <c r="Q1251" s="27">
        <v>80</v>
      </c>
      <c r="R1251" s="69">
        <v>7.24</v>
      </c>
      <c r="S1251" s="69">
        <v>569.48</v>
      </c>
      <c r="X1251" s="2">
        <f t="shared" si="57"/>
        <v>0.2</v>
      </c>
      <c r="Y1251" s="2">
        <f>SUMIF(收盤價!A:A,A1251,收盤價!C:C)</f>
        <v>8.6</v>
      </c>
      <c r="Z1251" s="2">
        <f t="shared" si="58"/>
        <v>1818484.1850000001</v>
      </c>
      <c r="AA1251" s="2">
        <f t="shared" si="59"/>
        <v>1556115.8199999998</v>
      </c>
    </row>
    <row r="1252" spans="1:27" ht="14.5" customHeight="1">
      <c r="A1252" s="7" t="s">
        <v>6628</v>
      </c>
      <c r="B1252" s="8" t="s">
        <v>2919</v>
      </c>
      <c r="C1252" s="27">
        <v>4545707</v>
      </c>
      <c r="D1252" s="27">
        <v>4846935</v>
      </c>
      <c r="E1252" s="69">
        <v>-6.21</v>
      </c>
      <c r="F1252" s="27">
        <v>465343</v>
      </c>
      <c r="G1252" s="27">
        <v>617398</v>
      </c>
      <c r="H1252" s="27">
        <v>39593</v>
      </c>
      <c r="I1252" s="27">
        <v>66580</v>
      </c>
      <c r="J1252" s="27">
        <v>345121</v>
      </c>
      <c r="K1252" s="27">
        <v>393218</v>
      </c>
      <c r="L1252" s="69">
        <v>-12.23</v>
      </c>
      <c r="M1252" s="27">
        <v>730985</v>
      </c>
      <c r="N1252" s="69">
        <v>4.9000000000000004</v>
      </c>
      <c r="O1252" s="69">
        <v>4.41</v>
      </c>
      <c r="P1252" s="69">
        <v>29.29</v>
      </c>
      <c r="Q1252" s="27">
        <v>55</v>
      </c>
      <c r="R1252" s="69">
        <v>2.85</v>
      </c>
      <c r="S1252" s="69">
        <v>183.55</v>
      </c>
      <c r="X1252" s="2">
        <f t="shared" si="57"/>
        <v>0.45</v>
      </c>
      <c r="Y1252" s="2">
        <f>SUMIF(收盤價!A:A,A1252,收盤價!C:C)</f>
        <v>78.599999999999994</v>
      </c>
      <c r="Z1252" s="2">
        <f t="shared" si="58"/>
        <v>2141055.0649999999</v>
      </c>
      <c r="AA1252" s="2">
        <f t="shared" si="59"/>
        <v>5745542.0999999996</v>
      </c>
    </row>
    <row r="1253" spans="1:27" ht="14.5" customHeight="1">
      <c r="A1253" s="7" t="s">
        <v>6629</v>
      </c>
      <c r="B1253" s="8" t="s">
        <v>2929</v>
      </c>
      <c r="C1253" s="27">
        <v>20419492</v>
      </c>
      <c r="D1253" s="27">
        <v>18725270</v>
      </c>
      <c r="E1253" s="69">
        <v>9.0500000000000007</v>
      </c>
      <c r="F1253" s="27">
        <v>5408365</v>
      </c>
      <c r="G1253" s="27">
        <v>3899569</v>
      </c>
      <c r="H1253" s="27">
        <v>-155843</v>
      </c>
      <c r="I1253" s="27">
        <v>-333696</v>
      </c>
      <c r="J1253" s="27">
        <v>4089522</v>
      </c>
      <c r="K1253" s="27">
        <v>4514503</v>
      </c>
      <c r="L1253" s="69">
        <v>-9.41</v>
      </c>
      <c r="M1253" s="27">
        <v>6542620</v>
      </c>
      <c r="N1253" s="69">
        <v>6.28</v>
      </c>
      <c r="O1253" s="69">
        <v>6.95</v>
      </c>
      <c r="P1253" s="69">
        <v>45.38</v>
      </c>
      <c r="Q1253" s="27">
        <v>73</v>
      </c>
      <c r="R1253" s="69">
        <v>2.1</v>
      </c>
      <c r="S1253" s="69">
        <v>191.46</v>
      </c>
      <c r="X1253" s="2">
        <f t="shared" si="57"/>
        <v>0.27</v>
      </c>
      <c r="Y1253" s="2">
        <f>SUMIF(收盤價!A:A,A1253,收盤價!C:C)</f>
        <v>67.2</v>
      </c>
      <c r="Z1253" s="2">
        <f t="shared" si="58"/>
        <v>29690409.560000002</v>
      </c>
      <c r="AA1253" s="2">
        <f t="shared" si="59"/>
        <v>43966406.399999999</v>
      </c>
    </row>
    <row r="1254" spans="1:27" ht="14.5" customHeight="1">
      <c r="A1254" s="7" t="s">
        <v>6630</v>
      </c>
      <c r="B1254" s="8" t="s">
        <v>2967</v>
      </c>
      <c r="C1254" s="27">
        <v>7676573</v>
      </c>
      <c r="D1254" s="27">
        <v>9205258</v>
      </c>
      <c r="E1254" s="69">
        <v>-16.61</v>
      </c>
      <c r="F1254" s="27">
        <v>1304994</v>
      </c>
      <c r="G1254" s="27">
        <v>2239147</v>
      </c>
      <c r="H1254" s="27">
        <v>244767</v>
      </c>
      <c r="I1254" s="27">
        <v>137313</v>
      </c>
      <c r="J1254" s="27">
        <v>1232201</v>
      </c>
      <c r="K1254" s="27">
        <v>1908851</v>
      </c>
      <c r="L1254" s="69">
        <v>-35.450000000000003</v>
      </c>
      <c r="M1254" s="27">
        <v>5108984</v>
      </c>
      <c r="N1254" s="69">
        <v>2.41</v>
      </c>
      <c r="O1254" s="69">
        <v>3.8</v>
      </c>
      <c r="P1254" s="69">
        <v>18.170000000000002</v>
      </c>
      <c r="Q1254" s="27">
        <v>41</v>
      </c>
      <c r="R1254" s="69">
        <v>2.4</v>
      </c>
      <c r="S1254" s="69">
        <v>180.64</v>
      </c>
      <c r="X1254" s="2">
        <f t="shared" si="57"/>
        <v>0.59</v>
      </c>
      <c r="Y1254" s="2">
        <f>SUMIF(收盤價!A:A,A1254,收盤價!C:C)</f>
        <v>36.35</v>
      </c>
      <c r="Z1254" s="2">
        <f t="shared" si="58"/>
        <v>9283023.9280000012</v>
      </c>
      <c r="AA1254" s="2">
        <f t="shared" si="59"/>
        <v>18571156.84</v>
      </c>
    </row>
    <row r="1255" spans="1:27" ht="14.5" customHeight="1">
      <c r="A1255" s="7" t="s">
        <v>6631</v>
      </c>
      <c r="B1255" s="8" t="s">
        <v>2983</v>
      </c>
      <c r="C1255" s="27">
        <v>21055</v>
      </c>
      <c r="D1255" s="27">
        <v>92191</v>
      </c>
      <c r="E1255" s="69">
        <v>-77.16</v>
      </c>
      <c r="F1255" s="27">
        <v>-22678</v>
      </c>
      <c r="G1255" s="27">
        <v>11913</v>
      </c>
      <c r="H1255" s="27">
        <v>1336</v>
      </c>
      <c r="I1255" s="27">
        <v>2988</v>
      </c>
      <c r="J1255" s="27">
        <v>-21342</v>
      </c>
      <c r="K1255" s="27">
        <v>15724</v>
      </c>
      <c r="L1255" s="69">
        <v>-235.73</v>
      </c>
      <c r="M1255" s="27">
        <v>201354</v>
      </c>
      <c r="N1255" s="69">
        <v>-1.06</v>
      </c>
      <c r="O1255" s="69">
        <v>0.78</v>
      </c>
      <c r="P1255" s="69">
        <v>3.93</v>
      </c>
      <c r="Q1255" s="27">
        <v>82</v>
      </c>
      <c r="R1255" s="69">
        <v>4.96</v>
      </c>
      <c r="S1255" s="69">
        <v>385.55</v>
      </c>
      <c r="X1255" s="2">
        <f t="shared" si="57"/>
        <v>0.18</v>
      </c>
      <c r="Y1255" s="2">
        <f>SUMIF(收盤價!A:A,A1255,收盤價!C:C)</f>
        <v>12.55</v>
      </c>
      <c r="Z1255" s="2">
        <f t="shared" si="58"/>
        <v>79132.122000000003</v>
      </c>
      <c r="AA1255" s="2">
        <f t="shared" si="59"/>
        <v>252699.27000000002</v>
      </c>
    </row>
    <row r="1256" spans="1:27" ht="14.5" customHeight="1">
      <c r="A1256" s="7" t="s">
        <v>6632</v>
      </c>
      <c r="B1256" s="8" t="s">
        <v>3011</v>
      </c>
      <c r="C1256" s="27">
        <v>5515200</v>
      </c>
      <c r="D1256" s="27">
        <v>5386356</v>
      </c>
      <c r="E1256" s="69">
        <v>2.39</v>
      </c>
      <c r="F1256" s="27">
        <v>477248</v>
      </c>
      <c r="G1256" s="27">
        <v>323282</v>
      </c>
      <c r="H1256" s="27">
        <v>11783</v>
      </c>
      <c r="I1256" s="27">
        <v>74336</v>
      </c>
      <c r="J1256" s="27">
        <v>428370</v>
      </c>
      <c r="K1256" s="27">
        <v>334562</v>
      </c>
      <c r="L1256" s="69">
        <v>28.04</v>
      </c>
      <c r="M1256" s="27">
        <v>799587</v>
      </c>
      <c r="N1256" s="69">
        <v>5.36</v>
      </c>
      <c r="O1256" s="69">
        <v>4.1900000000000004</v>
      </c>
      <c r="P1256" s="69">
        <v>54.66</v>
      </c>
      <c r="Q1256" s="27">
        <v>53</v>
      </c>
      <c r="R1256" s="69">
        <v>1.82</v>
      </c>
      <c r="S1256" s="69">
        <v>92.88</v>
      </c>
      <c r="X1256" s="2">
        <f t="shared" si="57"/>
        <v>0.47</v>
      </c>
      <c r="Y1256" s="2">
        <f>SUMIF(收盤價!A:A,A1256,收盤價!C:C)</f>
        <v>79</v>
      </c>
      <c r="Z1256" s="2">
        <f t="shared" si="58"/>
        <v>4370542.5419999994</v>
      </c>
      <c r="AA1256" s="2">
        <f t="shared" si="59"/>
        <v>6316737.2999999998</v>
      </c>
    </row>
    <row r="1257" spans="1:27" ht="14.5" customHeight="1">
      <c r="A1257" s="7" t="s">
        <v>6633</v>
      </c>
      <c r="B1257" s="8" t="s">
        <v>3017</v>
      </c>
      <c r="C1257" s="27">
        <v>1560850</v>
      </c>
      <c r="D1257" s="27">
        <v>1596433</v>
      </c>
      <c r="E1257" s="69">
        <v>-2.23</v>
      </c>
      <c r="F1257" s="27">
        <v>19312</v>
      </c>
      <c r="G1257" s="27">
        <v>-1889</v>
      </c>
      <c r="H1257" s="27">
        <v>8443</v>
      </c>
      <c r="I1257" s="27">
        <v>44206</v>
      </c>
      <c r="J1257" s="27">
        <v>21178</v>
      </c>
      <c r="K1257" s="27">
        <v>27635</v>
      </c>
      <c r="L1257" s="69">
        <v>-23.37</v>
      </c>
      <c r="M1257" s="27">
        <v>360877</v>
      </c>
      <c r="N1257" s="69">
        <v>0.59</v>
      </c>
      <c r="O1257" s="69">
        <v>0.77</v>
      </c>
      <c r="P1257" s="69">
        <v>13</v>
      </c>
      <c r="Q1257" s="27">
        <v>56</v>
      </c>
      <c r="R1257" s="69">
        <v>1.99</v>
      </c>
      <c r="S1257" s="69">
        <v>171.81</v>
      </c>
      <c r="X1257" s="2">
        <f t="shared" si="57"/>
        <v>0.44</v>
      </c>
      <c r="Y1257" s="2">
        <f>SUMIF(收盤價!A:A,A1257,收盤價!C:C)</f>
        <v>15.6</v>
      </c>
      <c r="Z1257" s="2">
        <f t="shared" si="58"/>
        <v>469140.1</v>
      </c>
      <c r="AA1257" s="2">
        <f t="shared" si="59"/>
        <v>562968.12</v>
      </c>
    </row>
    <row r="1258" spans="1:27" ht="14.5" customHeight="1">
      <c r="A1258" s="7" t="s">
        <v>6634</v>
      </c>
      <c r="B1258" s="8" t="s">
        <v>3021</v>
      </c>
      <c r="C1258" s="27">
        <v>365148</v>
      </c>
      <c r="D1258" s="27">
        <v>356122</v>
      </c>
      <c r="E1258" s="69">
        <v>2.5299999999999998</v>
      </c>
      <c r="F1258" s="27">
        <v>-11666</v>
      </c>
      <c r="G1258" s="27">
        <v>-49093</v>
      </c>
      <c r="H1258" s="27">
        <v>14996</v>
      </c>
      <c r="I1258" s="27">
        <v>20645</v>
      </c>
      <c r="J1258" s="27">
        <v>3330</v>
      </c>
      <c r="K1258" s="27">
        <v>-28448</v>
      </c>
      <c r="L1258" s="69">
        <v>111.71</v>
      </c>
      <c r="M1258" s="27">
        <v>823689</v>
      </c>
      <c r="N1258" s="69">
        <v>0.04</v>
      </c>
      <c r="O1258" s="69">
        <v>-0.35</v>
      </c>
      <c r="P1258" s="69">
        <v>11.09</v>
      </c>
      <c r="Q1258" s="27">
        <v>88</v>
      </c>
      <c r="R1258" s="69">
        <v>8.17</v>
      </c>
      <c r="S1258" s="69">
        <v>749.29</v>
      </c>
      <c r="X1258" s="2">
        <f t="shared" si="57"/>
        <v>0.12</v>
      </c>
      <c r="Y1258" s="2">
        <f>SUMIF(收盤價!A:A,A1258,收盤價!C:C)</f>
        <v>14.6</v>
      </c>
      <c r="Z1258" s="2">
        <f t="shared" si="58"/>
        <v>913471.10100000002</v>
      </c>
      <c r="AA1258" s="2">
        <f t="shared" si="59"/>
        <v>1202585.94</v>
      </c>
    </row>
    <row r="1259" spans="1:27" ht="14.5" customHeight="1">
      <c r="A1259" s="7" t="s">
        <v>6635</v>
      </c>
      <c r="B1259" s="8" t="s">
        <v>3027</v>
      </c>
      <c r="C1259" s="27">
        <v>402544</v>
      </c>
      <c r="D1259" s="27">
        <v>482529</v>
      </c>
      <c r="E1259" s="69">
        <v>-16.579999999999998</v>
      </c>
      <c r="F1259" s="27">
        <v>-107685</v>
      </c>
      <c r="G1259" s="27">
        <v>-88759</v>
      </c>
      <c r="H1259" s="27">
        <v>80298</v>
      </c>
      <c r="I1259" s="27">
        <v>72685</v>
      </c>
      <c r="J1259" s="27">
        <v>-47936</v>
      </c>
      <c r="K1259" s="27">
        <v>-25684</v>
      </c>
      <c r="L1259" s="69">
        <v>-86.64</v>
      </c>
      <c r="M1259" s="27">
        <v>790524</v>
      </c>
      <c r="N1259" s="69">
        <v>-0.61</v>
      </c>
      <c r="O1259" s="69">
        <v>-0.33</v>
      </c>
      <c r="P1259" s="69">
        <v>18.57</v>
      </c>
      <c r="Q1259" s="27">
        <v>92</v>
      </c>
      <c r="R1259" s="69">
        <v>5.53</v>
      </c>
      <c r="S1259" s="69">
        <v>505.64</v>
      </c>
      <c r="X1259" s="2">
        <f t="shared" si="57"/>
        <v>0.08</v>
      </c>
      <c r="Y1259" s="2">
        <f>SUMIF(收盤價!A:A,A1259,收盤價!C:C)</f>
        <v>17.7</v>
      </c>
      <c r="Z1259" s="2">
        <f t="shared" si="58"/>
        <v>1468003.068</v>
      </c>
      <c r="AA1259" s="2">
        <f t="shared" si="59"/>
        <v>1399227.48</v>
      </c>
    </row>
    <row r="1260" spans="1:27" ht="14.5" customHeight="1">
      <c r="A1260" s="7" t="s">
        <v>6636</v>
      </c>
      <c r="B1260" s="8" t="s">
        <v>3049</v>
      </c>
      <c r="C1260" s="27">
        <v>3232841</v>
      </c>
      <c r="D1260" s="27">
        <v>3490642</v>
      </c>
      <c r="E1260" s="69">
        <v>-7.39</v>
      </c>
      <c r="F1260" s="27">
        <v>423130</v>
      </c>
      <c r="G1260" s="27">
        <v>492871</v>
      </c>
      <c r="H1260" s="27">
        <v>119768</v>
      </c>
      <c r="I1260" s="27">
        <v>97047</v>
      </c>
      <c r="J1260" s="27">
        <v>402544</v>
      </c>
      <c r="K1260" s="27">
        <v>460582</v>
      </c>
      <c r="L1260" s="69">
        <v>-12.6</v>
      </c>
      <c r="M1260" s="27">
        <v>1284980</v>
      </c>
      <c r="N1260" s="69">
        <v>3.13</v>
      </c>
      <c r="O1260" s="69">
        <v>3.58</v>
      </c>
      <c r="P1260" s="69">
        <v>44.99</v>
      </c>
      <c r="Q1260" s="27">
        <v>80</v>
      </c>
      <c r="R1260" s="69">
        <v>4.41</v>
      </c>
      <c r="S1260" s="69">
        <v>394.79</v>
      </c>
      <c r="X1260" s="2">
        <f t="shared" si="57"/>
        <v>0.2</v>
      </c>
      <c r="Y1260" s="2">
        <f>SUMIF(收盤價!A:A,A1260,收盤價!C:C)</f>
        <v>52.6</v>
      </c>
      <c r="Z1260" s="2">
        <f t="shared" si="58"/>
        <v>5781125.0200000005</v>
      </c>
      <c r="AA1260" s="2">
        <f t="shared" si="59"/>
        <v>6758994.7999999998</v>
      </c>
    </row>
    <row r="1261" spans="1:27" ht="14.5" customHeight="1">
      <c r="A1261" s="7" t="s">
        <v>6637</v>
      </c>
      <c r="B1261" s="8" t="s">
        <v>3071</v>
      </c>
      <c r="C1261" s="27">
        <v>1070416</v>
      </c>
      <c r="D1261" s="27">
        <v>1468291</v>
      </c>
      <c r="E1261" s="69">
        <v>-27.1</v>
      </c>
      <c r="F1261" s="27">
        <v>-265049</v>
      </c>
      <c r="G1261" s="27">
        <v>-23886</v>
      </c>
      <c r="H1261" s="27">
        <v>-33362</v>
      </c>
      <c r="I1261" s="27">
        <v>-322</v>
      </c>
      <c r="J1261" s="27">
        <v>-306411</v>
      </c>
      <c r="K1261" s="27">
        <v>-24208</v>
      </c>
      <c r="L1261" s="28" t="s">
        <v>6413</v>
      </c>
      <c r="M1261" s="27">
        <v>4381456</v>
      </c>
      <c r="N1261" s="69">
        <v>-0.77</v>
      </c>
      <c r="O1261" s="69">
        <v>-0.08</v>
      </c>
      <c r="P1261" s="69">
        <v>0.53</v>
      </c>
      <c r="Q1261" s="27">
        <v>17</v>
      </c>
      <c r="R1261" s="69">
        <v>0.82</v>
      </c>
      <c r="S1261" s="69">
        <v>42.86</v>
      </c>
      <c r="X1261" s="2">
        <f t="shared" si="57"/>
        <v>0.83</v>
      </c>
      <c r="Y1261" s="2">
        <f>SUMIF(收盤價!A:A,A1261,收盤價!C:C)</f>
        <v>1.93</v>
      </c>
      <c r="Z1261" s="2">
        <f t="shared" si="58"/>
        <v>232217.16800000001</v>
      </c>
      <c r="AA1261" s="2">
        <f t="shared" si="59"/>
        <v>845621.00800000003</v>
      </c>
    </row>
    <row r="1262" spans="1:27" ht="14.5" customHeight="1">
      <c r="A1262" s="7" t="s">
        <v>6638</v>
      </c>
      <c r="B1262" s="8" t="s">
        <v>3075</v>
      </c>
      <c r="C1262" s="27">
        <v>153021</v>
      </c>
      <c r="D1262" s="27">
        <v>143940</v>
      </c>
      <c r="E1262" s="69">
        <v>6.31</v>
      </c>
      <c r="F1262" s="27">
        <v>-36330</v>
      </c>
      <c r="G1262" s="27">
        <v>-59443</v>
      </c>
      <c r="H1262" s="27">
        <v>615</v>
      </c>
      <c r="I1262" s="27">
        <v>13310</v>
      </c>
      <c r="J1262" s="27">
        <v>-36782</v>
      </c>
      <c r="K1262" s="27">
        <v>-46152</v>
      </c>
      <c r="L1262" s="69">
        <v>20.3</v>
      </c>
      <c r="M1262" s="27">
        <v>270000</v>
      </c>
      <c r="N1262" s="69">
        <v>-1.63</v>
      </c>
      <c r="O1262" s="69">
        <v>-3.6</v>
      </c>
      <c r="P1262" s="69">
        <v>4.3499999999999996</v>
      </c>
      <c r="Q1262" s="27">
        <v>75</v>
      </c>
      <c r="R1262" s="69">
        <v>3.65</v>
      </c>
      <c r="S1262" s="69">
        <v>264.79000000000002</v>
      </c>
      <c r="X1262" s="2">
        <f t="shared" si="57"/>
        <v>0.25</v>
      </c>
      <c r="Y1262" s="2">
        <f>SUMIF(收盤價!A:A,A1262,收盤價!C:C)</f>
        <v>13.25</v>
      </c>
      <c r="Z1262" s="2">
        <f t="shared" si="58"/>
        <v>117450</v>
      </c>
      <c r="AA1262" s="2">
        <f t="shared" si="59"/>
        <v>357750</v>
      </c>
    </row>
    <row r="1263" spans="1:27" ht="14.5" customHeight="1">
      <c r="A1263" s="7" t="s">
        <v>6639</v>
      </c>
      <c r="B1263" s="8" t="s">
        <v>3083</v>
      </c>
      <c r="C1263" s="27">
        <v>2761782</v>
      </c>
      <c r="D1263" s="27">
        <v>2905379</v>
      </c>
      <c r="E1263" s="69">
        <v>-4.9400000000000004</v>
      </c>
      <c r="F1263" s="27">
        <v>587947</v>
      </c>
      <c r="G1263" s="27">
        <v>601189</v>
      </c>
      <c r="H1263" s="27">
        <v>-3847</v>
      </c>
      <c r="I1263" s="27">
        <v>61567</v>
      </c>
      <c r="J1263" s="27">
        <v>503153</v>
      </c>
      <c r="K1263" s="27">
        <v>562495</v>
      </c>
      <c r="L1263" s="69">
        <v>-10.55</v>
      </c>
      <c r="M1263" s="27">
        <v>796218</v>
      </c>
      <c r="N1263" s="69">
        <v>6.37</v>
      </c>
      <c r="O1263" s="69">
        <v>7.18</v>
      </c>
      <c r="P1263" s="69">
        <v>31.89</v>
      </c>
      <c r="Q1263" s="27">
        <v>71</v>
      </c>
      <c r="R1263" s="69">
        <v>3.3</v>
      </c>
      <c r="S1263" s="69">
        <v>294.39999999999998</v>
      </c>
      <c r="X1263" s="2">
        <f t="shared" si="57"/>
        <v>0.28999999999999998</v>
      </c>
      <c r="Y1263" s="2">
        <f>SUMIF(收盤價!A:A,A1263,收盤價!C:C)</f>
        <v>99</v>
      </c>
      <c r="Z1263" s="2">
        <f t="shared" si="58"/>
        <v>2539139.202</v>
      </c>
      <c r="AA1263" s="2">
        <f t="shared" si="59"/>
        <v>7882558.2000000002</v>
      </c>
    </row>
    <row r="1264" spans="1:27" ht="14.5" customHeight="1">
      <c r="A1264" s="7" t="s">
        <v>6640</v>
      </c>
      <c r="B1264" s="8" t="s">
        <v>3097</v>
      </c>
      <c r="C1264" s="27">
        <v>2152380</v>
      </c>
      <c r="D1264" s="27">
        <v>2512849</v>
      </c>
      <c r="E1264" s="69">
        <v>-14.35</v>
      </c>
      <c r="F1264" s="27">
        <v>199492</v>
      </c>
      <c r="G1264" s="27">
        <v>347088</v>
      </c>
      <c r="H1264" s="27">
        <v>25798</v>
      </c>
      <c r="I1264" s="27">
        <v>36668</v>
      </c>
      <c r="J1264" s="27">
        <v>202297</v>
      </c>
      <c r="K1264" s="27">
        <v>322355</v>
      </c>
      <c r="L1264" s="69">
        <v>-37.24</v>
      </c>
      <c r="M1264" s="27">
        <v>330630</v>
      </c>
      <c r="N1264" s="69">
        <v>6.16</v>
      </c>
      <c r="O1264" s="69">
        <v>9.75</v>
      </c>
      <c r="P1264" s="69">
        <v>26.57</v>
      </c>
      <c r="Q1264" s="27">
        <v>59</v>
      </c>
      <c r="R1264" s="69">
        <v>2.2999999999999998</v>
      </c>
      <c r="S1264" s="69">
        <v>106.28</v>
      </c>
      <c r="X1264" s="2">
        <f t="shared" si="57"/>
        <v>0.41</v>
      </c>
      <c r="Y1264" s="2">
        <f>SUMIF(收盤價!A:A,A1264,收盤價!C:C)</f>
        <v>126</v>
      </c>
      <c r="Z1264" s="2">
        <f t="shared" si="58"/>
        <v>878483.90999999992</v>
      </c>
      <c r="AA1264" s="2">
        <f t="shared" si="59"/>
        <v>4165938</v>
      </c>
    </row>
    <row r="1265" spans="1:27" ht="14.5" customHeight="1">
      <c r="A1265" s="7" t="s">
        <v>6641</v>
      </c>
      <c r="B1265" s="8" t="s">
        <v>3105</v>
      </c>
      <c r="C1265" s="27">
        <v>662749</v>
      </c>
      <c r="D1265" s="27">
        <v>594893</v>
      </c>
      <c r="E1265" s="69">
        <v>11.41</v>
      </c>
      <c r="F1265" s="27">
        <v>68116</v>
      </c>
      <c r="G1265" s="27">
        <v>51868</v>
      </c>
      <c r="H1265" s="27">
        <v>-3087</v>
      </c>
      <c r="I1265" s="27">
        <v>4550</v>
      </c>
      <c r="J1265" s="27">
        <v>55424</v>
      </c>
      <c r="K1265" s="27">
        <v>45008</v>
      </c>
      <c r="L1265" s="69">
        <v>23.14</v>
      </c>
      <c r="M1265" s="27">
        <v>292748</v>
      </c>
      <c r="N1265" s="69">
        <v>1.92</v>
      </c>
      <c r="O1265" s="69">
        <v>1.58</v>
      </c>
      <c r="P1265" s="69">
        <v>16.98</v>
      </c>
      <c r="Q1265" s="27">
        <v>80</v>
      </c>
      <c r="R1265" s="69">
        <v>5.22</v>
      </c>
      <c r="S1265" s="69">
        <v>431.44</v>
      </c>
      <c r="X1265" s="2">
        <f t="shared" si="57"/>
        <v>0.2</v>
      </c>
      <c r="Y1265" s="2">
        <f>SUMIF(收盤價!A:A,A1265,收盤價!C:C)</f>
        <v>29.8</v>
      </c>
      <c r="Z1265" s="2">
        <f t="shared" si="58"/>
        <v>497086.10399999999</v>
      </c>
      <c r="AA1265" s="2">
        <f t="shared" si="59"/>
        <v>872389.04</v>
      </c>
    </row>
    <row r="1266" spans="1:27" ht="14.5" customHeight="1">
      <c r="A1266" s="7" t="s">
        <v>6642</v>
      </c>
      <c r="B1266" s="8" t="s">
        <v>3109</v>
      </c>
      <c r="C1266" s="27">
        <v>7358441</v>
      </c>
      <c r="D1266" s="27">
        <v>5909333</v>
      </c>
      <c r="E1266" s="69">
        <v>24.52</v>
      </c>
      <c r="F1266" s="27">
        <v>1102652</v>
      </c>
      <c r="G1266" s="27">
        <v>726177</v>
      </c>
      <c r="H1266" s="27">
        <v>-50451</v>
      </c>
      <c r="I1266" s="27">
        <v>121919</v>
      </c>
      <c r="J1266" s="27">
        <v>862681</v>
      </c>
      <c r="K1266" s="27">
        <v>670791</v>
      </c>
      <c r="L1266" s="69">
        <v>28.61</v>
      </c>
      <c r="M1266" s="27">
        <v>713878</v>
      </c>
      <c r="N1266" s="69">
        <v>12.6</v>
      </c>
      <c r="O1266" s="69">
        <v>9.6199999999999992</v>
      </c>
      <c r="P1266" s="69">
        <v>40.57</v>
      </c>
      <c r="Q1266" s="27">
        <v>51</v>
      </c>
      <c r="R1266" s="69">
        <v>1.82</v>
      </c>
      <c r="S1266" s="69">
        <v>152.94</v>
      </c>
      <c r="X1266" s="2">
        <f t="shared" si="57"/>
        <v>0.49</v>
      </c>
      <c r="Y1266" s="2">
        <f>SUMIF(收盤價!A:A,A1266,收盤價!C:C)</f>
        <v>236.5</v>
      </c>
      <c r="Z1266" s="2">
        <f t="shared" si="58"/>
        <v>2896203.0460000001</v>
      </c>
      <c r="AA1266" s="2">
        <f t="shared" si="59"/>
        <v>16883214.699999999</v>
      </c>
    </row>
    <row r="1267" spans="1:27" ht="14.5" customHeight="1">
      <c r="A1267" s="7" t="s">
        <v>6643</v>
      </c>
      <c r="B1267" s="8" t="s">
        <v>3121</v>
      </c>
      <c r="C1267" s="27">
        <v>1073764</v>
      </c>
      <c r="D1267" s="27">
        <v>1127799</v>
      </c>
      <c r="E1267" s="69">
        <v>-4.79</v>
      </c>
      <c r="F1267" s="27">
        <v>90163</v>
      </c>
      <c r="G1267" s="27">
        <v>67049</v>
      </c>
      <c r="H1267" s="27">
        <v>-16688</v>
      </c>
      <c r="I1267" s="27">
        <v>2303</v>
      </c>
      <c r="J1267" s="27">
        <v>61144</v>
      </c>
      <c r="K1267" s="27">
        <v>75113</v>
      </c>
      <c r="L1267" s="69">
        <v>-18.600000000000001</v>
      </c>
      <c r="M1267" s="27">
        <v>393835</v>
      </c>
      <c r="N1267" s="69">
        <v>1.55</v>
      </c>
      <c r="O1267" s="69">
        <v>2.19</v>
      </c>
      <c r="P1267" s="69">
        <v>24.44</v>
      </c>
      <c r="Q1267" s="27">
        <v>70</v>
      </c>
      <c r="R1267" s="69">
        <v>3.12</v>
      </c>
      <c r="S1267" s="69">
        <v>204.95</v>
      </c>
      <c r="X1267" s="2">
        <f t="shared" si="57"/>
        <v>0.3</v>
      </c>
      <c r="Y1267" s="2">
        <f>SUMIF(收盤價!A:A,A1267,收盤價!C:C)</f>
        <v>33.15</v>
      </c>
      <c r="Z1267" s="2">
        <f t="shared" si="58"/>
        <v>962532.74</v>
      </c>
      <c r="AA1267" s="2">
        <f t="shared" si="59"/>
        <v>1305563.0249999999</v>
      </c>
    </row>
    <row r="1268" spans="1:27" ht="14.5" customHeight="1">
      <c r="A1268" s="7" t="s">
        <v>6644</v>
      </c>
      <c r="B1268" s="8" t="s">
        <v>3125</v>
      </c>
      <c r="C1268" s="27">
        <v>58094331</v>
      </c>
      <c r="D1268" s="27">
        <v>59063510</v>
      </c>
      <c r="E1268" s="69">
        <v>-1.64</v>
      </c>
      <c r="F1268" s="27">
        <v>17897221</v>
      </c>
      <c r="G1268" s="27">
        <v>17578051</v>
      </c>
      <c r="H1268" s="27">
        <v>656644</v>
      </c>
      <c r="I1268" s="27">
        <v>675316</v>
      </c>
      <c r="J1268" s="27">
        <v>13644095</v>
      </c>
      <c r="K1268" s="27">
        <v>13630673</v>
      </c>
      <c r="L1268" s="69">
        <v>0.1</v>
      </c>
      <c r="M1268" s="27">
        <v>4372500</v>
      </c>
      <c r="N1268" s="69">
        <v>31.35</v>
      </c>
      <c r="O1268" s="69">
        <v>31.18</v>
      </c>
      <c r="P1268" s="69">
        <v>103.55</v>
      </c>
      <c r="Q1268" s="27">
        <v>46</v>
      </c>
      <c r="R1268" s="69">
        <v>1.91</v>
      </c>
      <c r="S1268" s="69">
        <v>165.9</v>
      </c>
      <c r="X1268" s="2">
        <f t="shared" si="57"/>
        <v>0.54</v>
      </c>
      <c r="Y1268" s="2">
        <f>SUMIF(收盤價!A:A,A1268,收盤價!C:C)</f>
        <v>382.5</v>
      </c>
      <c r="Z1268" s="2">
        <f t="shared" si="58"/>
        <v>45277237.5</v>
      </c>
      <c r="AA1268" s="2">
        <f t="shared" si="59"/>
        <v>167248125</v>
      </c>
    </row>
    <row r="1269" spans="1:27" ht="14.5" customHeight="1">
      <c r="A1269" s="7" t="s">
        <v>6645</v>
      </c>
      <c r="B1269" s="8" t="s">
        <v>3129</v>
      </c>
      <c r="C1269" s="27">
        <v>1044641</v>
      </c>
      <c r="D1269" s="27">
        <v>970184</v>
      </c>
      <c r="E1269" s="69">
        <v>7.67</v>
      </c>
      <c r="F1269" s="27">
        <v>99178</v>
      </c>
      <c r="G1269" s="27">
        <v>79045</v>
      </c>
      <c r="H1269" s="27">
        <v>-2114</v>
      </c>
      <c r="I1269" s="27">
        <v>12005</v>
      </c>
      <c r="J1269" s="27">
        <v>82663</v>
      </c>
      <c r="K1269" s="27">
        <v>76968</v>
      </c>
      <c r="L1269" s="69">
        <v>7.4</v>
      </c>
      <c r="M1269" s="27">
        <v>315597</v>
      </c>
      <c r="N1269" s="69">
        <v>2.65</v>
      </c>
      <c r="O1269" s="69">
        <v>2.65</v>
      </c>
      <c r="P1269" s="69">
        <v>21.02</v>
      </c>
      <c r="Q1269" s="27">
        <v>77</v>
      </c>
      <c r="R1269" s="69">
        <v>4.4800000000000004</v>
      </c>
      <c r="S1269" s="69">
        <v>347.06</v>
      </c>
      <c r="X1269" s="2">
        <f t="shared" si="57"/>
        <v>0.23</v>
      </c>
      <c r="Y1269" s="2">
        <f>SUMIF(收盤價!A:A,A1269,收盤價!C:C)</f>
        <v>36.799999999999997</v>
      </c>
      <c r="Z1269" s="2">
        <f t="shared" si="58"/>
        <v>663384.89399999997</v>
      </c>
      <c r="AA1269" s="2">
        <f t="shared" si="59"/>
        <v>1161396.96</v>
      </c>
    </row>
    <row r="1270" spans="1:27" ht="14.5" customHeight="1">
      <c r="A1270" s="7" t="s">
        <v>6646</v>
      </c>
      <c r="B1270" s="8" t="s">
        <v>3143</v>
      </c>
      <c r="C1270" s="27">
        <v>3386538</v>
      </c>
      <c r="D1270" s="27">
        <v>3279030</v>
      </c>
      <c r="E1270" s="69">
        <v>3.28</v>
      </c>
      <c r="F1270" s="27">
        <v>870023</v>
      </c>
      <c r="G1270" s="27">
        <v>898521</v>
      </c>
      <c r="H1270" s="27">
        <v>-81124</v>
      </c>
      <c r="I1270" s="27">
        <v>19451</v>
      </c>
      <c r="J1270" s="27">
        <v>625164</v>
      </c>
      <c r="K1270" s="27">
        <v>716024</v>
      </c>
      <c r="L1270" s="69">
        <v>-12.69</v>
      </c>
      <c r="M1270" s="27">
        <v>327890</v>
      </c>
      <c r="N1270" s="69">
        <v>19.07</v>
      </c>
      <c r="O1270" s="69">
        <v>21.84</v>
      </c>
      <c r="P1270" s="69">
        <v>196.53</v>
      </c>
      <c r="Q1270" s="27">
        <v>82</v>
      </c>
      <c r="R1270" s="69">
        <v>2.88</v>
      </c>
      <c r="S1270" s="69">
        <v>250.73</v>
      </c>
      <c r="X1270" s="2">
        <f t="shared" si="57"/>
        <v>0.18</v>
      </c>
      <c r="Y1270" s="2">
        <f>SUMIF(收盤價!A:A,A1270,收盤價!C:C)</f>
        <v>1030</v>
      </c>
      <c r="Z1270" s="2">
        <f t="shared" si="58"/>
        <v>6444022.1699999999</v>
      </c>
      <c r="AA1270" s="2">
        <f t="shared" si="59"/>
        <v>33772670</v>
      </c>
    </row>
    <row r="1271" spans="1:27" ht="14.5" customHeight="1">
      <c r="A1271" s="7" t="s">
        <v>6647</v>
      </c>
      <c r="B1271" s="8" t="s">
        <v>3157</v>
      </c>
      <c r="C1271" s="27">
        <v>457319</v>
      </c>
      <c r="D1271" s="27">
        <v>470900</v>
      </c>
      <c r="E1271" s="69">
        <v>-2.88</v>
      </c>
      <c r="F1271" s="27">
        <v>104026</v>
      </c>
      <c r="G1271" s="27">
        <v>123499</v>
      </c>
      <c r="H1271" s="27">
        <v>1480</v>
      </c>
      <c r="I1271" s="27">
        <v>13452</v>
      </c>
      <c r="J1271" s="27">
        <v>83124</v>
      </c>
      <c r="K1271" s="27">
        <v>109354</v>
      </c>
      <c r="L1271" s="69">
        <v>-23.99</v>
      </c>
      <c r="M1271" s="27">
        <v>316267</v>
      </c>
      <c r="N1271" s="69">
        <v>2.63</v>
      </c>
      <c r="O1271" s="69">
        <v>3.46</v>
      </c>
      <c r="P1271" s="69">
        <v>17.670000000000002</v>
      </c>
      <c r="Q1271" s="27">
        <v>80</v>
      </c>
      <c r="R1271" s="69">
        <v>4.34</v>
      </c>
      <c r="S1271" s="69">
        <v>323.10000000000002</v>
      </c>
      <c r="X1271" s="2">
        <f t="shared" si="57"/>
        <v>0.2</v>
      </c>
      <c r="Y1271" s="2">
        <f>SUMIF(收盤價!A:A,A1271,收盤價!C:C)</f>
        <v>34.9</v>
      </c>
      <c r="Z1271" s="2">
        <f t="shared" si="58"/>
        <v>558843.78900000011</v>
      </c>
      <c r="AA1271" s="2">
        <f t="shared" si="59"/>
        <v>1103771.8299999998</v>
      </c>
    </row>
    <row r="1272" spans="1:27" ht="14.5" customHeight="1">
      <c r="A1272" s="7" t="s">
        <v>6648</v>
      </c>
      <c r="B1272" s="8" t="s">
        <v>3167</v>
      </c>
      <c r="C1272" s="27">
        <v>9320275</v>
      </c>
      <c r="D1272" s="27">
        <v>9784851</v>
      </c>
      <c r="E1272" s="69">
        <v>-4.75</v>
      </c>
      <c r="F1272" s="27">
        <v>832870</v>
      </c>
      <c r="G1272" s="27">
        <v>1093951</v>
      </c>
      <c r="H1272" s="27">
        <v>66152</v>
      </c>
      <c r="I1272" s="27">
        <v>111803</v>
      </c>
      <c r="J1272" s="27">
        <v>607304</v>
      </c>
      <c r="K1272" s="27">
        <v>842544</v>
      </c>
      <c r="L1272" s="69">
        <v>-27.92</v>
      </c>
      <c r="M1272" s="27">
        <v>364131</v>
      </c>
      <c r="N1272" s="69">
        <v>1.72</v>
      </c>
      <c r="O1272" s="69">
        <v>2.36</v>
      </c>
      <c r="P1272" s="69">
        <v>192.53</v>
      </c>
      <c r="Q1272" s="27">
        <v>46</v>
      </c>
      <c r="R1272" s="69">
        <v>2.19</v>
      </c>
      <c r="S1272" s="69">
        <v>175.69</v>
      </c>
      <c r="X1272" s="2">
        <f t="shared" si="57"/>
        <v>0.54</v>
      </c>
      <c r="Y1272" s="2">
        <f>SUMIF(收盤價!A:A,A1272,收盤價!C:C)</f>
        <v>34.450000000000003</v>
      </c>
      <c r="Z1272" s="2">
        <f t="shared" si="58"/>
        <v>7010614.1430000011</v>
      </c>
      <c r="AA1272" s="2">
        <f t="shared" si="59"/>
        <v>1254431.2950000002</v>
      </c>
    </row>
    <row r="1273" spans="1:27" ht="14.5" customHeight="1">
      <c r="A1273" s="7" t="s">
        <v>6649</v>
      </c>
      <c r="B1273" s="8" t="s">
        <v>3175</v>
      </c>
      <c r="C1273" s="27">
        <v>1128319</v>
      </c>
      <c r="D1273" s="27">
        <v>1118302</v>
      </c>
      <c r="E1273" s="69">
        <v>0.9</v>
      </c>
      <c r="F1273" s="27">
        <v>263442</v>
      </c>
      <c r="G1273" s="27">
        <v>260262</v>
      </c>
      <c r="H1273" s="27">
        <v>2910</v>
      </c>
      <c r="I1273" s="27">
        <v>21023</v>
      </c>
      <c r="J1273" s="27">
        <v>218686</v>
      </c>
      <c r="K1273" s="27">
        <v>218694</v>
      </c>
      <c r="L1273" s="69">
        <v>0</v>
      </c>
      <c r="M1273" s="27">
        <v>251009</v>
      </c>
      <c r="N1273" s="69">
        <v>8.85</v>
      </c>
      <c r="O1273" s="69">
        <v>8.85</v>
      </c>
      <c r="P1273" s="69">
        <v>55.8</v>
      </c>
      <c r="Q1273" s="27">
        <v>82</v>
      </c>
      <c r="R1273" s="69">
        <v>5.01</v>
      </c>
      <c r="S1273" s="69">
        <v>454.38</v>
      </c>
      <c r="X1273" s="2">
        <f t="shared" si="57"/>
        <v>0.18</v>
      </c>
      <c r="Y1273" s="2">
        <f>SUMIF(收盤價!A:A,A1273,收盤價!C:C)</f>
        <v>177.5</v>
      </c>
      <c r="Z1273" s="2">
        <f t="shared" si="58"/>
        <v>1400630.22</v>
      </c>
      <c r="AA1273" s="2">
        <f t="shared" si="59"/>
        <v>4455409.75</v>
      </c>
    </row>
    <row r="1274" spans="1:27" ht="14.5" customHeight="1">
      <c r="A1274" s="7" t="s">
        <v>6650</v>
      </c>
      <c r="B1274" s="8" t="s">
        <v>3195</v>
      </c>
      <c r="C1274" s="27">
        <v>405035</v>
      </c>
      <c r="D1274" s="27">
        <v>451710</v>
      </c>
      <c r="E1274" s="69">
        <v>-10.33</v>
      </c>
      <c r="F1274" s="27">
        <v>26606</v>
      </c>
      <c r="G1274" s="27">
        <v>30499</v>
      </c>
      <c r="H1274" s="27">
        <v>5087</v>
      </c>
      <c r="I1274" s="27">
        <v>5</v>
      </c>
      <c r="J1274" s="27">
        <v>24459</v>
      </c>
      <c r="K1274" s="27">
        <v>24783</v>
      </c>
      <c r="L1274" s="69">
        <v>-1.31</v>
      </c>
      <c r="M1274" s="27">
        <v>206188</v>
      </c>
      <c r="N1274" s="69">
        <v>1.22</v>
      </c>
      <c r="O1274" s="69">
        <v>1.24</v>
      </c>
      <c r="P1274" s="69">
        <v>18.54</v>
      </c>
      <c r="Q1274" s="27">
        <v>80</v>
      </c>
      <c r="R1274" s="69">
        <v>4.5599999999999996</v>
      </c>
      <c r="S1274" s="69">
        <v>408.07</v>
      </c>
      <c r="X1274" s="2">
        <f t="shared" si="57"/>
        <v>0.2</v>
      </c>
      <c r="Y1274" s="2">
        <f>SUMIF(收盤價!A:A,A1274,收盤價!C:C)</f>
        <v>21.2</v>
      </c>
      <c r="Z1274" s="2">
        <f t="shared" si="58"/>
        <v>382272.55200000003</v>
      </c>
      <c r="AA1274" s="2">
        <f t="shared" si="59"/>
        <v>437118.55999999994</v>
      </c>
    </row>
    <row r="1275" spans="1:27" ht="14.5" customHeight="1">
      <c r="A1275" s="7" t="s">
        <v>6651</v>
      </c>
      <c r="B1275" s="8" t="s">
        <v>3215</v>
      </c>
      <c r="C1275" s="27">
        <v>758006</v>
      </c>
      <c r="D1275" s="27">
        <v>922261</v>
      </c>
      <c r="E1275" s="69">
        <v>-17.809999999999999</v>
      </c>
      <c r="F1275" s="27">
        <v>105450</v>
      </c>
      <c r="G1275" s="27">
        <v>94721</v>
      </c>
      <c r="H1275" s="27">
        <v>1427</v>
      </c>
      <c r="I1275" s="27">
        <v>27373</v>
      </c>
      <c r="J1275" s="27">
        <v>85429</v>
      </c>
      <c r="K1275" s="27">
        <v>87486</v>
      </c>
      <c r="L1275" s="69">
        <v>-2.35</v>
      </c>
      <c r="M1275" s="27">
        <v>282765</v>
      </c>
      <c r="N1275" s="69">
        <v>3.02</v>
      </c>
      <c r="O1275" s="69">
        <v>3.33</v>
      </c>
      <c r="P1275" s="69">
        <v>32.39</v>
      </c>
      <c r="Q1275" s="27">
        <v>57</v>
      </c>
      <c r="R1275" s="69">
        <v>2.42</v>
      </c>
      <c r="S1275" s="69">
        <v>198.67</v>
      </c>
      <c r="X1275" s="2">
        <f t="shared" si="57"/>
        <v>0.43</v>
      </c>
      <c r="Y1275" s="2">
        <f>SUMIF(收盤價!A:A,A1275,收盤價!C:C)</f>
        <v>42.55</v>
      </c>
      <c r="Z1275" s="2">
        <f t="shared" si="58"/>
        <v>915875.83499999996</v>
      </c>
      <c r="AA1275" s="2">
        <f t="shared" si="59"/>
        <v>1203165.075</v>
      </c>
    </row>
    <row r="1276" spans="1:27" ht="14.5" customHeight="1">
      <c r="A1276" s="7" t="s">
        <v>6184</v>
      </c>
      <c r="B1276" s="8" t="s">
        <v>3219</v>
      </c>
      <c r="C1276" s="27">
        <v>869077</v>
      </c>
      <c r="D1276" s="27">
        <v>763550</v>
      </c>
      <c r="E1276" s="69">
        <v>13.82</v>
      </c>
      <c r="F1276" s="27">
        <v>369893</v>
      </c>
      <c r="G1276" s="27">
        <v>305896</v>
      </c>
      <c r="H1276" s="27">
        <v>-7909</v>
      </c>
      <c r="I1276" s="27">
        <v>22964</v>
      </c>
      <c r="J1276" s="27">
        <v>308565</v>
      </c>
      <c r="K1276" s="27">
        <v>279907</v>
      </c>
      <c r="L1276" s="69">
        <v>10.24</v>
      </c>
      <c r="M1276" s="27">
        <v>313180</v>
      </c>
      <c r="N1276" s="69">
        <v>9.9</v>
      </c>
      <c r="O1276" s="69">
        <v>9.77</v>
      </c>
      <c r="P1276" s="69">
        <v>46.03</v>
      </c>
      <c r="Q1276" s="27">
        <v>90</v>
      </c>
      <c r="R1276" s="69">
        <v>8.94</v>
      </c>
      <c r="S1276" s="69">
        <v>882.48</v>
      </c>
      <c r="X1276" s="2">
        <f t="shared" si="57"/>
        <v>0.1</v>
      </c>
      <c r="Y1276" s="2">
        <f>SUMIF(收盤價!A:A,A1276,收盤價!C:C)</f>
        <v>630.56999999999994</v>
      </c>
      <c r="Z1276" s="2">
        <f t="shared" si="58"/>
        <v>1441567.54</v>
      </c>
      <c r="AA1276" s="2">
        <f t="shared" si="59"/>
        <v>19748191.259999998</v>
      </c>
    </row>
    <row r="1277" spans="1:27" ht="14.5" customHeight="1">
      <c r="A1277" s="7" t="s">
        <v>6201</v>
      </c>
      <c r="B1277" s="8" t="s">
        <v>3231</v>
      </c>
      <c r="C1277" s="27">
        <v>1394525</v>
      </c>
      <c r="D1277" s="27">
        <v>1103171</v>
      </c>
      <c r="E1277" s="69">
        <v>26.41</v>
      </c>
      <c r="F1277" s="27">
        <v>199030</v>
      </c>
      <c r="G1277" s="27">
        <v>120520</v>
      </c>
      <c r="H1277" s="27">
        <v>-7793</v>
      </c>
      <c r="I1277" s="27">
        <v>3547</v>
      </c>
      <c r="J1277" s="27">
        <v>162482</v>
      </c>
      <c r="K1277" s="27">
        <v>109181</v>
      </c>
      <c r="L1277" s="69">
        <v>48.82</v>
      </c>
      <c r="M1277" s="27">
        <v>412733</v>
      </c>
      <c r="N1277" s="69">
        <v>4.0599999999999996</v>
      </c>
      <c r="O1277" s="69">
        <v>2.94</v>
      </c>
      <c r="P1277" s="69">
        <v>26.13</v>
      </c>
      <c r="Q1277" s="27">
        <v>83</v>
      </c>
      <c r="R1277" s="69">
        <v>6.01</v>
      </c>
      <c r="S1277" s="69">
        <v>384.25</v>
      </c>
      <c r="X1277" s="2">
        <f t="shared" si="57"/>
        <v>0.17</v>
      </c>
      <c r="Y1277" s="2">
        <f>SUMIF(收盤價!A:A,A1277,收盤價!C:C)</f>
        <v>268.86</v>
      </c>
      <c r="Z1277" s="2">
        <f t="shared" si="58"/>
        <v>1078471.3289999999</v>
      </c>
      <c r="AA1277" s="2">
        <f t="shared" si="59"/>
        <v>11096739.438000001</v>
      </c>
    </row>
    <row r="1278" spans="1:27" ht="14.5" customHeight="1">
      <c r="A1278" s="7" t="s">
        <v>6204</v>
      </c>
      <c r="B1278" s="8" t="s">
        <v>3235</v>
      </c>
      <c r="C1278" s="27">
        <v>824346</v>
      </c>
      <c r="D1278" s="27">
        <v>647822</v>
      </c>
      <c r="E1278" s="69">
        <v>27.25</v>
      </c>
      <c r="F1278" s="27">
        <v>261659</v>
      </c>
      <c r="G1278" s="27">
        <v>176883</v>
      </c>
      <c r="H1278" s="27">
        <v>-8916</v>
      </c>
      <c r="I1278" s="27">
        <v>6987</v>
      </c>
      <c r="J1278" s="27">
        <v>206913</v>
      </c>
      <c r="K1278" s="27">
        <v>146296</v>
      </c>
      <c r="L1278" s="69">
        <v>41.43</v>
      </c>
      <c r="M1278" s="27">
        <v>270757</v>
      </c>
      <c r="N1278" s="69">
        <v>7.85</v>
      </c>
      <c r="O1278" s="69">
        <v>5.94</v>
      </c>
      <c r="P1278" s="69">
        <v>49.89</v>
      </c>
      <c r="Q1278" s="27">
        <v>82</v>
      </c>
      <c r="R1278" s="69">
        <v>4.3099999999999996</v>
      </c>
      <c r="S1278" s="69">
        <v>322.97000000000003</v>
      </c>
      <c r="X1278" s="2">
        <f t="shared" si="57"/>
        <v>0.18</v>
      </c>
      <c r="Y1278" s="2">
        <f>SUMIF(收盤價!A:A,A1278,收盤價!C:C)</f>
        <v>359.11</v>
      </c>
      <c r="Z1278" s="2">
        <f t="shared" si="58"/>
        <v>1350806.673</v>
      </c>
      <c r="AA1278" s="2">
        <f t="shared" si="59"/>
        <v>9723154.6270000003</v>
      </c>
    </row>
    <row r="1279" spans="1:27" ht="14.5" customHeight="1">
      <c r="A1279" s="7" t="s">
        <v>6221</v>
      </c>
      <c r="B1279" s="8" t="s">
        <v>3241</v>
      </c>
      <c r="C1279" s="27">
        <v>521678</v>
      </c>
      <c r="D1279" s="27">
        <v>466756</v>
      </c>
      <c r="E1279" s="69">
        <v>11.77</v>
      </c>
      <c r="F1279" s="27">
        <v>86084</v>
      </c>
      <c r="G1279" s="27">
        <v>84376</v>
      </c>
      <c r="H1279" s="27">
        <v>-3756</v>
      </c>
      <c r="I1279" s="27">
        <v>12531</v>
      </c>
      <c r="J1279" s="27">
        <v>71420</v>
      </c>
      <c r="K1279" s="27">
        <v>77489</v>
      </c>
      <c r="L1279" s="69">
        <v>-7.83</v>
      </c>
      <c r="M1279" s="27">
        <v>201750</v>
      </c>
      <c r="N1279" s="69">
        <v>3.57</v>
      </c>
      <c r="O1279" s="69">
        <v>3.96</v>
      </c>
      <c r="P1279" s="69">
        <v>20</v>
      </c>
      <c r="Q1279" s="27">
        <v>69</v>
      </c>
      <c r="R1279" s="69">
        <v>3.96</v>
      </c>
      <c r="S1279" s="69">
        <v>343.3</v>
      </c>
      <c r="X1279" s="2">
        <f t="shared" si="57"/>
        <v>0.31</v>
      </c>
      <c r="Y1279" s="2">
        <f>SUMIF(收盤價!A:A,A1279,收盤價!C:C)</f>
        <v>54.81</v>
      </c>
      <c r="Z1279" s="2">
        <f t="shared" si="58"/>
        <v>403500</v>
      </c>
      <c r="AA1279" s="2">
        <f t="shared" si="59"/>
        <v>1105791.75</v>
      </c>
    </row>
    <row r="1280" spans="1:27" ht="14.5" customHeight="1">
      <c r="A1280" s="7" t="s">
        <v>6652</v>
      </c>
      <c r="B1280" s="8" t="s">
        <v>3247</v>
      </c>
      <c r="C1280" s="27">
        <v>541684</v>
      </c>
      <c r="D1280" s="27">
        <v>578629</v>
      </c>
      <c r="E1280" s="69">
        <v>-6.38</v>
      </c>
      <c r="F1280" s="27">
        <v>-17089</v>
      </c>
      <c r="G1280" s="27">
        <v>-6614</v>
      </c>
      <c r="H1280" s="27">
        <v>-865</v>
      </c>
      <c r="I1280" s="27">
        <v>16381</v>
      </c>
      <c r="J1280" s="27">
        <v>-18854</v>
      </c>
      <c r="K1280" s="27">
        <v>6262</v>
      </c>
      <c r="L1280" s="69">
        <v>-401.09</v>
      </c>
      <c r="M1280" s="27">
        <v>451601</v>
      </c>
      <c r="N1280" s="69">
        <v>-0.42</v>
      </c>
      <c r="O1280" s="69">
        <v>0.14000000000000001</v>
      </c>
      <c r="P1280" s="69">
        <v>14.01</v>
      </c>
      <c r="Q1280" s="27">
        <v>89</v>
      </c>
      <c r="R1280" s="69">
        <v>9.49</v>
      </c>
      <c r="S1280" s="69">
        <v>813.1</v>
      </c>
      <c r="X1280" s="2">
        <f t="shared" si="57"/>
        <v>0.11</v>
      </c>
      <c r="Y1280" s="2">
        <f>SUMIF(收盤價!A:A,A1280,收盤價!C:C)</f>
        <v>10.95</v>
      </c>
      <c r="Z1280" s="2">
        <f t="shared" si="58"/>
        <v>632693.00099999993</v>
      </c>
      <c r="AA1280" s="2">
        <f t="shared" si="59"/>
        <v>494503.09499999991</v>
      </c>
    </row>
    <row r="1281" spans="1:27" ht="14.5" customHeight="1">
      <c r="A1281" s="7" t="s">
        <v>6653</v>
      </c>
      <c r="B1281" s="8" t="s">
        <v>3257</v>
      </c>
      <c r="C1281" s="27">
        <v>982774</v>
      </c>
      <c r="D1281" s="27">
        <v>877536</v>
      </c>
      <c r="E1281" s="69">
        <v>11.99</v>
      </c>
      <c r="F1281" s="27">
        <v>18068</v>
      </c>
      <c r="G1281" s="27">
        <v>-64258</v>
      </c>
      <c r="H1281" s="27">
        <v>126049</v>
      </c>
      <c r="I1281" s="27">
        <v>-20869</v>
      </c>
      <c r="J1281" s="27">
        <v>130188</v>
      </c>
      <c r="K1281" s="27">
        <v>-85127</v>
      </c>
      <c r="L1281" s="69">
        <v>252.93</v>
      </c>
      <c r="M1281" s="27">
        <v>672161</v>
      </c>
      <c r="N1281" s="69">
        <v>1.94</v>
      </c>
      <c r="O1281" s="69">
        <v>-1.27</v>
      </c>
      <c r="P1281" s="69">
        <v>11.96</v>
      </c>
      <c r="Q1281" s="27">
        <v>73</v>
      </c>
      <c r="R1281" s="69">
        <v>2.93</v>
      </c>
      <c r="S1281" s="69">
        <v>234.88</v>
      </c>
      <c r="X1281" s="2">
        <f t="shared" si="57"/>
        <v>0.27</v>
      </c>
      <c r="Y1281" s="2">
        <f>SUMIF(收盤價!A:A,A1281,收盤價!C:C)</f>
        <v>25.2</v>
      </c>
      <c r="Z1281" s="2">
        <f t="shared" si="58"/>
        <v>803904.5560000001</v>
      </c>
      <c r="AA1281" s="2">
        <f t="shared" si="59"/>
        <v>1693845.72</v>
      </c>
    </row>
    <row r="1282" spans="1:27" ht="14.5" customHeight="1">
      <c r="A1282" s="7" t="s">
        <v>6654</v>
      </c>
      <c r="B1282" s="8" t="s">
        <v>3273</v>
      </c>
      <c r="C1282" s="27">
        <v>1183792</v>
      </c>
      <c r="D1282" s="27">
        <v>1742368</v>
      </c>
      <c r="E1282" s="69">
        <v>-32.06</v>
      </c>
      <c r="F1282" s="27">
        <v>-100368</v>
      </c>
      <c r="G1282" s="27">
        <v>31938</v>
      </c>
      <c r="H1282" s="27">
        <v>26293</v>
      </c>
      <c r="I1282" s="27">
        <v>89247</v>
      </c>
      <c r="J1282" s="27">
        <v>-103570</v>
      </c>
      <c r="K1282" s="27">
        <v>81452</v>
      </c>
      <c r="L1282" s="69">
        <v>-227.15</v>
      </c>
      <c r="M1282" s="27">
        <v>750069</v>
      </c>
      <c r="N1282" s="69">
        <v>-1.4</v>
      </c>
      <c r="O1282" s="69">
        <v>1.1000000000000001</v>
      </c>
      <c r="P1282" s="69">
        <v>27.34</v>
      </c>
      <c r="Q1282" s="27">
        <v>71</v>
      </c>
      <c r="R1282" s="69">
        <v>5.58</v>
      </c>
      <c r="S1282" s="69">
        <v>504.71</v>
      </c>
      <c r="X1282" s="2">
        <f t="shared" si="57"/>
        <v>0.28999999999999998</v>
      </c>
      <c r="Y1282" s="2">
        <f>SUMIF(收盤價!A:A,A1282,收盤價!C:C)</f>
        <v>14.1</v>
      </c>
      <c r="Z1282" s="2">
        <f t="shared" si="58"/>
        <v>2050688.6460000002</v>
      </c>
      <c r="AA1282" s="2">
        <f t="shared" si="59"/>
        <v>1057597.29</v>
      </c>
    </row>
    <row r="1283" spans="1:27" ht="14.5" customHeight="1">
      <c r="A1283" s="7" t="s">
        <v>6655</v>
      </c>
      <c r="B1283" s="8" t="s">
        <v>3303</v>
      </c>
      <c r="C1283" s="27">
        <v>2206902</v>
      </c>
      <c r="D1283" s="27">
        <v>1836846</v>
      </c>
      <c r="E1283" s="69">
        <v>20.149999999999999</v>
      </c>
      <c r="F1283" s="27">
        <v>439669</v>
      </c>
      <c r="G1283" s="27">
        <v>327492</v>
      </c>
      <c r="H1283" s="27">
        <v>-70</v>
      </c>
      <c r="I1283" s="27">
        <v>39579</v>
      </c>
      <c r="J1283" s="27">
        <v>359208</v>
      </c>
      <c r="K1283" s="27">
        <v>296542</v>
      </c>
      <c r="L1283" s="69">
        <v>21.13</v>
      </c>
      <c r="M1283" s="27">
        <v>1447161</v>
      </c>
      <c r="N1283" s="69">
        <v>2.54</v>
      </c>
      <c r="O1283" s="69">
        <v>2.11</v>
      </c>
      <c r="P1283" s="69">
        <v>21.2</v>
      </c>
      <c r="Q1283" s="27">
        <v>75</v>
      </c>
      <c r="R1283" s="69">
        <v>3.19</v>
      </c>
      <c r="S1283" s="69">
        <v>241.63</v>
      </c>
      <c r="X1283" s="2">
        <f t="shared" si="57"/>
        <v>0.25</v>
      </c>
      <c r="Y1283" s="2">
        <f>SUMIF(收盤價!A:A,A1283,收盤價!C:C)</f>
        <v>99.5</v>
      </c>
      <c r="Z1283" s="2">
        <f t="shared" si="58"/>
        <v>3067981.32</v>
      </c>
      <c r="AA1283" s="2">
        <f t="shared" si="59"/>
        <v>14399251.949999999</v>
      </c>
    </row>
    <row r="1284" spans="1:27" ht="14.5" customHeight="1">
      <c r="A1284" s="7" t="s">
        <v>6656</v>
      </c>
      <c r="B1284" s="8" t="s">
        <v>3307</v>
      </c>
      <c r="C1284" s="27">
        <v>1561243</v>
      </c>
      <c r="D1284" s="27">
        <v>1705165</v>
      </c>
      <c r="E1284" s="69">
        <v>-8.44</v>
      </c>
      <c r="F1284" s="27">
        <v>190180</v>
      </c>
      <c r="G1284" s="27">
        <v>19973</v>
      </c>
      <c r="H1284" s="27">
        <v>-6687</v>
      </c>
      <c r="I1284" s="27">
        <v>19818</v>
      </c>
      <c r="J1284" s="27">
        <v>144563</v>
      </c>
      <c r="K1284" s="27">
        <v>32484</v>
      </c>
      <c r="L1284" s="69">
        <v>345.03</v>
      </c>
      <c r="M1284" s="27">
        <v>609217</v>
      </c>
      <c r="N1284" s="69">
        <v>2.37</v>
      </c>
      <c r="O1284" s="69">
        <v>0.53</v>
      </c>
      <c r="P1284" s="69">
        <v>16.23</v>
      </c>
      <c r="Q1284" s="27">
        <v>76</v>
      </c>
      <c r="R1284" s="69">
        <v>2.67</v>
      </c>
      <c r="S1284" s="69">
        <v>227.59</v>
      </c>
      <c r="X1284" s="2">
        <f t="shared" si="57"/>
        <v>0.24</v>
      </c>
      <c r="Y1284" s="2">
        <f>SUMIF(收盤價!A:A,A1284,收盤價!C:C)</f>
        <v>28.65</v>
      </c>
      <c r="Z1284" s="2">
        <f t="shared" si="58"/>
        <v>988759.19099999999</v>
      </c>
      <c r="AA1284" s="2">
        <f t="shared" si="59"/>
        <v>1745406.7050000001</v>
      </c>
    </row>
    <row r="1285" spans="1:27" ht="14.5" customHeight="1">
      <c r="A1285" s="7" t="s">
        <v>6657</v>
      </c>
      <c r="B1285" s="8" t="s">
        <v>3347</v>
      </c>
      <c r="C1285" s="27">
        <v>999137</v>
      </c>
      <c r="D1285" s="27">
        <v>585740</v>
      </c>
      <c r="E1285" s="69">
        <v>70.58</v>
      </c>
      <c r="F1285" s="27">
        <v>-88971</v>
      </c>
      <c r="G1285" s="27">
        <v>-65794</v>
      </c>
      <c r="H1285" s="27">
        <v>4608</v>
      </c>
      <c r="I1285" s="27">
        <v>1261</v>
      </c>
      <c r="J1285" s="27">
        <v>-95169</v>
      </c>
      <c r="K1285" s="27">
        <v>-76202</v>
      </c>
      <c r="L1285" s="69">
        <v>-24.89</v>
      </c>
      <c r="M1285" s="27">
        <v>916288</v>
      </c>
      <c r="N1285" s="69">
        <v>-1.04</v>
      </c>
      <c r="O1285" s="69">
        <v>-0.83</v>
      </c>
      <c r="P1285" s="69">
        <v>8.27</v>
      </c>
      <c r="Q1285" s="27">
        <v>93</v>
      </c>
      <c r="R1285" s="69">
        <v>8.85</v>
      </c>
      <c r="S1285" s="69">
        <v>821.14</v>
      </c>
      <c r="X1285" s="2">
        <f t="shared" ref="X1285:X1348" si="60">IF(W1285&lt;&gt;"",ROUND(W1285/U1285,2),(100-Q1285)/100)</f>
        <v>7.0000000000000007E-2</v>
      </c>
      <c r="Y1285" s="2">
        <f>SUMIF(收盤價!A:A,A1285,收盤價!C:C)</f>
        <v>8.16</v>
      </c>
      <c r="Z1285" s="2">
        <f t="shared" ref="Z1285:Z1348" si="61">IF(W1285&lt;&gt;"",U1285-W1285,M1285*P1285/10)</f>
        <v>757770.17599999998</v>
      </c>
      <c r="AA1285" s="2">
        <f t="shared" ref="AA1285:AA1348" si="62">Y1285*M1285/10</f>
        <v>747691.00800000003</v>
      </c>
    </row>
    <row r="1286" spans="1:27" ht="14.5" customHeight="1">
      <c r="A1286" s="7" t="s">
        <v>6658</v>
      </c>
      <c r="B1286" s="8" t="s">
        <v>3357</v>
      </c>
      <c r="C1286" s="27">
        <v>44693441</v>
      </c>
      <c r="D1286" s="27">
        <v>40788105</v>
      </c>
      <c r="E1286" s="69">
        <v>9.57</v>
      </c>
      <c r="F1286" s="27">
        <v>5210013</v>
      </c>
      <c r="G1286" s="27">
        <v>4709784</v>
      </c>
      <c r="H1286" s="27">
        <v>140921</v>
      </c>
      <c r="I1286" s="27">
        <v>295397</v>
      </c>
      <c r="J1286" s="27">
        <v>4543489</v>
      </c>
      <c r="K1286" s="27">
        <v>4318119</v>
      </c>
      <c r="L1286" s="69">
        <v>5.22</v>
      </c>
      <c r="M1286" s="27">
        <v>1970740</v>
      </c>
      <c r="N1286" s="69">
        <v>23.05</v>
      </c>
      <c r="O1286" s="69">
        <v>21.91</v>
      </c>
      <c r="P1286" s="69">
        <v>147.97999999999999</v>
      </c>
      <c r="Q1286" s="27">
        <v>75</v>
      </c>
      <c r="R1286" s="69">
        <v>3.43</v>
      </c>
      <c r="S1286" s="69">
        <v>216.46</v>
      </c>
      <c r="X1286" s="2">
        <f t="shared" si="60"/>
        <v>0.25</v>
      </c>
      <c r="Y1286" s="2">
        <f>SUMIF(收盤價!A:A,A1286,收盤價!C:C)</f>
        <v>340.5</v>
      </c>
      <c r="Z1286" s="2">
        <f t="shared" si="61"/>
        <v>29163010.52</v>
      </c>
      <c r="AA1286" s="2">
        <f t="shared" si="62"/>
        <v>67103697</v>
      </c>
    </row>
    <row r="1287" spans="1:27" ht="14.5" customHeight="1">
      <c r="A1287" s="7" t="s">
        <v>6659</v>
      </c>
      <c r="B1287" s="8" t="s">
        <v>1943</v>
      </c>
      <c r="C1287" s="27">
        <v>4435890</v>
      </c>
      <c r="D1287" s="27">
        <v>3566179</v>
      </c>
      <c r="E1287" s="69">
        <v>24.39</v>
      </c>
      <c r="F1287" s="27">
        <v>259372</v>
      </c>
      <c r="G1287" s="27">
        <v>207144</v>
      </c>
      <c r="H1287" s="27">
        <v>-91336</v>
      </c>
      <c r="I1287" s="27">
        <v>-108135</v>
      </c>
      <c r="J1287" s="27">
        <v>113371</v>
      </c>
      <c r="K1287" s="27">
        <v>38944</v>
      </c>
      <c r="L1287" s="69">
        <v>191.11</v>
      </c>
      <c r="M1287" s="27">
        <v>1134437</v>
      </c>
      <c r="N1287" s="69">
        <v>1.01</v>
      </c>
      <c r="O1287" s="69">
        <v>0.35</v>
      </c>
      <c r="P1287" s="69">
        <v>23.2</v>
      </c>
      <c r="Q1287" s="27">
        <v>39</v>
      </c>
      <c r="R1287" s="69">
        <v>1.26</v>
      </c>
      <c r="S1287" s="69">
        <v>77.7</v>
      </c>
      <c r="X1287" s="2">
        <f t="shared" si="60"/>
        <v>0.61</v>
      </c>
      <c r="Y1287" s="2">
        <f>SUMIF(收盤價!A:A,A1287,收盤價!C:C)</f>
        <v>25.75</v>
      </c>
      <c r="Z1287" s="2">
        <f t="shared" si="61"/>
        <v>2631893.84</v>
      </c>
      <c r="AA1287" s="2">
        <f t="shared" si="62"/>
        <v>2921175.2749999999</v>
      </c>
    </row>
    <row r="1288" spans="1:27" ht="14.5" customHeight="1">
      <c r="A1288" s="7" t="s">
        <v>6660</v>
      </c>
      <c r="B1288" s="8" t="s">
        <v>2055</v>
      </c>
      <c r="C1288" s="27">
        <v>2220677</v>
      </c>
      <c r="D1288" s="27">
        <v>2535449</v>
      </c>
      <c r="E1288" s="69">
        <v>-12.41</v>
      </c>
      <c r="F1288" s="27">
        <v>168401</v>
      </c>
      <c r="G1288" s="27">
        <v>180322</v>
      </c>
      <c r="H1288" s="27">
        <v>60070</v>
      </c>
      <c r="I1288" s="27">
        <v>44416</v>
      </c>
      <c r="J1288" s="27">
        <v>209366</v>
      </c>
      <c r="K1288" s="27">
        <v>193277</v>
      </c>
      <c r="L1288" s="69">
        <v>8.32</v>
      </c>
      <c r="M1288" s="27">
        <v>1100000</v>
      </c>
      <c r="N1288" s="69">
        <v>1.81</v>
      </c>
      <c r="O1288" s="69">
        <v>1.61</v>
      </c>
      <c r="P1288" s="69">
        <v>12.72</v>
      </c>
      <c r="Q1288" s="27">
        <v>51</v>
      </c>
      <c r="R1288" s="69">
        <v>1.64</v>
      </c>
      <c r="S1288" s="69">
        <v>132.69999999999999</v>
      </c>
      <c r="X1288" s="2">
        <f t="shared" si="60"/>
        <v>0.49</v>
      </c>
      <c r="Y1288" s="2">
        <f>SUMIF(收盤價!A:A,A1288,收盤價!C:C)</f>
        <v>20.149999999999999</v>
      </c>
      <c r="Z1288" s="2">
        <f t="shared" si="61"/>
        <v>1399200</v>
      </c>
      <c r="AA1288" s="2">
        <f t="shared" si="62"/>
        <v>2216500</v>
      </c>
    </row>
    <row r="1289" spans="1:27" ht="14.5" customHeight="1">
      <c r="A1289" s="7" t="s">
        <v>6661</v>
      </c>
      <c r="B1289" s="8" t="s">
        <v>2069</v>
      </c>
      <c r="C1289" s="27">
        <v>4738911</v>
      </c>
      <c r="D1289" s="27">
        <v>5010644</v>
      </c>
      <c r="E1289" s="69">
        <v>-5.42</v>
      </c>
      <c r="F1289" s="27">
        <v>498835</v>
      </c>
      <c r="G1289" s="27">
        <v>557020</v>
      </c>
      <c r="H1289" s="27">
        <v>97582</v>
      </c>
      <c r="I1289" s="27">
        <v>48521</v>
      </c>
      <c r="J1289" s="27">
        <v>460455</v>
      </c>
      <c r="K1289" s="27">
        <v>406924</v>
      </c>
      <c r="L1289" s="69">
        <v>13.16</v>
      </c>
      <c r="M1289" s="27">
        <v>864911</v>
      </c>
      <c r="N1289" s="69">
        <v>5.76</v>
      </c>
      <c r="O1289" s="69">
        <v>5.12</v>
      </c>
      <c r="P1289" s="69">
        <v>31.81</v>
      </c>
      <c r="Q1289" s="27">
        <v>63</v>
      </c>
      <c r="R1289" s="69">
        <v>2.69</v>
      </c>
      <c r="S1289" s="69">
        <v>166.37</v>
      </c>
      <c r="X1289" s="2">
        <f t="shared" si="60"/>
        <v>0.37</v>
      </c>
      <c r="Y1289" s="2">
        <f>SUMIF(收盤價!A:A,A1289,收盤價!C:C)</f>
        <v>57.3</v>
      </c>
      <c r="Z1289" s="2">
        <f t="shared" si="61"/>
        <v>2751281.8909999998</v>
      </c>
      <c r="AA1289" s="2">
        <f t="shared" si="62"/>
        <v>4955940.0299999993</v>
      </c>
    </row>
    <row r="1290" spans="1:27" ht="14.5" customHeight="1">
      <c r="A1290" s="7" t="s">
        <v>6662</v>
      </c>
      <c r="B1290" s="8" t="s">
        <v>2125</v>
      </c>
      <c r="C1290" s="27">
        <v>17780452</v>
      </c>
      <c r="D1290" s="27">
        <v>17886525</v>
      </c>
      <c r="E1290" s="69">
        <v>-0.59</v>
      </c>
      <c r="F1290" s="27">
        <v>884741</v>
      </c>
      <c r="G1290" s="27">
        <v>679129</v>
      </c>
      <c r="H1290" s="27">
        <v>273195</v>
      </c>
      <c r="I1290" s="27">
        <v>143369</v>
      </c>
      <c r="J1290" s="27">
        <v>827454</v>
      </c>
      <c r="K1290" s="27">
        <v>641558</v>
      </c>
      <c r="L1290" s="69">
        <v>28.98</v>
      </c>
      <c r="M1290" s="27">
        <v>1474805</v>
      </c>
      <c r="N1290" s="69">
        <v>5.61</v>
      </c>
      <c r="O1290" s="69">
        <v>4.3499999999999996</v>
      </c>
      <c r="P1290" s="69">
        <v>47.35</v>
      </c>
      <c r="Q1290" s="27">
        <v>40</v>
      </c>
      <c r="R1290" s="69">
        <v>1.86</v>
      </c>
      <c r="S1290" s="69">
        <v>158.83000000000001</v>
      </c>
      <c r="X1290" s="2">
        <f t="shared" si="60"/>
        <v>0.6</v>
      </c>
      <c r="Y1290" s="2">
        <f>SUMIF(收盤價!A:A,A1290,收盤價!C:C)</f>
        <v>60.9</v>
      </c>
      <c r="Z1290" s="2">
        <f t="shared" si="61"/>
        <v>6983201.6749999998</v>
      </c>
      <c r="AA1290" s="2">
        <f t="shared" si="62"/>
        <v>8981562.4499999993</v>
      </c>
    </row>
    <row r="1291" spans="1:27" ht="14.5" customHeight="1">
      <c r="A1291" s="7" t="s">
        <v>6663</v>
      </c>
      <c r="B1291" s="8" t="s">
        <v>2127</v>
      </c>
      <c r="C1291" s="27">
        <v>2822222</v>
      </c>
      <c r="D1291" s="27">
        <v>2420390</v>
      </c>
      <c r="E1291" s="69">
        <v>16.600000000000001</v>
      </c>
      <c r="F1291" s="27">
        <v>321340</v>
      </c>
      <c r="G1291" s="27">
        <v>188634</v>
      </c>
      <c r="H1291" s="27">
        <v>33729</v>
      </c>
      <c r="I1291" s="27">
        <v>29373</v>
      </c>
      <c r="J1291" s="27">
        <v>278214</v>
      </c>
      <c r="K1291" s="27">
        <v>182113</v>
      </c>
      <c r="L1291" s="69">
        <v>52.77</v>
      </c>
      <c r="M1291" s="27">
        <v>586855</v>
      </c>
      <c r="N1291" s="69">
        <v>4.74</v>
      </c>
      <c r="O1291" s="69">
        <v>3.1</v>
      </c>
      <c r="P1291" s="69">
        <v>25.52</v>
      </c>
      <c r="Q1291" s="27">
        <v>67</v>
      </c>
      <c r="R1291" s="69">
        <v>2.85</v>
      </c>
      <c r="S1291" s="69">
        <v>154.06</v>
      </c>
      <c r="X1291" s="2">
        <f t="shared" si="60"/>
        <v>0.33</v>
      </c>
      <c r="Y1291" s="2">
        <f>SUMIF(收盤價!A:A,A1291,收盤價!C:C)</f>
        <v>47.4</v>
      </c>
      <c r="Z1291" s="2">
        <f t="shared" si="61"/>
        <v>1497653.96</v>
      </c>
      <c r="AA1291" s="2">
        <f t="shared" si="62"/>
        <v>2781692.7</v>
      </c>
    </row>
    <row r="1292" spans="1:27" ht="14.5" customHeight="1">
      <c r="A1292" s="7" t="s">
        <v>6664</v>
      </c>
      <c r="B1292" s="8" t="s">
        <v>2165</v>
      </c>
      <c r="C1292" s="27">
        <v>4914376</v>
      </c>
      <c r="D1292" s="27">
        <v>5099949</v>
      </c>
      <c r="E1292" s="69">
        <v>-3.64</v>
      </c>
      <c r="F1292" s="27">
        <v>136166</v>
      </c>
      <c r="G1292" s="27">
        <v>102716</v>
      </c>
      <c r="H1292" s="27">
        <v>7868</v>
      </c>
      <c r="I1292" s="27">
        <v>78477</v>
      </c>
      <c r="J1292" s="27">
        <v>103079</v>
      </c>
      <c r="K1292" s="27">
        <v>126546</v>
      </c>
      <c r="L1292" s="69">
        <v>-18.54</v>
      </c>
      <c r="M1292" s="27">
        <v>522649</v>
      </c>
      <c r="N1292" s="69">
        <v>2.04</v>
      </c>
      <c r="O1292" s="69">
        <v>2.44</v>
      </c>
      <c r="P1292" s="69">
        <v>30.66</v>
      </c>
      <c r="Q1292" s="27">
        <v>39</v>
      </c>
      <c r="R1292" s="69">
        <v>1.53</v>
      </c>
      <c r="S1292" s="69">
        <v>94.46</v>
      </c>
      <c r="X1292" s="2">
        <f t="shared" si="60"/>
        <v>0.61</v>
      </c>
      <c r="Y1292" s="2">
        <f>SUMIF(收盤價!A:A,A1292,收盤價!C:C)</f>
        <v>32.200000000000003</v>
      </c>
      <c r="Z1292" s="2">
        <f t="shared" si="61"/>
        <v>1602441.834</v>
      </c>
      <c r="AA1292" s="2">
        <f t="shared" si="62"/>
        <v>1682929.78</v>
      </c>
    </row>
    <row r="1293" spans="1:27" ht="14.5" customHeight="1">
      <c r="A1293" s="7" t="s">
        <v>6665</v>
      </c>
      <c r="B1293" s="8" t="s">
        <v>2173</v>
      </c>
      <c r="C1293" s="27">
        <v>425163</v>
      </c>
      <c r="D1293" s="27">
        <v>351136</v>
      </c>
      <c r="E1293" s="69">
        <v>21.08</v>
      </c>
      <c r="F1293" s="27">
        <v>17680</v>
      </c>
      <c r="G1293" s="27">
        <v>-19709</v>
      </c>
      <c r="H1293" s="27">
        <v>2347</v>
      </c>
      <c r="I1293" s="27">
        <v>7314</v>
      </c>
      <c r="J1293" s="27">
        <v>9567</v>
      </c>
      <c r="K1293" s="27">
        <v>-9670</v>
      </c>
      <c r="L1293" s="69">
        <v>198.93</v>
      </c>
      <c r="M1293" s="27">
        <v>439705</v>
      </c>
      <c r="N1293" s="69">
        <v>0.22</v>
      </c>
      <c r="O1293" s="69">
        <v>-0.22</v>
      </c>
      <c r="P1293" s="69">
        <v>8.75</v>
      </c>
      <c r="Q1293" s="27">
        <v>68</v>
      </c>
      <c r="R1293" s="69">
        <v>3.01</v>
      </c>
      <c r="S1293" s="69">
        <v>203.71</v>
      </c>
      <c r="X1293" s="2">
        <f t="shared" si="60"/>
        <v>0.32</v>
      </c>
      <c r="Y1293" s="2">
        <f>SUMIF(收盤價!A:A,A1293,收盤價!C:C)</f>
        <v>9.16</v>
      </c>
      <c r="Z1293" s="2">
        <f t="shared" si="61"/>
        <v>384741.875</v>
      </c>
      <c r="AA1293" s="2">
        <f t="shared" si="62"/>
        <v>402769.78</v>
      </c>
    </row>
    <row r="1294" spans="1:27" ht="14.5" customHeight="1">
      <c r="A1294" s="7" t="s">
        <v>6666</v>
      </c>
      <c r="B1294" s="8" t="s">
        <v>2199</v>
      </c>
      <c r="C1294" s="27">
        <v>9193737</v>
      </c>
      <c r="D1294" s="27">
        <v>9377305</v>
      </c>
      <c r="E1294" s="69">
        <v>-1.96</v>
      </c>
      <c r="F1294" s="27">
        <v>195571</v>
      </c>
      <c r="G1294" s="27">
        <v>216464</v>
      </c>
      <c r="H1294" s="27">
        <v>2175</v>
      </c>
      <c r="I1294" s="27">
        <v>46348</v>
      </c>
      <c r="J1294" s="27">
        <v>155700</v>
      </c>
      <c r="K1294" s="27">
        <v>207020</v>
      </c>
      <c r="L1294" s="69">
        <v>-24.79</v>
      </c>
      <c r="M1294" s="27">
        <v>833059</v>
      </c>
      <c r="N1294" s="69">
        <v>1.85</v>
      </c>
      <c r="O1294" s="69">
        <v>2.39</v>
      </c>
      <c r="P1294" s="69">
        <v>26.85</v>
      </c>
      <c r="Q1294" s="27">
        <v>40</v>
      </c>
      <c r="R1294" s="69">
        <v>1.5</v>
      </c>
      <c r="S1294" s="69">
        <v>111.34</v>
      </c>
      <c r="X1294" s="2">
        <f t="shared" si="60"/>
        <v>0.6</v>
      </c>
      <c r="Y1294" s="2">
        <f>SUMIF(收盤價!A:A,A1294,收盤價!C:C)</f>
        <v>30.55</v>
      </c>
      <c r="Z1294" s="2">
        <f t="shared" si="61"/>
        <v>2236763.415</v>
      </c>
      <c r="AA1294" s="2">
        <f t="shared" si="62"/>
        <v>2544995.2450000001</v>
      </c>
    </row>
    <row r="1295" spans="1:27" ht="14.5" customHeight="1">
      <c r="A1295" s="7" t="s">
        <v>6667</v>
      </c>
      <c r="B1295" s="8" t="s">
        <v>2203</v>
      </c>
      <c r="C1295" s="27">
        <v>1685785</v>
      </c>
      <c r="D1295" s="27">
        <v>1540445</v>
      </c>
      <c r="E1295" s="69">
        <v>9.43</v>
      </c>
      <c r="F1295" s="27">
        <v>82297</v>
      </c>
      <c r="G1295" s="27">
        <v>-29959</v>
      </c>
      <c r="H1295" s="27">
        <v>2330</v>
      </c>
      <c r="I1295" s="27">
        <v>19155</v>
      </c>
      <c r="J1295" s="27">
        <v>64487</v>
      </c>
      <c r="K1295" s="27">
        <v>-24313</v>
      </c>
      <c r="L1295" s="69">
        <v>365.24</v>
      </c>
      <c r="M1295" s="27">
        <v>746346</v>
      </c>
      <c r="N1295" s="69">
        <v>0.86</v>
      </c>
      <c r="O1295" s="69">
        <v>-0.33</v>
      </c>
      <c r="P1295" s="69">
        <v>11.48</v>
      </c>
      <c r="Q1295" s="27">
        <v>54</v>
      </c>
      <c r="R1295" s="69">
        <v>1.8</v>
      </c>
      <c r="S1295" s="69">
        <v>146.15</v>
      </c>
      <c r="X1295" s="2">
        <f t="shared" si="60"/>
        <v>0.46</v>
      </c>
      <c r="Y1295" s="2">
        <f>SUMIF(收盤價!A:A,A1295,收盤價!C:C)</f>
        <v>11.9</v>
      </c>
      <c r="Z1295" s="2">
        <f t="shared" si="61"/>
        <v>856805.20799999998</v>
      </c>
      <c r="AA1295" s="2">
        <f t="shared" si="62"/>
        <v>888151.74</v>
      </c>
    </row>
    <row r="1296" spans="1:27" ht="14.5" customHeight="1">
      <c r="A1296" s="7" t="s">
        <v>6668</v>
      </c>
      <c r="B1296" s="8" t="s">
        <v>2247</v>
      </c>
      <c r="C1296" s="27">
        <v>6144109</v>
      </c>
      <c r="D1296" s="27">
        <v>5020647</v>
      </c>
      <c r="E1296" s="69">
        <v>22.38</v>
      </c>
      <c r="F1296" s="27">
        <v>639685</v>
      </c>
      <c r="G1296" s="27">
        <v>346973</v>
      </c>
      <c r="H1296" s="27">
        <v>15175</v>
      </c>
      <c r="I1296" s="27">
        <v>-5129</v>
      </c>
      <c r="J1296" s="27">
        <v>460091</v>
      </c>
      <c r="K1296" s="27">
        <v>244100</v>
      </c>
      <c r="L1296" s="69">
        <v>88.48</v>
      </c>
      <c r="M1296" s="27">
        <v>701942</v>
      </c>
      <c r="N1296" s="69">
        <v>6.65</v>
      </c>
      <c r="O1296" s="69">
        <v>3.54</v>
      </c>
      <c r="P1296" s="69">
        <v>33.96</v>
      </c>
      <c r="Q1296" s="27">
        <v>56</v>
      </c>
      <c r="R1296" s="69">
        <v>2.14</v>
      </c>
      <c r="S1296" s="69">
        <v>148.57</v>
      </c>
      <c r="X1296" s="2">
        <f t="shared" si="60"/>
        <v>0.44</v>
      </c>
      <c r="Y1296" s="2">
        <f>SUMIF(收盤價!A:A,A1296,收盤價!C:C)</f>
        <v>76.400000000000006</v>
      </c>
      <c r="Z1296" s="2">
        <f t="shared" si="61"/>
        <v>2383795.0320000001</v>
      </c>
      <c r="AA1296" s="2">
        <f t="shared" si="62"/>
        <v>5362836.8800000008</v>
      </c>
    </row>
    <row r="1297" spans="1:27" ht="14.5" customHeight="1">
      <c r="A1297" s="7" t="s">
        <v>6669</v>
      </c>
      <c r="B1297" s="8" t="s">
        <v>2249</v>
      </c>
      <c r="C1297" s="27">
        <v>4830683</v>
      </c>
      <c r="D1297" s="27">
        <v>4373674</v>
      </c>
      <c r="E1297" s="69">
        <v>10.45</v>
      </c>
      <c r="F1297" s="27">
        <v>234356</v>
      </c>
      <c r="G1297" s="27">
        <v>37566</v>
      </c>
      <c r="H1297" s="27">
        <v>2310</v>
      </c>
      <c r="I1297" s="27">
        <v>34646</v>
      </c>
      <c r="J1297" s="27">
        <v>175131</v>
      </c>
      <c r="K1297" s="27">
        <v>42470</v>
      </c>
      <c r="L1297" s="69">
        <v>312.36</v>
      </c>
      <c r="M1297" s="27">
        <v>570274</v>
      </c>
      <c r="N1297" s="69">
        <v>3.11</v>
      </c>
      <c r="O1297" s="69">
        <v>0.75</v>
      </c>
      <c r="P1297" s="69">
        <v>35.770000000000003</v>
      </c>
      <c r="Q1297" s="27">
        <v>45</v>
      </c>
      <c r="R1297" s="69">
        <v>1.5</v>
      </c>
      <c r="S1297" s="69">
        <v>121.3</v>
      </c>
      <c r="X1297" s="2">
        <f t="shared" si="60"/>
        <v>0.55000000000000004</v>
      </c>
      <c r="Y1297" s="2">
        <f>SUMIF(收盤價!A:A,A1297,收盤價!C:C)</f>
        <v>69.8</v>
      </c>
      <c r="Z1297" s="2">
        <f t="shared" si="61"/>
        <v>2039870.098</v>
      </c>
      <c r="AA1297" s="2">
        <f t="shared" si="62"/>
        <v>3980512.5199999996</v>
      </c>
    </row>
    <row r="1298" spans="1:27" ht="14.5" customHeight="1">
      <c r="A1298" s="7" t="s">
        <v>6670</v>
      </c>
      <c r="B1298" s="8" t="s">
        <v>2275</v>
      </c>
      <c r="C1298" s="27">
        <v>1431884</v>
      </c>
      <c r="D1298" s="27">
        <v>543324</v>
      </c>
      <c r="E1298" s="69">
        <v>163.54</v>
      </c>
      <c r="F1298" s="27">
        <v>123833</v>
      </c>
      <c r="G1298" s="27">
        <v>-29976</v>
      </c>
      <c r="H1298" s="27">
        <v>-2543</v>
      </c>
      <c r="I1298" s="27">
        <v>-1688</v>
      </c>
      <c r="J1298" s="27">
        <v>121290</v>
      </c>
      <c r="K1298" s="27">
        <v>-25435</v>
      </c>
      <c r="L1298" s="69">
        <v>576.86</v>
      </c>
      <c r="M1298" s="27">
        <v>467306</v>
      </c>
      <c r="N1298" s="69">
        <v>2.6</v>
      </c>
      <c r="O1298" s="69">
        <v>-0.54</v>
      </c>
      <c r="P1298" s="69">
        <v>10.87</v>
      </c>
      <c r="Q1298" s="27">
        <v>40</v>
      </c>
      <c r="R1298" s="69">
        <v>1.18</v>
      </c>
      <c r="S1298" s="69">
        <v>36.79</v>
      </c>
      <c r="X1298" s="2">
        <f t="shared" si="60"/>
        <v>0.6</v>
      </c>
      <c r="Y1298" s="2">
        <f>SUMIF(收盤價!A:A,A1298,收盤價!C:C)</f>
        <v>20.100000000000001</v>
      </c>
      <c r="Z1298" s="2">
        <f t="shared" si="61"/>
        <v>507961.62199999997</v>
      </c>
      <c r="AA1298" s="2">
        <f t="shared" si="62"/>
        <v>939285.06000000017</v>
      </c>
    </row>
    <row r="1299" spans="1:27" ht="14.5" customHeight="1">
      <c r="A1299" s="7" t="s">
        <v>6671</v>
      </c>
      <c r="B1299" s="8" t="s">
        <v>2291</v>
      </c>
      <c r="C1299" s="27">
        <v>4033315</v>
      </c>
      <c r="D1299" s="27">
        <v>3881826</v>
      </c>
      <c r="E1299" s="69">
        <v>3.9</v>
      </c>
      <c r="F1299" s="27">
        <v>103361</v>
      </c>
      <c r="G1299" s="27">
        <v>140560</v>
      </c>
      <c r="H1299" s="27">
        <v>-14649</v>
      </c>
      <c r="I1299" s="27">
        <v>11754</v>
      </c>
      <c r="J1299" s="27">
        <v>84738</v>
      </c>
      <c r="K1299" s="27">
        <v>133330</v>
      </c>
      <c r="L1299" s="69">
        <v>-36.44</v>
      </c>
      <c r="M1299" s="27">
        <v>666130</v>
      </c>
      <c r="N1299" s="69">
        <v>1.28</v>
      </c>
      <c r="O1299" s="69">
        <v>2.04</v>
      </c>
      <c r="P1299" s="69">
        <v>20.91</v>
      </c>
      <c r="Q1299" s="27">
        <v>40</v>
      </c>
      <c r="R1299" s="69">
        <v>1.7</v>
      </c>
      <c r="S1299" s="69">
        <v>103.85</v>
      </c>
      <c r="X1299" s="2">
        <f t="shared" si="60"/>
        <v>0.6</v>
      </c>
      <c r="Y1299" s="2">
        <f>SUMIF(收盤價!A:A,A1299,收盤價!C:C)</f>
        <v>25.2</v>
      </c>
      <c r="Z1299" s="2">
        <f t="shared" si="61"/>
        <v>1392877.83</v>
      </c>
      <c r="AA1299" s="2">
        <f t="shared" si="62"/>
        <v>1678647.6</v>
      </c>
    </row>
    <row r="1300" spans="1:27" ht="14.5" customHeight="1">
      <c r="A1300" s="7" t="s">
        <v>6672</v>
      </c>
      <c r="B1300" s="8" t="s">
        <v>2315</v>
      </c>
      <c r="C1300" s="27">
        <v>781725</v>
      </c>
      <c r="D1300" s="27">
        <v>812961</v>
      </c>
      <c r="E1300" s="69">
        <v>-3.84</v>
      </c>
      <c r="F1300" s="27">
        <v>55864</v>
      </c>
      <c r="G1300" s="27">
        <v>112828</v>
      </c>
      <c r="H1300" s="27">
        <v>5623</v>
      </c>
      <c r="I1300" s="27">
        <v>5063</v>
      </c>
      <c r="J1300" s="27">
        <v>48708</v>
      </c>
      <c r="K1300" s="27">
        <v>99091</v>
      </c>
      <c r="L1300" s="69">
        <v>-50.85</v>
      </c>
      <c r="M1300" s="27">
        <v>528642</v>
      </c>
      <c r="N1300" s="69">
        <v>0.92</v>
      </c>
      <c r="O1300" s="69">
        <v>1.87</v>
      </c>
      <c r="P1300" s="69">
        <v>18.63</v>
      </c>
      <c r="Q1300" s="27">
        <v>72</v>
      </c>
      <c r="R1300" s="69">
        <v>2.37</v>
      </c>
      <c r="S1300" s="69">
        <v>87.5</v>
      </c>
      <c r="X1300" s="2">
        <f t="shared" si="60"/>
        <v>0.28000000000000003</v>
      </c>
      <c r="Y1300" s="2">
        <f>SUMIF(收盤價!A:A,A1300,收盤價!C:C)</f>
        <v>34.1</v>
      </c>
      <c r="Z1300" s="2">
        <f t="shared" si="61"/>
        <v>984860.04599999986</v>
      </c>
      <c r="AA1300" s="2">
        <f t="shared" si="62"/>
        <v>1802669.22</v>
      </c>
    </row>
    <row r="1301" spans="1:27" ht="14.5" customHeight="1">
      <c r="A1301" s="7" t="s">
        <v>6673</v>
      </c>
      <c r="B1301" s="8" t="s">
        <v>2323</v>
      </c>
      <c r="C1301" s="27">
        <v>1595829</v>
      </c>
      <c r="D1301" s="27">
        <v>1430772</v>
      </c>
      <c r="E1301" s="69">
        <v>11.54</v>
      </c>
      <c r="F1301" s="27">
        <v>66046</v>
      </c>
      <c r="G1301" s="27">
        <v>-5424</v>
      </c>
      <c r="H1301" s="27">
        <v>-26998</v>
      </c>
      <c r="I1301" s="27">
        <v>28250</v>
      </c>
      <c r="J1301" s="27">
        <v>44433</v>
      </c>
      <c r="K1301" s="27">
        <v>25577</v>
      </c>
      <c r="L1301" s="69">
        <v>73.72</v>
      </c>
      <c r="M1301" s="27">
        <v>642275</v>
      </c>
      <c r="N1301" s="69">
        <v>0.71</v>
      </c>
      <c r="O1301" s="69">
        <v>0.4</v>
      </c>
      <c r="P1301" s="69">
        <v>21.09</v>
      </c>
      <c r="Q1301" s="27">
        <v>52</v>
      </c>
      <c r="R1301" s="69">
        <v>1.6</v>
      </c>
      <c r="S1301" s="69">
        <v>111.61</v>
      </c>
      <c r="X1301" s="2">
        <f t="shared" si="60"/>
        <v>0.48</v>
      </c>
      <c r="Y1301" s="2">
        <f>SUMIF(收盤價!A:A,A1301,收盤價!C:C)</f>
        <v>22.95</v>
      </c>
      <c r="Z1301" s="2">
        <f t="shared" si="61"/>
        <v>1354557.9750000001</v>
      </c>
      <c r="AA1301" s="2">
        <f t="shared" si="62"/>
        <v>1474021.125</v>
      </c>
    </row>
    <row r="1302" spans="1:27" ht="14.5" customHeight="1">
      <c r="A1302" s="7" t="s">
        <v>6674</v>
      </c>
      <c r="B1302" s="8" t="s">
        <v>2329</v>
      </c>
      <c r="C1302" s="27">
        <v>5856888</v>
      </c>
      <c r="D1302" s="27">
        <v>3924759</v>
      </c>
      <c r="E1302" s="69">
        <v>49.23</v>
      </c>
      <c r="F1302" s="27">
        <v>985868</v>
      </c>
      <c r="G1302" s="27">
        <v>870122</v>
      </c>
      <c r="H1302" s="27">
        <v>12552</v>
      </c>
      <c r="I1302" s="27">
        <v>51393</v>
      </c>
      <c r="J1302" s="27">
        <v>760524</v>
      </c>
      <c r="K1302" s="27">
        <v>687843</v>
      </c>
      <c r="L1302" s="69">
        <v>10.57</v>
      </c>
      <c r="M1302" s="27">
        <v>424769</v>
      </c>
      <c r="N1302" s="69">
        <v>17.93</v>
      </c>
      <c r="O1302" s="69">
        <v>16.22</v>
      </c>
      <c r="P1302" s="69">
        <v>74.510000000000005</v>
      </c>
      <c r="Q1302" s="27">
        <v>46</v>
      </c>
      <c r="R1302" s="69">
        <v>1.38</v>
      </c>
      <c r="S1302" s="69">
        <v>95.3</v>
      </c>
      <c r="X1302" s="2">
        <f t="shared" si="60"/>
        <v>0.54</v>
      </c>
      <c r="Y1302" s="2">
        <f>SUMIF(收盤價!A:A,A1302,收盤價!C:C)</f>
        <v>244</v>
      </c>
      <c r="Z1302" s="2">
        <f t="shared" si="61"/>
        <v>3164953.8190000001</v>
      </c>
      <c r="AA1302" s="2">
        <f t="shared" si="62"/>
        <v>10364363.6</v>
      </c>
    </row>
    <row r="1303" spans="1:27" ht="14.5" customHeight="1">
      <c r="A1303" s="7" t="s">
        <v>6675</v>
      </c>
      <c r="B1303" s="8" t="s">
        <v>2337</v>
      </c>
      <c r="C1303" s="27">
        <v>2743203</v>
      </c>
      <c r="D1303" s="27">
        <v>2859269</v>
      </c>
      <c r="E1303" s="69">
        <v>-4.0599999999999996</v>
      </c>
      <c r="F1303" s="27">
        <v>96440</v>
      </c>
      <c r="G1303" s="27">
        <v>121343</v>
      </c>
      <c r="H1303" s="27">
        <v>-652</v>
      </c>
      <c r="I1303" s="27">
        <v>6953</v>
      </c>
      <c r="J1303" s="27">
        <v>70577</v>
      </c>
      <c r="K1303" s="27">
        <v>88970</v>
      </c>
      <c r="L1303" s="69">
        <v>-20.67</v>
      </c>
      <c r="M1303" s="27">
        <v>820960</v>
      </c>
      <c r="N1303" s="69">
        <v>0.92</v>
      </c>
      <c r="O1303" s="69">
        <v>1.24</v>
      </c>
      <c r="P1303" s="69">
        <v>14.32</v>
      </c>
      <c r="Q1303" s="27">
        <v>36</v>
      </c>
      <c r="R1303" s="69">
        <v>1.46</v>
      </c>
      <c r="S1303" s="69">
        <v>87.14</v>
      </c>
      <c r="X1303" s="2">
        <f t="shared" si="60"/>
        <v>0.64</v>
      </c>
      <c r="Y1303" s="2">
        <f>SUMIF(收盤價!A:A,A1303,收盤價!C:C)</f>
        <v>23.4</v>
      </c>
      <c r="Z1303" s="2">
        <f t="shared" si="61"/>
        <v>1175614.7200000002</v>
      </c>
      <c r="AA1303" s="2">
        <f t="shared" si="62"/>
        <v>1921046.4</v>
      </c>
    </row>
    <row r="1304" spans="1:27" ht="14.5" customHeight="1">
      <c r="A1304" s="7" t="s">
        <v>6676</v>
      </c>
      <c r="B1304" s="8" t="s">
        <v>2353</v>
      </c>
      <c r="C1304" s="27">
        <v>2078229</v>
      </c>
      <c r="D1304" s="27">
        <v>2034712</v>
      </c>
      <c r="E1304" s="69">
        <v>2.14</v>
      </c>
      <c r="F1304" s="27">
        <v>5395</v>
      </c>
      <c r="G1304" s="27">
        <v>2046</v>
      </c>
      <c r="H1304" s="27">
        <v>11290</v>
      </c>
      <c r="I1304" s="27">
        <v>-1088</v>
      </c>
      <c r="J1304" s="27">
        <v>16706</v>
      </c>
      <c r="K1304" s="27">
        <v>12150</v>
      </c>
      <c r="L1304" s="69">
        <v>37.5</v>
      </c>
      <c r="M1304" s="27">
        <v>470975</v>
      </c>
      <c r="N1304" s="69">
        <v>0.35</v>
      </c>
      <c r="O1304" s="69">
        <v>0.26</v>
      </c>
      <c r="P1304" s="69">
        <v>23.35</v>
      </c>
      <c r="Q1304" s="27">
        <v>64</v>
      </c>
      <c r="R1304" s="69">
        <v>2.16</v>
      </c>
      <c r="S1304" s="69">
        <v>131.75</v>
      </c>
      <c r="X1304" s="2">
        <f t="shared" si="60"/>
        <v>0.36</v>
      </c>
      <c r="Y1304" s="2">
        <f>SUMIF(收盤價!A:A,A1304,收盤價!C:C)</f>
        <v>18.149999999999999</v>
      </c>
      <c r="Z1304" s="2">
        <f t="shared" si="61"/>
        <v>1099726.625</v>
      </c>
      <c r="AA1304" s="2">
        <f t="shared" si="62"/>
        <v>854819.625</v>
      </c>
    </row>
    <row r="1305" spans="1:27" ht="14.5" customHeight="1">
      <c r="A1305" s="7" t="s">
        <v>6677</v>
      </c>
      <c r="B1305" s="8" t="s">
        <v>2377</v>
      </c>
      <c r="C1305" s="27">
        <v>3766566</v>
      </c>
      <c r="D1305" s="27">
        <v>2867550</v>
      </c>
      <c r="E1305" s="69">
        <v>31.35</v>
      </c>
      <c r="F1305" s="27">
        <v>33485</v>
      </c>
      <c r="G1305" s="27">
        <v>-42248</v>
      </c>
      <c r="H1305" s="27">
        <v>-7293</v>
      </c>
      <c r="I1305" s="27">
        <v>21656</v>
      </c>
      <c r="J1305" s="27">
        <v>24610</v>
      </c>
      <c r="K1305" s="27">
        <v>-8102</v>
      </c>
      <c r="L1305" s="69">
        <v>403.75</v>
      </c>
      <c r="M1305" s="27">
        <v>384907</v>
      </c>
      <c r="N1305" s="69">
        <v>0.64</v>
      </c>
      <c r="O1305" s="69">
        <v>-0.21</v>
      </c>
      <c r="P1305" s="69">
        <v>39.94</v>
      </c>
      <c r="Q1305" s="27">
        <v>56</v>
      </c>
      <c r="R1305" s="69">
        <v>1.77</v>
      </c>
      <c r="S1305" s="69">
        <v>113.08</v>
      </c>
      <c r="X1305" s="2">
        <f t="shared" si="60"/>
        <v>0.44</v>
      </c>
      <c r="Y1305" s="2">
        <f>SUMIF(收盤價!A:A,A1305,收盤價!C:C)</f>
        <v>39.15</v>
      </c>
      <c r="Z1305" s="2">
        <f t="shared" si="61"/>
        <v>1537318.5579999997</v>
      </c>
      <c r="AA1305" s="2">
        <f t="shared" si="62"/>
        <v>1506910.9049999998</v>
      </c>
    </row>
    <row r="1306" spans="1:27" ht="14.5" customHeight="1">
      <c r="A1306" s="7" t="s">
        <v>6678</v>
      </c>
      <c r="B1306" s="8" t="s">
        <v>2381</v>
      </c>
      <c r="C1306" s="27">
        <v>18141116</v>
      </c>
      <c r="D1306" s="27">
        <v>13318833</v>
      </c>
      <c r="E1306" s="69">
        <v>36.21</v>
      </c>
      <c r="F1306" s="27">
        <v>249108</v>
      </c>
      <c r="G1306" s="27">
        <v>193606</v>
      </c>
      <c r="H1306" s="27">
        <v>-60228</v>
      </c>
      <c r="I1306" s="27">
        <v>-22756</v>
      </c>
      <c r="J1306" s="27">
        <v>144653</v>
      </c>
      <c r="K1306" s="27">
        <v>92952</v>
      </c>
      <c r="L1306" s="69">
        <v>55.62</v>
      </c>
      <c r="M1306" s="27">
        <v>795695</v>
      </c>
      <c r="N1306" s="69">
        <v>1.82</v>
      </c>
      <c r="O1306" s="69">
        <v>1.17</v>
      </c>
      <c r="P1306" s="69">
        <v>14.52</v>
      </c>
      <c r="Q1306" s="27">
        <v>17</v>
      </c>
      <c r="R1306" s="69">
        <v>1.19</v>
      </c>
      <c r="S1306" s="69">
        <v>65.67</v>
      </c>
      <c r="X1306" s="2">
        <f t="shared" si="60"/>
        <v>0.83</v>
      </c>
      <c r="Y1306" s="2">
        <f>SUMIF(收盤價!A:A,A1306,收盤價!C:C)</f>
        <v>22.6</v>
      </c>
      <c r="Z1306" s="2">
        <f t="shared" si="61"/>
        <v>1155349.1400000001</v>
      </c>
      <c r="AA1306" s="2">
        <f t="shared" si="62"/>
        <v>1798270.7</v>
      </c>
    </row>
    <row r="1307" spans="1:27" ht="14.5" customHeight="1">
      <c r="A1307" s="7" t="s">
        <v>6086</v>
      </c>
      <c r="B1307" s="8" t="s">
        <v>2611</v>
      </c>
      <c r="C1307" s="27">
        <v>1993051</v>
      </c>
      <c r="D1307" s="27">
        <v>1768612</v>
      </c>
      <c r="E1307" s="69">
        <v>12.69</v>
      </c>
      <c r="F1307" s="27">
        <v>134240</v>
      </c>
      <c r="G1307" s="27">
        <v>86842</v>
      </c>
      <c r="H1307" s="27">
        <v>9258</v>
      </c>
      <c r="I1307" s="27">
        <v>14132</v>
      </c>
      <c r="J1307" s="27">
        <v>142575</v>
      </c>
      <c r="K1307" s="27">
        <v>86463</v>
      </c>
      <c r="L1307" s="69">
        <v>64.900000000000006</v>
      </c>
      <c r="M1307" s="27">
        <v>619757</v>
      </c>
      <c r="N1307" s="69">
        <v>2.5099999999999998</v>
      </c>
      <c r="O1307" s="69">
        <v>1.58</v>
      </c>
      <c r="P1307" s="69">
        <v>16.100000000000001</v>
      </c>
      <c r="Q1307" s="27">
        <v>70</v>
      </c>
      <c r="R1307" s="69">
        <v>3.35</v>
      </c>
      <c r="S1307" s="69">
        <v>271.95999999999998</v>
      </c>
      <c r="X1307" s="2">
        <f t="shared" si="60"/>
        <v>0.3</v>
      </c>
      <c r="Y1307" s="2">
        <f>SUMIF(收盤價!A:A,A1307,收盤價!C:C)</f>
        <v>68.88</v>
      </c>
      <c r="Z1307" s="2">
        <f t="shared" si="61"/>
        <v>997808.77000000014</v>
      </c>
      <c r="AA1307" s="2">
        <f t="shared" si="62"/>
        <v>4268886.216</v>
      </c>
    </row>
    <row r="1308" spans="1:27" ht="14.5" customHeight="1">
      <c r="A1308" s="7" t="s">
        <v>6679</v>
      </c>
      <c r="B1308" s="8" t="s">
        <v>2639</v>
      </c>
      <c r="C1308" s="27">
        <v>1075564</v>
      </c>
      <c r="D1308" s="27">
        <v>1049635</v>
      </c>
      <c r="E1308" s="69">
        <v>2.4700000000000002</v>
      </c>
      <c r="F1308" s="27">
        <v>164565</v>
      </c>
      <c r="G1308" s="27">
        <v>166782</v>
      </c>
      <c r="H1308" s="27">
        <v>-3783</v>
      </c>
      <c r="I1308" s="27">
        <v>14592</v>
      </c>
      <c r="J1308" s="27">
        <v>119382</v>
      </c>
      <c r="K1308" s="27">
        <v>137705</v>
      </c>
      <c r="L1308" s="69">
        <v>-13.31</v>
      </c>
      <c r="M1308" s="27">
        <v>252000</v>
      </c>
      <c r="N1308" s="69">
        <v>4.8</v>
      </c>
      <c r="O1308" s="69">
        <v>5.6</v>
      </c>
      <c r="P1308" s="69">
        <v>35.159999999999997</v>
      </c>
      <c r="Q1308" s="27">
        <v>72</v>
      </c>
      <c r="R1308" s="69">
        <v>3.43</v>
      </c>
      <c r="S1308" s="69">
        <v>205.11</v>
      </c>
      <c r="X1308" s="2">
        <f t="shared" si="60"/>
        <v>0.28000000000000003</v>
      </c>
      <c r="Y1308" s="2">
        <f>SUMIF(收盤價!A:A,A1308,收盤價!C:C)</f>
        <v>59.5</v>
      </c>
      <c r="Z1308" s="2">
        <f t="shared" si="61"/>
        <v>886032</v>
      </c>
      <c r="AA1308" s="2">
        <f t="shared" si="62"/>
        <v>1499400</v>
      </c>
    </row>
    <row r="1309" spans="1:27" ht="14.5" customHeight="1">
      <c r="A1309" s="7" t="s">
        <v>6680</v>
      </c>
      <c r="B1309" s="8" t="s">
        <v>2703</v>
      </c>
      <c r="C1309" s="27">
        <v>7361665</v>
      </c>
      <c r="D1309" s="27">
        <v>7866250</v>
      </c>
      <c r="E1309" s="69">
        <v>-6.41</v>
      </c>
      <c r="F1309" s="27">
        <v>1388887</v>
      </c>
      <c r="G1309" s="27">
        <v>1109255</v>
      </c>
      <c r="H1309" s="27">
        <v>-74252</v>
      </c>
      <c r="I1309" s="27">
        <v>-10733</v>
      </c>
      <c r="J1309" s="27">
        <v>1014254</v>
      </c>
      <c r="K1309" s="27">
        <v>843084</v>
      </c>
      <c r="L1309" s="69">
        <v>20.3</v>
      </c>
      <c r="M1309" s="27">
        <v>797294</v>
      </c>
      <c r="N1309" s="69">
        <v>12.72</v>
      </c>
      <c r="O1309" s="69">
        <v>10.66</v>
      </c>
      <c r="P1309" s="69">
        <v>55.96</v>
      </c>
      <c r="Q1309" s="27">
        <v>79</v>
      </c>
      <c r="R1309" s="69">
        <v>3.81</v>
      </c>
      <c r="S1309" s="69">
        <v>297.8</v>
      </c>
      <c r="X1309" s="2">
        <f t="shared" si="60"/>
        <v>0.21</v>
      </c>
      <c r="Y1309" s="2">
        <f>SUMIF(收盤價!A:A,A1309,收盤價!C:C)</f>
        <v>173</v>
      </c>
      <c r="Z1309" s="2">
        <f t="shared" si="61"/>
        <v>4461657.2240000004</v>
      </c>
      <c r="AA1309" s="2">
        <f t="shared" si="62"/>
        <v>13793186.199999999</v>
      </c>
    </row>
    <row r="1310" spans="1:27" ht="14.5" customHeight="1">
      <c r="A1310" s="7" t="s">
        <v>6681</v>
      </c>
      <c r="B1310" s="8" t="s">
        <v>2713</v>
      </c>
      <c r="C1310" s="27">
        <v>1328020</v>
      </c>
      <c r="D1310" s="27">
        <v>1253562</v>
      </c>
      <c r="E1310" s="69">
        <v>5.94</v>
      </c>
      <c r="F1310" s="27">
        <v>2385</v>
      </c>
      <c r="G1310" s="27">
        <v>-39371</v>
      </c>
      <c r="H1310" s="27">
        <v>-91624</v>
      </c>
      <c r="I1310" s="27">
        <v>-45734</v>
      </c>
      <c r="J1310" s="27">
        <v>-103893</v>
      </c>
      <c r="K1310" s="27">
        <v>-110020</v>
      </c>
      <c r="L1310" s="69">
        <v>5.57</v>
      </c>
      <c r="M1310" s="27">
        <v>3269624</v>
      </c>
      <c r="N1310" s="69">
        <v>-0.4</v>
      </c>
      <c r="O1310" s="69">
        <v>-0.59</v>
      </c>
      <c r="P1310" s="69">
        <v>3.33</v>
      </c>
      <c r="Q1310" s="27">
        <v>32</v>
      </c>
      <c r="R1310" s="69">
        <v>0.67</v>
      </c>
      <c r="S1310" s="69">
        <v>53.84</v>
      </c>
      <c r="X1310" s="2">
        <f t="shared" si="60"/>
        <v>0.68</v>
      </c>
      <c r="Y1310" s="2">
        <f>SUMIF(收盤價!A:A,A1310,收盤價!C:C)</f>
        <v>2.52</v>
      </c>
      <c r="Z1310" s="2">
        <f t="shared" si="61"/>
        <v>1088784.7919999999</v>
      </c>
      <c r="AA1310" s="2">
        <f t="shared" si="62"/>
        <v>823945.24800000002</v>
      </c>
    </row>
    <row r="1311" spans="1:27" ht="14.5" customHeight="1">
      <c r="A1311" s="7" t="s">
        <v>6682</v>
      </c>
      <c r="B1311" s="8" t="s">
        <v>2751</v>
      </c>
      <c r="C1311" s="27">
        <v>5138349</v>
      </c>
      <c r="D1311" s="27">
        <v>6923017</v>
      </c>
      <c r="E1311" s="69">
        <v>-25.78</v>
      </c>
      <c r="F1311" s="27">
        <v>240368</v>
      </c>
      <c r="G1311" s="27">
        <v>199326</v>
      </c>
      <c r="H1311" s="27">
        <v>102650</v>
      </c>
      <c r="I1311" s="27">
        <v>150911</v>
      </c>
      <c r="J1311" s="27">
        <v>228847</v>
      </c>
      <c r="K1311" s="27">
        <v>172186</v>
      </c>
      <c r="L1311" s="69">
        <v>32.909999999999997</v>
      </c>
      <c r="M1311" s="27">
        <v>1030400</v>
      </c>
      <c r="N1311" s="69">
        <v>2.2200000000000002</v>
      </c>
      <c r="O1311" s="69">
        <v>1.43</v>
      </c>
      <c r="P1311" s="69">
        <v>44.4</v>
      </c>
      <c r="Q1311" s="27">
        <v>71</v>
      </c>
      <c r="R1311" s="69">
        <v>3.87</v>
      </c>
      <c r="S1311" s="69">
        <v>340.8</v>
      </c>
      <c r="X1311" s="2">
        <f t="shared" si="60"/>
        <v>0.28999999999999998</v>
      </c>
      <c r="Y1311" s="2">
        <f>SUMIF(收盤價!A:A,A1311,收盤價!C:C)</f>
        <v>30.95</v>
      </c>
      <c r="Z1311" s="2">
        <f t="shared" si="61"/>
        <v>4574976</v>
      </c>
      <c r="AA1311" s="2">
        <f t="shared" si="62"/>
        <v>3189088</v>
      </c>
    </row>
    <row r="1312" spans="1:27" ht="14.5" customHeight="1">
      <c r="A1312" s="7" t="s">
        <v>6683</v>
      </c>
      <c r="B1312" s="8" t="s">
        <v>2761</v>
      </c>
      <c r="C1312" s="27">
        <v>1854772</v>
      </c>
      <c r="D1312" s="27">
        <v>3854705</v>
      </c>
      <c r="E1312" s="69">
        <v>-51.88</v>
      </c>
      <c r="F1312" s="27">
        <v>26055</v>
      </c>
      <c r="G1312" s="27">
        <v>46089</v>
      </c>
      <c r="H1312" s="27">
        <v>-6932</v>
      </c>
      <c r="I1312" s="27">
        <v>-3299</v>
      </c>
      <c r="J1312" s="27">
        <v>14305</v>
      </c>
      <c r="K1312" s="27">
        <v>43679</v>
      </c>
      <c r="L1312" s="69">
        <v>-67.25</v>
      </c>
      <c r="M1312" s="27">
        <v>224749</v>
      </c>
      <c r="N1312" s="69">
        <v>0.66</v>
      </c>
      <c r="O1312" s="69">
        <v>2.44</v>
      </c>
      <c r="P1312" s="69">
        <v>15.81</v>
      </c>
      <c r="Q1312" s="27">
        <v>65</v>
      </c>
      <c r="R1312" s="69">
        <v>2.69</v>
      </c>
      <c r="S1312" s="69">
        <v>203.81</v>
      </c>
      <c r="X1312" s="2">
        <f t="shared" si="60"/>
        <v>0.35</v>
      </c>
      <c r="Y1312" s="2">
        <f>SUMIF(收盤價!A:A,A1312,收盤價!C:C)</f>
        <v>30.8</v>
      </c>
      <c r="Z1312" s="2">
        <f t="shared" si="61"/>
        <v>355328.16899999999</v>
      </c>
      <c r="AA1312" s="2">
        <f t="shared" si="62"/>
        <v>692226.92</v>
      </c>
    </row>
    <row r="1313" spans="1:27" ht="14.5" customHeight="1">
      <c r="A1313" s="7" t="s">
        <v>6684</v>
      </c>
      <c r="B1313" s="8" t="s">
        <v>2773</v>
      </c>
      <c r="C1313" s="27">
        <v>1397024</v>
      </c>
      <c r="D1313" s="27">
        <v>1827508</v>
      </c>
      <c r="E1313" s="69">
        <v>-23.56</v>
      </c>
      <c r="F1313" s="27">
        <v>-32125</v>
      </c>
      <c r="G1313" s="27">
        <v>141548</v>
      </c>
      <c r="H1313" s="27">
        <v>20983</v>
      </c>
      <c r="I1313" s="27">
        <v>68972</v>
      </c>
      <c r="J1313" s="27">
        <v>-22803</v>
      </c>
      <c r="K1313" s="27">
        <v>137635</v>
      </c>
      <c r="L1313" s="69">
        <v>-116.57</v>
      </c>
      <c r="M1313" s="27">
        <v>1438000</v>
      </c>
      <c r="N1313" s="69">
        <v>-0.16</v>
      </c>
      <c r="O1313" s="69">
        <v>0.96</v>
      </c>
      <c r="P1313" s="69">
        <v>14.09</v>
      </c>
      <c r="Q1313" s="27">
        <v>75</v>
      </c>
      <c r="R1313" s="69">
        <v>3.08</v>
      </c>
      <c r="S1313" s="69">
        <v>264.56</v>
      </c>
      <c r="X1313" s="2">
        <f t="shared" si="60"/>
        <v>0.25</v>
      </c>
      <c r="Y1313" s="2">
        <f>SUMIF(收盤價!A:A,A1313,收盤價!C:C)</f>
        <v>11.8</v>
      </c>
      <c r="Z1313" s="2">
        <f t="shared" si="61"/>
        <v>2026142</v>
      </c>
      <c r="AA1313" s="2">
        <f t="shared" si="62"/>
        <v>1696840</v>
      </c>
    </row>
    <row r="1314" spans="1:27" ht="14.5" customHeight="1">
      <c r="A1314" s="7" t="s">
        <v>6685</v>
      </c>
      <c r="B1314" s="8" t="s">
        <v>2777</v>
      </c>
      <c r="C1314" s="27">
        <v>1769660</v>
      </c>
      <c r="D1314" s="27">
        <v>2162117</v>
      </c>
      <c r="E1314" s="69">
        <v>-18.149999999999999</v>
      </c>
      <c r="F1314" s="27">
        <v>1280</v>
      </c>
      <c r="G1314" s="27">
        <v>115592</v>
      </c>
      <c r="H1314" s="27">
        <v>53549</v>
      </c>
      <c r="I1314" s="27">
        <v>78720</v>
      </c>
      <c r="J1314" s="27">
        <v>49537</v>
      </c>
      <c r="K1314" s="27">
        <v>160483</v>
      </c>
      <c r="L1314" s="69">
        <v>-69.13</v>
      </c>
      <c r="M1314" s="27">
        <v>1125365</v>
      </c>
      <c r="N1314" s="69">
        <v>0.44</v>
      </c>
      <c r="O1314" s="69">
        <v>1.43</v>
      </c>
      <c r="P1314" s="69">
        <v>16.059999999999999</v>
      </c>
      <c r="Q1314" s="27">
        <v>72</v>
      </c>
      <c r="R1314" s="69">
        <v>2</v>
      </c>
      <c r="S1314" s="69">
        <v>170.89</v>
      </c>
      <c r="X1314" s="2">
        <f t="shared" si="60"/>
        <v>0.28000000000000003</v>
      </c>
      <c r="Y1314" s="2">
        <f>SUMIF(收盤價!A:A,A1314,收盤價!C:C)</f>
        <v>13.65</v>
      </c>
      <c r="Z1314" s="2">
        <f t="shared" si="61"/>
        <v>1807336.19</v>
      </c>
      <c r="AA1314" s="2">
        <f t="shared" si="62"/>
        <v>1536123.2250000001</v>
      </c>
    </row>
    <row r="1315" spans="1:27" ht="14.5" customHeight="1">
      <c r="A1315" s="7" t="s">
        <v>6686</v>
      </c>
      <c r="B1315" s="8" t="s">
        <v>2783</v>
      </c>
      <c r="C1315" s="27">
        <v>2914426</v>
      </c>
      <c r="D1315" s="27">
        <v>2925008</v>
      </c>
      <c r="E1315" s="69">
        <v>-0.36</v>
      </c>
      <c r="F1315" s="27">
        <v>148933</v>
      </c>
      <c r="G1315" s="27">
        <v>118625</v>
      </c>
      <c r="H1315" s="27">
        <v>-34586</v>
      </c>
      <c r="I1315" s="27">
        <v>18036</v>
      </c>
      <c r="J1315" s="27">
        <v>70931</v>
      </c>
      <c r="K1315" s="27">
        <v>-19744</v>
      </c>
      <c r="L1315" s="69">
        <v>459.25</v>
      </c>
      <c r="M1315" s="27">
        <v>1223923</v>
      </c>
      <c r="N1315" s="69">
        <v>0.57999999999999996</v>
      </c>
      <c r="O1315" s="69">
        <v>-0.39</v>
      </c>
      <c r="P1315" s="69">
        <v>9.3699999999999992</v>
      </c>
      <c r="Q1315" s="27">
        <v>40</v>
      </c>
      <c r="R1315" s="69">
        <v>1.67</v>
      </c>
      <c r="S1315" s="69">
        <v>123.75</v>
      </c>
      <c r="X1315" s="2">
        <f t="shared" si="60"/>
        <v>0.6</v>
      </c>
      <c r="Y1315" s="2">
        <f>SUMIF(收盤價!A:A,A1315,收盤價!C:C)</f>
        <v>18.100000000000001</v>
      </c>
      <c r="Z1315" s="2">
        <f t="shared" si="61"/>
        <v>1146815.851</v>
      </c>
      <c r="AA1315" s="2">
        <f t="shared" si="62"/>
        <v>2215300.63</v>
      </c>
    </row>
    <row r="1316" spans="1:27" ht="14.5" customHeight="1">
      <c r="A1316" s="7" t="s">
        <v>6687</v>
      </c>
      <c r="B1316" s="8" t="s">
        <v>2795</v>
      </c>
      <c r="C1316" s="27">
        <v>5010917</v>
      </c>
      <c r="D1316" s="27">
        <v>3826631</v>
      </c>
      <c r="E1316" s="69">
        <v>30.95</v>
      </c>
      <c r="F1316" s="27">
        <v>137250</v>
      </c>
      <c r="G1316" s="27">
        <v>77682</v>
      </c>
      <c r="H1316" s="27">
        <v>75465</v>
      </c>
      <c r="I1316" s="27">
        <v>14304</v>
      </c>
      <c r="J1316" s="27">
        <v>150949</v>
      </c>
      <c r="K1316" s="27">
        <v>62031</v>
      </c>
      <c r="L1316" s="69">
        <v>143.34</v>
      </c>
      <c r="M1316" s="27">
        <v>1640918</v>
      </c>
      <c r="N1316" s="69">
        <v>0.92</v>
      </c>
      <c r="O1316" s="69">
        <v>0.41</v>
      </c>
      <c r="P1316" s="69">
        <v>13.85</v>
      </c>
      <c r="Q1316" s="27">
        <v>44</v>
      </c>
      <c r="R1316" s="69">
        <v>1.48</v>
      </c>
      <c r="S1316" s="69">
        <v>112.48</v>
      </c>
      <c r="X1316" s="2">
        <f t="shared" si="60"/>
        <v>0.56000000000000005</v>
      </c>
      <c r="Y1316" s="2">
        <f>SUMIF(收盤價!A:A,A1316,收盤價!C:C)</f>
        <v>13.9</v>
      </c>
      <c r="Z1316" s="2">
        <f t="shared" si="61"/>
        <v>2272671.4300000002</v>
      </c>
      <c r="AA1316" s="2">
        <f t="shared" si="62"/>
        <v>2280876.02</v>
      </c>
    </row>
    <row r="1317" spans="1:27" ht="14.5" customHeight="1">
      <c r="A1317" s="7" t="s">
        <v>6688</v>
      </c>
      <c r="B1317" s="8" t="s">
        <v>2799</v>
      </c>
      <c r="C1317" s="27">
        <v>1294164</v>
      </c>
      <c r="D1317" s="27">
        <v>1147378</v>
      </c>
      <c r="E1317" s="69">
        <v>12.79</v>
      </c>
      <c r="F1317" s="27">
        <v>327829</v>
      </c>
      <c r="G1317" s="27">
        <v>302374</v>
      </c>
      <c r="H1317" s="27">
        <v>4715</v>
      </c>
      <c r="I1317" s="27">
        <v>20891</v>
      </c>
      <c r="J1317" s="27">
        <v>260307</v>
      </c>
      <c r="K1317" s="27">
        <v>255638</v>
      </c>
      <c r="L1317" s="69">
        <v>1.83</v>
      </c>
      <c r="M1317" s="27">
        <v>337298</v>
      </c>
      <c r="N1317" s="69">
        <v>7.72</v>
      </c>
      <c r="O1317" s="69">
        <v>7.58</v>
      </c>
      <c r="P1317" s="69">
        <v>32.46</v>
      </c>
      <c r="Q1317" s="27">
        <v>73</v>
      </c>
      <c r="R1317" s="69">
        <v>4.1900000000000004</v>
      </c>
      <c r="S1317" s="69">
        <v>369.69</v>
      </c>
      <c r="X1317" s="2">
        <f t="shared" si="60"/>
        <v>0.27</v>
      </c>
      <c r="Y1317" s="2">
        <f>SUMIF(收盤價!A:A,A1317,收盤價!C:C)</f>
        <v>78.2</v>
      </c>
      <c r="Z1317" s="2">
        <f t="shared" si="61"/>
        <v>1094869.308</v>
      </c>
      <c r="AA1317" s="2">
        <f t="shared" si="62"/>
        <v>2637670.3600000003</v>
      </c>
    </row>
    <row r="1318" spans="1:27" ht="14.5" customHeight="1">
      <c r="A1318" s="7" t="s">
        <v>6689</v>
      </c>
      <c r="B1318" s="8" t="s">
        <v>2815</v>
      </c>
      <c r="C1318" s="27">
        <v>2024230</v>
      </c>
      <c r="D1318" s="27">
        <v>1776817</v>
      </c>
      <c r="E1318" s="69">
        <v>13.92</v>
      </c>
      <c r="F1318" s="27">
        <v>337242</v>
      </c>
      <c r="G1318" s="27">
        <v>45687</v>
      </c>
      <c r="H1318" s="27">
        <v>3203</v>
      </c>
      <c r="I1318" s="27">
        <v>4094</v>
      </c>
      <c r="J1318" s="27">
        <v>263391</v>
      </c>
      <c r="K1318" s="27">
        <v>28676</v>
      </c>
      <c r="L1318" s="69">
        <v>818.51</v>
      </c>
      <c r="M1318" s="27">
        <v>947466</v>
      </c>
      <c r="N1318" s="69">
        <v>2.79</v>
      </c>
      <c r="O1318" s="69">
        <v>0.3</v>
      </c>
      <c r="P1318" s="69">
        <v>17.420000000000002</v>
      </c>
      <c r="Q1318" s="27">
        <v>76</v>
      </c>
      <c r="R1318" s="69">
        <v>4.51</v>
      </c>
      <c r="S1318" s="69">
        <v>392.72</v>
      </c>
      <c r="X1318" s="2">
        <f t="shared" si="60"/>
        <v>0.24</v>
      </c>
      <c r="Y1318" s="2">
        <f>SUMIF(收盤價!A:A,A1318,收盤價!C:C)</f>
        <v>33.6</v>
      </c>
      <c r="Z1318" s="2">
        <f t="shared" si="61"/>
        <v>1650485.7720000003</v>
      </c>
      <c r="AA1318" s="2">
        <f t="shared" si="62"/>
        <v>3183485.7600000002</v>
      </c>
    </row>
    <row r="1319" spans="1:27" ht="14.5" customHeight="1">
      <c r="A1319" s="7" t="s">
        <v>6690</v>
      </c>
      <c r="B1319" s="8" t="s">
        <v>2899</v>
      </c>
      <c r="C1319" s="27">
        <v>73734546</v>
      </c>
      <c r="D1319" s="27">
        <v>64452906</v>
      </c>
      <c r="E1319" s="69">
        <v>14.4</v>
      </c>
      <c r="F1319" s="27">
        <v>4232877</v>
      </c>
      <c r="G1319" s="27">
        <v>3963888</v>
      </c>
      <c r="H1319" s="27">
        <v>1137136</v>
      </c>
      <c r="I1319" s="27">
        <v>641556</v>
      </c>
      <c r="J1319" s="27">
        <v>3824879</v>
      </c>
      <c r="K1319" s="27">
        <v>3209019</v>
      </c>
      <c r="L1319" s="69">
        <v>19.190000000000001</v>
      </c>
      <c r="M1319" s="27">
        <v>1849705</v>
      </c>
      <c r="N1319" s="69">
        <v>20.68</v>
      </c>
      <c r="O1319" s="69">
        <v>17.350000000000001</v>
      </c>
      <c r="P1319" s="69">
        <v>126.73</v>
      </c>
      <c r="Q1319" s="27">
        <v>46</v>
      </c>
      <c r="R1319" s="69">
        <v>1.7</v>
      </c>
      <c r="S1319" s="69">
        <v>120.48</v>
      </c>
      <c r="X1319" s="2">
        <f t="shared" si="60"/>
        <v>0.54</v>
      </c>
      <c r="Y1319" s="2">
        <f>SUMIF(收盤價!A:A,A1319,收盤價!C:C)</f>
        <v>303</v>
      </c>
      <c r="Z1319" s="2">
        <f t="shared" si="61"/>
        <v>23441311.465</v>
      </c>
      <c r="AA1319" s="2">
        <f t="shared" si="62"/>
        <v>56046061.5</v>
      </c>
    </row>
    <row r="1320" spans="1:27" ht="14.5" customHeight="1">
      <c r="A1320" s="7" t="s">
        <v>6691</v>
      </c>
      <c r="B1320" s="8" t="s">
        <v>2903</v>
      </c>
      <c r="C1320" s="27">
        <v>5257393</v>
      </c>
      <c r="D1320" s="27">
        <v>5226022</v>
      </c>
      <c r="E1320" s="69">
        <v>0.6</v>
      </c>
      <c r="F1320" s="27">
        <v>307585</v>
      </c>
      <c r="G1320" s="27">
        <v>301050</v>
      </c>
      <c r="H1320" s="27">
        <v>9509</v>
      </c>
      <c r="I1320" s="27">
        <v>-20302</v>
      </c>
      <c r="J1320" s="27">
        <v>211502</v>
      </c>
      <c r="K1320" s="27">
        <v>203406</v>
      </c>
      <c r="L1320" s="69">
        <v>3.98</v>
      </c>
      <c r="M1320" s="27">
        <v>590374</v>
      </c>
      <c r="N1320" s="69">
        <v>3.7</v>
      </c>
      <c r="O1320" s="69">
        <v>3.49</v>
      </c>
      <c r="P1320" s="69">
        <v>17.829999999999998</v>
      </c>
      <c r="Q1320" s="27">
        <v>40</v>
      </c>
      <c r="R1320" s="69">
        <v>1.58</v>
      </c>
      <c r="S1320" s="69">
        <v>140.09</v>
      </c>
      <c r="X1320" s="2">
        <f t="shared" si="60"/>
        <v>0.6</v>
      </c>
      <c r="Y1320" s="2">
        <f>SUMIF(收盤價!A:A,A1320,收盤價!C:C)</f>
        <v>40.6</v>
      </c>
      <c r="Z1320" s="2">
        <f t="shared" si="61"/>
        <v>1052636.8419999997</v>
      </c>
      <c r="AA1320" s="2">
        <f t="shared" si="62"/>
        <v>2396918.4400000004</v>
      </c>
    </row>
    <row r="1321" spans="1:27" ht="14.5" customHeight="1">
      <c r="A1321" s="7" t="s">
        <v>6692</v>
      </c>
      <c r="B1321" s="8" t="s">
        <v>2933</v>
      </c>
      <c r="C1321" s="27">
        <v>3024514</v>
      </c>
      <c r="D1321" s="27">
        <v>5071041</v>
      </c>
      <c r="E1321" s="69">
        <v>-40.36</v>
      </c>
      <c r="F1321" s="27">
        <v>-83608</v>
      </c>
      <c r="G1321" s="27">
        <v>167721</v>
      </c>
      <c r="H1321" s="27">
        <v>-8691</v>
      </c>
      <c r="I1321" s="27">
        <v>-6740</v>
      </c>
      <c r="J1321" s="27">
        <v>-81061</v>
      </c>
      <c r="K1321" s="27">
        <v>134639</v>
      </c>
      <c r="L1321" s="69">
        <v>-160.21</v>
      </c>
      <c r="M1321" s="27">
        <v>332905</v>
      </c>
      <c r="N1321" s="69">
        <v>-2.4300000000000002</v>
      </c>
      <c r="O1321" s="69">
        <v>4.04</v>
      </c>
      <c r="P1321" s="69">
        <v>11.52</v>
      </c>
      <c r="Q1321" s="27">
        <v>23</v>
      </c>
      <c r="R1321" s="69">
        <v>1.1000000000000001</v>
      </c>
      <c r="S1321" s="69">
        <v>65.33</v>
      </c>
      <c r="X1321" s="2">
        <f t="shared" si="60"/>
        <v>0.77</v>
      </c>
      <c r="Y1321" s="2">
        <f>SUMIF(收盤價!A:A,A1321,收盤價!C:C)</f>
        <v>64.099999999999994</v>
      </c>
      <c r="Z1321" s="2">
        <f t="shared" si="61"/>
        <v>383506.55999999994</v>
      </c>
      <c r="AA1321" s="2">
        <f t="shared" si="62"/>
        <v>2133921.0499999998</v>
      </c>
    </row>
    <row r="1322" spans="1:27" ht="14.5" customHeight="1">
      <c r="A1322" s="7" t="s">
        <v>6693</v>
      </c>
      <c r="B1322" s="8" t="s">
        <v>2943</v>
      </c>
      <c r="C1322" s="27">
        <v>1285662</v>
      </c>
      <c r="D1322" s="27">
        <v>1568120</v>
      </c>
      <c r="E1322" s="69">
        <v>-18.010000000000002</v>
      </c>
      <c r="F1322" s="27">
        <v>-14059</v>
      </c>
      <c r="G1322" s="27">
        <v>58521</v>
      </c>
      <c r="H1322" s="27">
        <v>-3880</v>
      </c>
      <c r="I1322" s="27">
        <v>5682</v>
      </c>
      <c r="J1322" s="27">
        <v>-9183</v>
      </c>
      <c r="K1322" s="27">
        <v>56556</v>
      </c>
      <c r="L1322" s="69">
        <v>-116.24</v>
      </c>
      <c r="M1322" s="27">
        <v>684891</v>
      </c>
      <c r="N1322" s="69">
        <v>-0.13</v>
      </c>
      <c r="O1322" s="69">
        <v>0.83</v>
      </c>
      <c r="P1322" s="69">
        <v>11.9</v>
      </c>
      <c r="Q1322" s="27">
        <v>69</v>
      </c>
      <c r="R1322" s="69">
        <v>3.07</v>
      </c>
      <c r="S1322" s="69">
        <v>169.33</v>
      </c>
      <c r="X1322" s="2">
        <f t="shared" si="60"/>
        <v>0.31</v>
      </c>
      <c r="Y1322" s="2">
        <f>SUMIF(收盤價!A:A,A1322,收盤價!C:C)</f>
        <v>18.75</v>
      </c>
      <c r="Z1322" s="2">
        <f t="shared" si="61"/>
        <v>815020.29</v>
      </c>
      <c r="AA1322" s="2">
        <f t="shared" si="62"/>
        <v>1284170.625</v>
      </c>
    </row>
    <row r="1323" spans="1:27" ht="14.5" customHeight="1">
      <c r="A1323" s="7" t="s">
        <v>6694</v>
      </c>
      <c r="B1323" s="8" t="s">
        <v>2945</v>
      </c>
      <c r="C1323" s="27">
        <v>1687813</v>
      </c>
      <c r="D1323" s="27">
        <v>1482432</v>
      </c>
      <c r="E1323" s="69">
        <v>13.85</v>
      </c>
      <c r="F1323" s="27">
        <v>207465</v>
      </c>
      <c r="G1323" s="27">
        <v>136662</v>
      </c>
      <c r="H1323" s="27">
        <v>12087</v>
      </c>
      <c r="I1323" s="27">
        <v>85254</v>
      </c>
      <c r="J1323" s="27">
        <v>164018</v>
      </c>
      <c r="K1323" s="27">
        <v>184381</v>
      </c>
      <c r="L1323" s="69">
        <v>-11.04</v>
      </c>
      <c r="M1323" s="27">
        <v>789833</v>
      </c>
      <c r="N1323" s="69">
        <v>2.08</v>
      </c>
      <c r="O1323" s="69">
        <v>1.87</v>
      </c>
      <c r="P1323" s="69">
        <v>16.11</v>
      </c>
      <c r="Q1323" s="27">
        <v>77</v>
      </c>
      <c r="R1323" s="69">
        <v>3.23</v>
      </c>
      <c r="S1323" s="69">
        <v>203.63</v>
      </c>
      <c r="X1323" s="2">
        <f t="shared" si="60"/>
        <v>0.23</v>
      </c>
      <c r="Y1323" s="2">
        <f>SUMIF(收盤價!A:A,A1323,收盤價!C:C)</f>
        <v>20.55</v>
      </c>
      <c r="Z1323" s="2">
        <f t="shared" si="61"/>
        <v>1272420.963</v>
      </c>
      <c r="AA1323" s="2">
        <f t="shared" si="62"/>
        <v>1623106.8149999999</v>
      </c>
    </row>
    <row r="1324" spans="1:27" ht="14.5" customHeight="1">
      <c r="A1324" s="7" t="s">
        <v>6695</v>
      </c>
      <c r="B1324" s="8" t="s">
        <v>2975</v>
      </c>
      <c r="C1324" s="27">
        <v>9352785</v>
      </c>
      <c r="D1324" s="27">
        <v>7090384</v>
      </c>
      <c r="E1324" s="69">
        <v>31.91</v>
      </c>
      <c r="F1324" s="27">
        <v>652221</v>
      </c>
      <c r="G1324" s="27">
        <v>178487</v>
      </c>
      <c r="H1324" s="27">
        <v>39504</v>
      </c>
      <c r="I1324" s="27">
        <v>290071</v>
      </c>
      <c r="J1324" s="27">
        <v>513971</v>
      </c>
      <c r="K1324" s="27">
        <v>368560</v>
      </c>
      <c r="L1324" s="69">
        <v>39.450000000000003</v>
      </c>
      <c r="M1324" s="27">
        <v>2783589</v>
      </c>
      <c r="N1324" s="69">
        <v>1.85</v>
      </c>
      <c r="O1324" s="69">
        <v>1.32</v>
      </c>
      <c r="P1324" s="69">
        <v>28.32</v>
      </c>
      <c r="Q1324" s="27">
        <v>64</v>
      </c>
      <c r="R1324" s="69">
        <v>2.58</v>
      </c>
      <c r="S1324" s="69">
        <v>220.75</v>
      </c>
      <c r="X1324" s="2">
        <f t="shared" si="60"/>
        <v>0.36</v>
      </c>
      <c r="Y1324" s="2">
        <f>SUMIF(收盤價!A:A,A1324,收盤價!C:C)</f>
        <v>41.55</v>
      </c>
      <c r="Z1324" s="2">
        <f t="shared" si="61"/>
        <v>7883124.0480000004</v>
      </c>
      <c r="AA1324" s="2">
        <f t="shared" si="62"/>
        <v>11565812.294999998</v>
      </c>
    </row>
    <row r="1325" spans="1:27" ht="14.5" customHeight="1">
      <c r="A1325" s="7" t="s">
        <v>6696</v>
      </c>
      <c r="B1325" s="8" t="s">
        <v>3015</v>
      </c>
      <c r="C1325" s="27">
        <v>64559</v>
      </c>
      <c r="D1325" s="27">
        <v>75976</v>
      </c>
      <c r="E1325" s="69">
        <v>-15.03</v>
      </c>
      <c r="F1325" s="27">
        <v>-27271</v>
      </c>
      <c r="G1325" s="27">
        <v>-31769</v>
      </c>
      <c r="H1325" s="27">
        <v>-2966</v>
      </c>
      <c r="I1325" s="27">
        <v>1265</v>
      </c>
      <c r="J1325" s="27">
        <v>-30045</v>
      </c>
      <c r="K1325" s="27">
        <v>-29055</v>
      </c>
      <c r="L1325" s="69">
        <v>-3.41</v>
      </c>
      <c r="M1325" s="27">
        <v>320000</v>
      </c>
      <c r="N1325" s="69">
        <v>-1.03</v>
      </c>
      <c r="O1325" s="69">
        <v>-1.04</v>
      </c>
      <c r="P1325" s="69">
        <v>6.14</v>
      </c>
      <c r="Q1325" s="27">
        <v>48</v>
      </c>
      <c r="R1325" s="69">
        <v>1.02</v>
      </c>
      <c r="S1325" s="69">
        <v>55.16</v>
      </c>
      <c r="X1325" s="2">
        <f t="shared" si="60"/>
        <v>0.52</v>
      </c>
      <c r="Y1325" s="2">
        <f>SUMIF(收盤價!A:A,A1325,收盤價!C:C)</f>
        <v>6.35</v>
      </c>
      <c r="Z1325" s="2">
        <f t="shared" si="61"/>
        <v>196480</v>
      </c>
      <c r="AA1325" s="2">
        <f t="shared" si="62"/>
        <v>203200</v>
      </c>
    </row>
    <row r="1326" spans="1:27" ht="14.5" customHeight="1">
      <c r="A1326" s="7" t="s">
        <v>6697</v>
      </c>
      <c r="B1326" s="8" t="s">
        <v>3065</v>
      </c>
      <c r="C1326" s="27">
        <v>1283763</v>
      </c>
      <c r="D1326" s="27">
        <v>1055144</v>
      </c>
      <c r="E1326" s="69">
        <v>21.67</v>
      </c>
      <c r="F1326" s="27">
        <v>35905</v>
      </c>
      <c r="G1326" s="27">
        <v>2394</v>
      </c>
      <c r="H1326" s="27">
        <v>1884</v>
      </c>
      <c r="I1326" s="27">
        <v>6134</v>
      </c>
      <c r="J1326" s="27">
        <v>27689</v>
      </c>
      <c r="K1326" s="27">
        <v>3764</v>
      </c>
      <c r="L1326" s="69">
        <v>635.63</v>
      </c>
      <c r="M1326" s="27">
        <v>296700</v>
      </c>
      <c r="N1326" s="69">
        <v>0.86</v>
      </c>
      <c r="O1326" s="69">
        <v>0.12</v>
      </c>
      <c r="P1326" s="69">
        <v>10.94</v>
      </c>
      <c r="Q1326" s="27">
        <v>48</v>
      </c>
      <c r="R1326" s="69">
        <v>1.89</v>
      </c>
      <c r="S1326" s="69">
        <v>149.26</v>
      </c>
      <c r="X1326" s="2">
        <f t="shared" si="60"/>
        <v>0.52</v>
      </c>
      <c r="Y1326" s="2">
        <f>SUMIF(收盤價!A:A,A1326,收盤價!C:C)</f>
        <v>19.5</v>
      </c>
      <c r="Z1326" s="2">
        <f t="shared" si="61"/>
        <v>324589.8</v>
      </c>
      <c r="AA1326" s="2">
        <f t="shared" si="62"/>
        <v>578565</v>
      </c>
    </row>
    <row r="1327" spans="1:27" ht="14.5" customHeight="1">
      <c r="A1327" s="7" t="s">
        <v>6698</v>
      </c>
      <c r="B1327" s="8" t="s">
        <v>3101</v>
      </c>
      <c r="C1327" s="27">
        <v>634671</v>
      </c>
      <c r="D1327" s="27">
        <v>1071150</v>
      </c>
      <c r="E1327" s="69">
        <v>-40.75</v>
      </c>
      <c r="F1327" s="27">
        <v>-287</v>
      </c>
      <c r="G1327" s="27">
        <v>51781</v>
      </c>
      <c r="H1327" s="27">
        <v>3219</v>
      </c>
      <c r="I1327" s="27">
        <v>24565</v>
      </c>
      <c r="J1327" s="27">
        <v>2514</v>
      </c>
      <c r="K1327" s="27">
        <v>60990</v>
      </c>
      <c r="L1327" s="69">
        <v>-95.88</v>
      </c>
      <c r="M1327" s="27">
        <v>307622</v>
      </c>
      <c r="N1327" s="69">
        <v>0.08</v>
      </c>
      <c r="O1327" s="69">
        <v>2.0099999999999998</v>
      </c>
      <c r="P1327" s="69">
        <v>22.48</v>
      </c>
      <c r="Q1327" s="27">
        <v>47</v>
      </c>
      <c r="R1327" s="69">
        <v>1.1499999999999999</v>
      </c>
      <c r="S1327" s="69">
        <v>64.97</v>
      </c>
      <c r="X1327" s="2">
        <f t="shared" si="60"/>
        <v>0.53</v>
      </c>
      <c r="Y1327" s="2">
        <f>SUMIF(收盤價!A:A,A1327,收盤價!C:C)</f>
        <v>51.5</v>
      </c>
      <c r="Z1327" s="2">
        <f t="shared" si="61"/>
        <v>691534.25600000005</v>
      </c>
      <c r="AA1327" s="2">
        <f t="shared" si="62"/>
        <v>1584253.3</v>
      </c>
    </row>
    <row r="1328" spans="1:27" ht="14.5" customHeight="1">
      <c r="A1328" s="7" t="s">
        <v>6699</v>
      </c>
      <c r="B1328" s="8" t="s">
        <v>3179</v>
      </c>
      <c r="C1328" s="27">
        <v>772479</v>
      </c>
      <c r="D1328" s="27">
        <v>632562</v>
      </c>
      <c r="E1328" s="69">
        <v>22.12</v>
      </c>
      <c r="F1328" s="27">
        <v>96986</v>
      </c>
      <c r="G1328" s="27">
        <v>60091</v>
      </c>
      <c r="H1328" s="27">
        <v>2364</v>
      </c>
      <c r="I1328" s="27">
        <v>5154</v>
      </c>
      <c r="J1328" s="27">
        <v>81709</v>
      </c>
      <c r="K1328" s="27">
        <v>53955</v>
      </c>
      <c r="L1328" s="69">
        <v>51.44</v>
      </c>
      <c r="M1328" s="27">
        <v>271047</v>
      </c>
      <c r="N1328" s="69">
        <v>3.01</v>
      </c>
      <c r="O1328" s="69">
        <v>1.99</v>
      </c>
      <c r="P1328" s="69">
        <v>17.940000000000001</v>
      </c>
      <c r="Q1328" s="27">
        <v>67</v>
      </c>
      <c r="R1328" s="69">
        <v>3.85</v>
      </c>
      <c r="S1328" s="69">
        <v>290.61</v>
      </c>
      <c r="X1328" s="2">
        <f t="shared" si="60"/>
        <v>0.33</v>
      </c>
      <c r="Y1328" s="2">
        <f>SUMIF(收盤價!A:A,A1328,收盤價!C:C)</f>
        <v>38.75</v>
      </c>
      <c r="Z1328" s="2">
        <f t="shared" si="61"/>
        <v>486258.31800000009</v>
      </c>
      <c r="AA1328" s="2">
        <f t="shared" si="62"/>
        <v>1050307.125</v>
      </c>
    </row>
    <row r="1329" spans="1:27" ht="14.5" customHeight="1">
      <c r="A1329" s="7" t="s">
        <v>6700</v>
      </c>
      <c r="B1329" s="8" t="s">
        <v>3185</v>
      </c>
      <c r="C1329" s="27">
        <v>1874393</v>
      </c>
      <c r="D1329" s="27">
        <v>1891754</v>
      </c>
      <c r="E1329" s="69">
        <v>-0.92</v>
      </c>
      <c r="F1329" s="27">
        <v>260754</v>
      </c>
      <c r="G1329" s="27">
        <v>216747</v>
      </c>
      <c r="H1329" s="27">
        <v>-3768</v>
      </c>
      <c r="I1329" s="27">
        <v>10627</v>
      </c>
      <c r="J1329" s="27">
        <v>206641</v>
      </c>
      <c r="K1329" s="27">
        <v>186286</v>
      </c>
      <c r="L1329" s="69">
        <v>10.93</v>
      </c>
      <c r="M1329" s="27">
        <v>382549</v>
      </c>
      <c r="N1329" s="69">
        <v>5.4</v>
      </c>
      <c r="O1329" s="69">
        <v>4.87</v>
      </c>
      <c r="P1329" s="69">
        <v>27.91</v>
      </c>
      <c r="Q1329" s="27">
        <v>67</v>
      </c>
      <c r="R1329" s="69">
        <v>3.23</v>
      </c>
      <c r="S1329" s="69">
        <v>257.12</v>
      </c>
      <c r="X1329" s="2">
        <f t="shared" si="60"/>
        <v>0.33</v>
      </c>
      <c r="Y1329" s="2">
        <f>SUMIF(收盤價!A:A,A1329,收盤價!C:C)</f>
        <v>68.099999999999994</v>
      </c>
      <c r="Z1329" s="2">
        <f t="shared" si="61"/>
        <v>1067694.2590000001</v>
      </c>
      <c r="AA1329" s="2">
        <f t="shared" si="62"/>
        <v>2605158.69</v>
      </c>
    </row>
    <row r="1330" spans="1:27" ht="14.5" customHeight="1">
      <c r="A1330" s="7" t="s">
        <v>6202</v>
      </c>
      <c r="B1330" s="8" t="s">
        <v>3233</v>
      </c>
      <c r="C1330" s="27">
        <v>371511</v>
      </c>
      <c r="D1330" s="27">
        <v>339550</v>
      </c>
      <c r="E1330" s="69">
        <v>9.41</v>
      </c>
      <c r="F1330" s="27">
        <v>66544</v>
      </c>
      <c r="G1330" s="27">
        <v>55894</v>
      </c>
      <c r="H1330" s="27">
        <v>-4603</v>
      </c>
      <c r="I1330" s="27">
        <v>9903</v>
      </c>
      <c r="J1330" s="27">
        <v>51431</v>
      </c>
      <c r="K1330" s="27">
        <v>53093</v>
      </c>
      <c r="L1330" s="69">
        <v>-3.13</v>
      </c>
      <c r="M1330" s="27">
        <v>175000</v>
      </c>
      <c r="N1330" s="69">
        <v>3.16</v>
      </c>
      <c r="O1330" s="69">
        <v>3.38</v>
      </c>
      <c r="P1330" s="69">
        <v>22.35</v>
      </c>
      <c r="Q1330" s="27">
        <v>76</v>
      </c>
      <c r="R1330" s="69">
        <v>5.26</v>
      </c>
      <c r="S1330" s="69">
        <v>470.68</v>
      </c>
      <c r="X1330" s="2">
        <f t="shared" si="60"/>
        <v>0.24</v>
      </c>
      <c r="Y1330" s="2">
        <f>SUMIF(收盤價!A:A,A1330,收盤價!C:C)</f>
        <v>136.81</v>
      </c>
      <c r="Z1330" s="2">
        <f t="shared" si="61"/>
        <v>391125.00000000006</v>
      </c>
      <c r="AA1330" s="2">
        <f t="shared" si="62"/>
        <v>2394175</v>
      </c>
    </row>
    <row r="1331" spans="1:27" ht="14.5" customHeight="1">
      <c r="A1331" s="7" t="s">
        <v>6701</v>
      </c>
      <c r="B1331" s="8" t="s">
        <v>3271</v>
      </c>
      <c r="C1331" s="27">
        <v>3840356</v>
      </c>
      <c r="D1331" s="27">
        <v>3929252</v>
      </c>
      <c r="E1331" s="69">
        <v>-2.2599999999999998</v>
      </c>
      <c r="F1331" s="27">
        <v>140838</v>
      </c>
      <c r="G1331" s="27">
        <v>132074</v>
      </c>
      <c r="H1331" s="27">
        <v>126400</v>
      </c>
      <c r="I1331" s="27">
        <v>244823</v>
      </c>
      <c r="J1331" s="27">
        <v>255432</v>
      </c>
      <c r="K1331" s="27">
        <v>307134</v>
      </c>
      <c r="L1331" s="69">
        <v>-16.829999999999998</v>
      </c>
      <c r="M1331" s="27">
        <v>1770998</v>
      </c>
      <c r="N1331" s="69">
        <v>2.12</v>
      </c>
      <c r="O1331" s="69">
        <v>2.58</v>
      </c>
      <c r="P1331" s="69">
        <v>28.68</v>
      </c>
      <c r="Q1331" s="27">
        <v>64</v>
      </c>
      <c r="R1331" s="69">
        <v>1.31</v>
      </c>
      <c r="S1331" s="69">
        <v>73.319999999999993</v>
      </c>
      <c r="X1331" s="2">
        <f t="shared" si="60"/>
        <v>0.36</v>
      </c>
      <c r="Y1331" s="2">
        <f>SUMIF(收盤價!A:A,A1331,收盤價!C:C)</f>
        <v>43.95</v>
      </c>
      <c r="Z1331" s="2">
        <f t="shared" si="61"/>
        <v>5079222.2640000004</v>
      </c>
      <c r="AA1331" s="2">
        <f t="shared" si="62"/>
        <v>7783536.2100000009</v>
      </c>
    </row>
    <row r="1332" spans="1:27" ht="14.5" customHeight="1">
      <c r="A1332" s="7" t="s">
        <v>6702</v>
      </c>
      <c r="B1332" s="8" t="s">
        <v>3291</v>
      </c>
      <c r="C1332" s="27">
        <v>3130115</v>
      </c>
      <c r="D1332" s="27">
        <v>3868599</v>
      </c>
      <c r="E1332" s="69">
        <v>-19.09</v>
      </c>
      <c r="F1332" s="27">
        <v>279990</v>
      </c>
      <c r="G1332" s="27">
        <v>352119</v>
      </c>
      <c r="H1332" s="27">
        <v>58011</v>
      </c>
      <c r="I1332" s="27">
        <v>13463</v>
      </c>
      <c r="J1332" s="27">
        <v>263193</v>
      </c>
      <c r="K1332" s="27">
        <v>275265</v>
      </c>
      <c r="L1332" s="69">
        <v>-4.3899999999999997</v>
      </c>
      <c r="M1332" s="27">
        <v>2591587</v>
      </c>
      <c r="N1332" s="69">
        <v>1.03</v>
      </c>
      <c r="O1332" s="69">
        <v>1.06</v>
      </c>
      <c r="P1332" s="69">
        <v>15.6</v>
      </c>
      <c r="Q1332" s="27">
        <v>63</v>
      </c>
      <c r="R1332" s="69">
        <v>2.04</v>
      </c>
      <c r="S1332" s="69">
        <v>146.63</v>
      </c>
      <c r="X1332" s="2">
        <f t="shared" si="60"/>
        <v>0.37</v>
      </c>
      <c r="Y1332" s="2">
        <f>SUMIF(收盤價!A:A,A1332,收盤價!C:C)</f>
        <v>37.049999999999997</v>
      </c>
      <c r="Z1332" s="2">
        <f t="shared" si="61"/>
        <v>4042875.7199999997</v>
      </c>
      <c r="AA1332" s="2">
        <f t="shared" si="62"/>
        <v>9601829.834999999</v>
      </c>
    </row>
    <row r="1333" spans="1:27" ht="14.5" customHeight="1">
      <c r="A1333" s="7" t="s">
        <v>6703</v>
      </c>
      <c r="B1333" s="8" t="s">
        <v>3341</v>
      </c>
      <c r="C1333" s="27">
        <v>7213408</v>
      </c>
      <c r="D1333" s="27">
        <v>6637639</v>
      </c>
      <c r="E1333" s="69">
        <v>8.67</v>
      </c>
      <c r="F1333" s="27">
        <v>304268</v>
      </c>
      <c r="G1333" s="27">
        <v>51653</v>
      </c>
      <c r="H1333" s="27">
        <v>-16501</v>
      </c>
      <c r="I1333" s="27">
        <v>142342</v>
      </c>
      <c r="J1333" s="27">
        <v>227410</v>
      </c>
      <c r="K1333" s="27">
        <v>170183</v>
      </c>
      <c r="L1333" s="69">
        <v>33.630000000000003</v>
      </c>
      <c r="M1333" s="27">
        <v>1412265</v>
      </c>
      <c r="N1333" s="69">
        <v>1.61</v>
      </c>
      <c r="O1333" s="69">
        <v>1.21</v>
      </c>
      <c r="P1333" s="69">
        <v>18.28</v>
      </c>
      <c r="Q1333" s="27">
        <v>36</v>
      </c>
      <c r="R1333" s="69">
        <v>1.1200000000000001</v>
      </c>
      <c r="S1333" s="69">
        <v>63.01</v>
      </c>
      <c r="X1333" s="2">
        <f t="shared" si="60"/>
        <v>0.64</v>
      </c>
      <c r="Y1333" s="2">
        <f>SUMIF(收盤價!A:A,A1333,收盤價!C:C)</f>
        <v>26.95</v>
      </c>
      <c r="Z1333" s="2">
        <f t="shared" si="61"/>
        <v>2581620.4200000004</v>
      </c>
      <c r="AA1333" s="2">
        <f t="shared" si="62"/>
        <v>3806054.1749999998</v>
      </c>
    </row>
    <row r="1334" spans="1:27" ht="14.5" customHeight="1">
      <c r="A1334" s="7" t="s">
        <v>6704</v>
      </c>
      <c r="B1334" s="8" t="s">
        <v>3379</v>
      </c>
      <c r="C1334" s="27">
        <v>1019458</v>
      </c>
      <c r="D1334" s="27">
        <v>1013216</v>
      </c>
      <c r="E1334" s="69">
        <v>0.62</v>
      </c>
      <c r="F1334" s="27">
        <v>118435</v>
      </c>
      <c r="G1334" s="27">
        <v>101533</v>
      </c>
      <c r="H1334" s="27">
        <v>-10676</v>
      </c>
      <c r="I1334" s="27">
        <v>28079</v>
      </c>
      <c r="J1334" s="27">
        <v>86207</v>
      </c>
      <c r="K1334" s="27">
        <v>103023</v>
      </c>
      <c r="L1334" s="69">
        <v>-16.32</v>
      </c>
      <c r="M1334" s="27">
        <v>365892</v>
      </c>
      <c r="N1334" s="69">
        <v>2.36</v>
      </c>
      <c r="O1334" s="69">
        <v>2.82</v>
      </c>
      <c r="P1334" s="69">
        <v>39.130000000000003</v>
      </c>
      <c r="Q1334" s="27">
        <v>76</v>
      </c>
      <c r="R1334" s="69">
        <v>4.18</v>
      </c>
      <c r="S1334" s="69">
        <v>368.94</v>
      </c>
      <c r="X1334" s="2">
        <f t="shared" si="60"/>
        <v>0.24</v>
      </c>
      <c r="Y1334" s="2">
        <f>SUMIF(收盤價!A:A,A1334,收盤價!C:C)</f>
        <v>27.3</v>
      </c>
      <c r="Z1334" s="2">
        <f t="shared" si="61"/>
        <v>1431735.3960000002</v>
      </c>
      <c r="AA1334" s="2">
        <f t="shared" si="62"/>
        <v>998885.15999999992</v>
      </c>
    </row>
    <row r="1335" spans="1:27" ht="14.5" customHeight="1">
      <c r="A1335" s="7" t="s">
        <v>6705</v>
      </c>
      <c r="B1335" s="8" t="s">
        <v>2051</v>
      </c>
      <c r="C1335" s="27">
        <v>419032</v>
      </c>
      <c r="D1335" s="27">
        <v>408343</v>
      </c>
      <c r="E1335" s="69">
        <v>2.62</v>
      </c>
      <c r="F1335" s="27">
        <v>-22062</v>
      </c>
      <c r="G1335" s="27">
        <v>-30613</v>
      </c>
      <c r="H1335" s="27">
        <v>38633</v>
      </c>
      <c r="I1335" s="27">
        <v>34145</v>
      </c>
      <c r="J1335" s="27">
        <v>17844</v>
      </c>
      <c r="K1335" s="27">
        <v>-1250</v>
      </c>
      <c r="L1335" s="28" t="s">
        <v>6378</v>
      </c>
      <c r="M1335" s="27">
        <v>830706</v>
      </c>
      <c r="N1335" s="69">
        <v>0.21</v>
      </c>
      <c r="O1335" s="69">
        <v>-0.02</v>
      </c>
      <c r="P1335" s="69">
        <v>5.87</v>
      </c>
      <c r="Q1335" s="27">
        <v>38</v>
      </c>
      <c r="R1335" s="69">
        <v>0.72</v>
      </c>
      <c r="S1335" s="69">
        <v>55.44</v>
      </c>
      <c r="X1335" s="2">
        <f t="shared" si="60"/>
        <v>0.62</v>
      </c>
      <c r="Y1335" s="2">
        <f>SUMIF(收盤價!A:A,A1335,收盤價!C:C)</f>
        <v>7.82</v>
      </c>
      <c r="Z1335" s="2">
        <f t="shared" si="61"/>
        <v>487624.42199999996</v>
      </c>
      <c r="AA1335" s="2">
        <f t="shared" si="62"/>
        <v>649612.09199999995</v>
      </c>
    </row>
    <row r="1336" spans="1:27" ht="14.5" customHeight="1">
      <c r="A1336" s="7" t="s">
        <v>6706</v>
      </c>
      <c r="B1336" s="8" t="s">
        <v>2089</v>
      </c>
      <c r="C1336" s="27">
        <v>828786</v>
      </c>
      <c r="D1336" s="27">
        <v>766505</v>
      </c>
      <c r="E1336" s="69">
        <v>8.1300000000000008</v>
      </c>
      <c r="F1336" s="27">
        <v>36150</v>
      </c>
      <c r="G1336" s="27">
        <v>13846</v>
      </c>
      <c r="H1336" s="27">
        <v>1428</v>
      </c>
      <c r="I1336" s="27">
        <v>2113</v>
      </c>
      <c r="J1336" s="27">
        <v>25156</v>
      </c>
      <c r="K1336" s="27">
        <v>15414</v>
      </c>
      <c r="L1336" s="69">
        <v>63.2</v>
      </c>
      <c r="M1336" s="27">
        <v>420000</v>
      </c>
      <c r="N1336" s="69">
        <v>0.61</v>
      </c>
      <c r="O1336" s="69">
        <v>0.37</v>
      </c>
      <c r="P1336" s="69">
        <v>13.62</v>
      </c>
      <c r="Q1336" s="27">
        <v>59</v>
      </c>
      <c r="R1336" s="69">
        <v>2.15</v>
      </c>
      <c r="S1336" s="69">
        <v>97.13</v>
      </c>
      <c r="X1336" s="2">
        <f t="shared" si="60"/>
        <v>0.41</v>
      </c>
      <c r="Y1336" s="2">
        <f>SUMIF(收盤價!A:A,A1336,收盤價!C:C)</f>
        <v>13.2</v>
      </c>
      <c r="Z1336" s="2">
        <f t="shared" si="61"/>
        <v>572040</v>
      </c>
      <c r="AA1336" s="2">
        <f t="shared" si="62"/>
        <v>554400</v>
      </c>
    </row>
    <row r="1337" spans="1:27" ht="14.5" customHeight="1">
      <c r="A1337" s="7" t="s">
        <v>6707</v>
      </c>
      <c r="B1337" s="8" t="s">
        <v>2145</v>
      </c>
      <c r="C1337" s="27">
        <v>986232</v>
      </c>
      <c r="D1337" s="27">
        <v>711489</v>
      </c>
      <c r="E1337" s="69">
        <v>38.619999999999997</v>
      </c>
      <c r="F1337" s="27">
        <v>-1146</v>
      </c>
      <c r="G1337" s="27">
        <v>-188449</v>
      </c>
      <c r="H1337" s="27">
        <v>-54047</v>
      </c>
      <c r="I1337" s="27">
        <v>20065</v>
      </c>
      <c r="J1337" s="27">
        <v>-67401</v>
      </c>
      <c r="K1337" s="27">
        <v>-171225</v>
      </c>
      <c r="L1337" s="69">
        <v>60.64</v>
      </c>
      <c r="M1337" s="27">
        <v>1077465</v>
      </c>
      <c r="N1337" s="69">
        <v>-0.63</v>
      </c>
      <c r="O1337" s="69">
        <v>-1.59</v>
      </c>
      <c r="P1337" s="69">
        <v>6.85</v>
      </c>
      <c r="Q1337" s="27">
        <v>58</v>
      </c>
      <c r="R1337" s="69">
        <v>1.65</v>
      </c>
      <c r="S1337" s="69">
        <v>134.25</v>
      </c>
      <c r="X1337" s="2">
        <f t="shared" si="60"/>
        <v>0.42</v>
      </c>
      <c r="Y1337" s="2">
        <f>SUMIF(收盤價!A:A,A1337,收盤價!C:C)</f>
        <v>6.09</v>
      </c>
      <c r="Z1337" s="2">
        <f t="shared" si="61"/>
        <v>738063.52500000002</v>
      </c>
      <c r="AA1337" s="2">
        <f t="shared" si="62"/>
        <v>656176.18499999994</v>
      </c>
    </row>
    <row r="1338" spans="1:27" ht="14.5" customHeight="1">
      <c r="A1338" s="7" t="s">
        <v>6708</v>
      </c>
      <c r="B1338" s="8" t="s">
        <v>2185</v>
      </c>
      <c r="C1338" s="27">
        <v>207346</v>
      </c>
      <c r="D1338" s="27">
        <v>246882</v>
      </c>
      <c r="E1338" s="69">
        <v>-16.010000000000002</v>
      </c>
      <c r="F1338" s="27">
        <v>-60378</v>
      </c>
      <c r="G1338" s="27">
        <v>-56555</v>
      </c>
      <c r="H1338" s="27">
        <v>26723</v>
      </c>
      <c r="I1338" s="27">
        <v>28374</v>
      </c>
      <c r="J1338" s="27">
        <v>-30498</v>
      </c>
      <c r="K1338" s="27">
        <v>-22009</v>
      </c>
      <c r="L1338" s="69">
        <v>-38.57</v>
      </c>
      <c r="M1338" s="27">
        <v>368394</v>
      </c>
      <c r="N1338" s="69">
        <v>-0.85</v>
      </c>
      <c r="O1338" s="69">
        <v>-0.61</v>
      </c>
      <c r="P1338" s="69">
        <v>18.68</v>
      </c>
      <c r="Q1338" s="27">
        <v>78</v>
      </c>
      <c r="R1338" s="69">
        <v>1.86</v>
      </c>
      <c r="S1338" s="69">
        <v>158.34</v>
      </c>
      <c r="X1338" s="2">
        <f t="shared" si="60"/>
        <v>0.22</v>
      </c>
      <c r="Y1338" s="2">
        <f>SUMIF(收盤價!A:A,A1338,收盤價!C:C)</f>
        <v>12.45</v>
      </c>
      <c r="Z1338" s="2">
        <f t="shared" si="61"/>
        <v>688159.99199999997</v>
      </c>
      <c r="AA1338" s="2">
        <f t="shared" si="62"/>
        <v>458650.52999999997</v>
      </c>
    </row>
    <row r="1339" spans="1:27" ht="14.5" customHeight="1">
      <c r="A1339" s="7" t="s">
        <v>6709</v>
      </c>
      <c r="B1339" s="8" t="s">
        <v>2207</v>
      </c>
      <c r="C1339" s="27">
        <v>555102</v>
      </c>
      <c r="D1339" s="27">
        <v>692317</v>
      </c>
      <c r="E1339" s="69">
        <v>-19.82</v>
      </c>
      <c r="F1339" s="27">
        <v>-120341</v>
      </c>
      <c r="G1339" s="27">
        <v>-43532</v>
      </c>
      <c r="H1339" s="27">
        <v>690</v>
      </c>
      <c r="I1339" s="27">
        <v>21592</v>
      </c>
      <c r="J1339" s="27">
        <v>-119617</v>
      </c>
      <c r="K1339" s="27">
        <v>-21870</v>
      </c>
      <c r="L1339" s="69">
        <v>-446.95</v>
      </c>
      <c r="M1339" s="27">
        <v>961814</v>
      </c>
      <c r="N1339" s="69">
        <v>-1.24</v>
      </c>
      <c r="O1339" s="69">
        <v>-0.23</v>
      </c>
      <c r="P1339" s="69">
        <v>4.4800000000000004</v>
      </c>
      <c r="Q1339" s="27">
        <v>38</v>
      </c>
      <c r="R1339" s="69">
        <v>0.61</v>
      </c>
      <c r="S1339" s="69">
        <v>46.97</v>
      </c>
      <c r="X1339" s="2">
        <f t="shared" si="60"/>
        <v>0.62</v>
      </c>
      <c r="Y1339" s="2">
        <f>SUMIF(收盤價!A:A,A1339,收盤價!C:C)</f>
        <v>4.9400000000000004</v>
      </c>
      <c r="Z1339" s="2">
        <f t="shared" si="61"/>
        <v>430892.67200000008</v>
      </c>
      <c r="AA1339" s="2">
        <f t="shared" si="62"/>
        <v>475136.11600000004</v>
      </c>
    </row>
    <row r="1340" spans="1:27" ht="14.5" customHeight="1">
      <c r="A1340" s="7" t="s">
        <v>6710</v>
      </c>
      <c r="B1340" s="8" t="s">
        <v>2213</v>
      </c>
      <c r="C1340" s="27">
        <v>2238848</v>
      </c>
      <c r="D1340" s="27">
        <v>2125538</v>
      </c>
      <c r="E1340" s="69">
        <v>5.33</v>
      </c>
      <c r="F1340" s="27">
        <v>33984</v>
      </c>
      <c r="G1340" s="27">
        <v>275678</v>
      </c>
      <c r="H1340" s="27">
        <v>-27122</v>
      </c>
      <c r="I1340" s="27">
        <v>42786</v>
      </c>
      <c r="J1340" s="27">
        <v>-16572</v>
      </c>
      <c r="K1340" s="27">
        <v>234652</v>
      </c>
      <c r="L1340" s="69">
        <v>-107.06</v>
      </c>
      <c r="M1340" s="27">
        <v>1115459</v>
      </c>
      <c r="N1340" s="69">
        <v>-0.15</v>
      </c>
      <c r="O1340" s="69">
        <v>2.31</v>
      </c>
      <c r="P1340" s="69">
        <v>22.02</v>
      </c>
      <c r="Q1340" s="27">
        <v>68</v>
      </c>
      <c r="R1340" s="69">
        <v>2.2200000000000002</v>
      </c>
      <c r="S1340" s="69">
        <v>146.80000000000001</v>
      </c>
      <c r="X1340" s="2">
        <f t="shared" si="60"/>
        <v>0.32</v>
      </c>
      <c r="Y1340" s="2">
        <f>SUMIF(收盤價!A:A,A1340,收盤價!C:C)</f>
        <v>48.5</v>
      </c>
      <c r="Z1340" s="2">
        <f t="shared" si="61"/>
        <v>2456240.7179999999</v>
      </c>
      <c r="AA1340" s="2">
        <f t="shared" si="62"/>
        <v>5409976.1500000004</v>
      </c>
    </row>
    <row r="1341" spans="1:27" ht="14.5" customHeight="1">
      <c r="A1341" s="7" t="s">
        <v>6711</v>
      </c>
      <c r="B1341" s="8" t="s">
        <v>2233</v>
      </c>
      <c r="C1341" s="27">
        <v>693538</v>
      </c>
      <c r="D1341" s="27">
        <v>733682</v>
      </c>
      <c r="E1341" s="69">
        <v>-5.47</v>
      </c>
      <c r="F1341" s="27">
        <v>28396</v>
      </c>
      <c r="G1341" s="27">
        <v>988</v>
      </c>
      <c r="H1341" s="27">
        <v>-4821</v>
      </c>
      <c r="I1341" s="27">
        <v>4576</v>
      </c>
      <c r="J1341" s="27">
        <v>18942</v>
      </c>
      <c r="K1341" s="27">
        <v>7426</v>
      </c>
      <c r="L1341" s="69">
        <v>155.08000000000001</v>
      </c>
      <c r="M1341" s="27">
        <v>227000</v>
      </c>
      <c r="N1341" s="69">
        <v>0.83</v>
      </c>
      <c r="O1341" s="69">
        <v>0.33</v>
      </c>
      <c r="P1341" s="69">
        <v>11.31</v>
      </c>
      <c r="Q1341" s="27">
        <v>50</v>
      </c>
      <c r="R1341" s="69">
        <v>1.78</v>
      </c>
      <c r="S1341" s="69">
        <v>104.58</v>
      </c>
      <c r="X1341" s="2">
        <f t="shared" si="60"/>
        <v>0.5</v>
      </c>
      <c r="Y1341" s="2">
        <f>SUMIF(收盤價!A:A,A1341,收盤價!C:C)</f>
        <v>13.55</v>
      </c>
      <c r="Z1341" s="2">
        <f t="shared" si="61"/>
        <v>256737</v>
      </c>
      <c r="AA1341" s="2">
        <f t="shared" si="62"/>
        <v>307585</v>
      </c>
    </row>
    <row r="1342" spans="1:27" ht="14.5" customHeight="1">
      <c r="A1342" s="7" t="s">
        <v>6712</v>
      </c>
      <c r="B1342" s="8" t="s">
        <v>2237</v>
      </c>
      <c r="C1342" s="27">
        <v>356332</v>
      </c>
      <c r="D1342" s="27">
        <v>472584</v>
      </c>
      <c r="E1342" s="69">
        <v>-24.6</v>
      </c>
      <c r="F1342" s="27">
        <v>5309</v>
      </c>
      <c r="G1342" s="27">
        <v>7027</v>
      </c>
      <c r="H1342" s="27">
        <v>-9740</v>
      </c>
      <c r="I1342" s="27">
        <v>2604</v>
      </c>
      <c r="J1342" s="27">
        <v>26723</v>
      </c>
      <c r="K1342" s="27">
        <v>-23662</v>
      </c>
      <c r="L1342" s="69">
        <v>212.94</v>
      </c>
      <c r="M1342" s="27">
        <v>400399</v>
      </c>
      <c r="N1342" s="69">
        <v>0.67</v>
      </c>
      <c r="O1342" s="69">
        <v>-0.59</v>
      </c>
      <c r="P1342" s="69">
        <v>19.57</v>
      </c>
      <c r="Q1342" s="27">
        <v>79</v>
      </c>
      <c r="R1342" s="69">
        <v>4.83</v>
      </c>
      <c r="S1342" s="69">
        <v>402.07</v>
      </c>
      <c r="X1342" s="2">
        <f t="shared" si="60"/>
        <v>0.21</v>
      </c>
      <c r="Y1342" s="2">
        <f>SUMIF(收盤價!A:A,A1342,收盤價!C:C)</f>
        <v>31.85</v>
      </c>
      <c r="Z1342" s="2">
        <f t="shared" si="61"/>
        <v>783580.84299999999</v>
      </c>
      <c r="AA1342" s="2">
        <f t="shared" si="62"/>
        <v>1275270.8149999999</v>
      </c>
    </row>
    <row r="1343" spans="1:27" ht="14.5" customHeight="1">
      <c r="A1343" s="7" t="s">
        <v>6713</v>
      </c>
      <c r="B1343" s="8" t="s">
        <v>2241</v>
      </c>
      <c r="C1343" s="27">
        <v>2416260</v>
      </c>
      <c r="D1343" s="27">
        <v>3115762</v>
      </c>
      <c r="E1343" s="69">
        <v>-22.45</v>
      </c>
      <c r="F1343" s="27">
        <v>235324</v>
      </c>
      <c r="G1343" s="27">
        <v>345976</v>
      </c>
      <c r="H1343" s="27">
        <v>190173</v>
      </c>
      <c r="I1343" s="27">
        <v>14422</v>
      </c>
      <c r="J1343" s="27">
        <v>364465</v>
      </c>
      <c r="K1343" s="27">
        <v>291330</v>
      </c>
      <c r="L1343" s="69">
        <v>25.1</v>
      </c>
      <c r="M1343" s="27">
        <v>614687</v>
      </c>
      <c r="N1343" s="69">
        <v>6.09</v>
      </c>
      <c r="O1343" s="69">
        <v>4.7699999999999996</v>
      </c>
      <c r="P1343" s="69">
        <v>35.619999999999997</v>
      </c>
      <c r="Q1343" s="27">
        <v>54</v>
      </c>
      <c r="R1343" s="69">
        <v>1.85</v>
      </c>
      <c r="S1343" s="69">
        <v>130.35</v>
      </c>
      <c r="X1343" s="2">
        <f t="shared" si="60"/>
        <v>0.46</v>
      </c>
      <c r="Y1343" s="2">
        <f>SUMIF(收盤價!A:A,A1343,收盤價!C:C)</f>
        <v>62.1</v>
      </c>
      <c r="Z1343" s="2">
        <f t="shared" si="61"/>
        <v>2189515.0939999996</v>
      </c>
      <c r="AA1343" s="2">
        <f t="shared" si="62"/>
        <v>3817206.2700000005</v>
      </c>
    </row>
    <row r="1344" spans="1:27" ht="14.5" customHeight="1">
      <c r="A1344" s="7" t="s">
        <v>6714</v>
      </c>
      <c r="B1344" s="8" t="s">
        <v>2255</v>
      </c>
      <c r="C1344" s="27">
        <v>330100</v>
      </c>
      <c r="D1344" s="27">
        <v>473087</v>
      </c>
      <c r="E1344" s="69">
        <v>-30.22</v>
      </c>
      <c r="F1344" s="27">
        <v>-18289</v>
      </c>
      <c r="G1344" s="27">
        <v>-27944</v>
      </c>
      <c r="H1344" s="27">
        <v>-3819</v>
      </c>
      <c r="I1344" s="27">
        <v>-15741</v>
      </c>
      <c r="J1344" s="27">
        <v>-25479</v>
      </c>
      <c r="K1344" s="27">
        <v>-44339</v>
      </c>
      <c r="L1344" s="69">
        <v>42.54</v>
      </c>
      <c r="M1344" s="27">
        <v>570065</v>
      </c>
      <c r="N1344" s="69">
        <v>-0.42</v>
      </c>
      <c r="O1344" s="69">
        <v>-0.7</v>
      </c>
      <c r="P1344" s="69">
        <v>20.6</v>
      </c>
      <c r="Q1344" s="27">
        <v>77</v>
      </c>
      <c r="R1344" s="69">
        <v>2.52</v>
      </c>
      <c r="S1344" s="69">
        <v>188.66</v>
      </c>
      <c r="X1344" s="2">
        <f t="shared" si="60"/>
        <v>0.23</v>
      </c>
      <c r="Y1344" s="2">
        <f>SUMIF(收盤價!A:A,A1344,收盤價!C:C)</f>
        <v>22.7</v>
      </c>
      <c r="Z1344" s="2">
        <f t="shared" si="61"/>
        <v>1174333.8999999999</v>
      </c>
      <c r="AA1344" s="2">
        <f t="shared" si="62"/>
        <v>1294047.55</v>
      </c>
    </row>
    <row r="1345" spans="1:27" ht="14.5" customHeight="1">
      <c r="A1345" s="7" t="s">
        <v>6715</v>
      </c>
      <c r="B1345" s="8" t="s">
        <v>2271</v>
      </c>
      <c r="C1345" s="27">
        <v>644835</v>
      </c>
      <c r="D1345" s="27">
        <v>668610</v>
      </c>
      <c r="E1345" s="69">
        <v>-3.56</v>
      </c>
      <c r="F1345" s="27">
        <v>-48346</v>
      </c>
      <c r="G1345" s="27">
        <v>-98222</v>
      </c>
      <c r="H1345" s="27">
        <v>54846</v>
      </c>
      <c r="I1345" s="27">
        <v>43540</v>
      </c>
      <c r="J1345" s="27">
        <v>2247</v>
      </c>
      <c r="K1345" s="27">
        <v>-54665</v>
      </c>
      <c r="L1345" s="69">
        <v>104.11</v>
      </c>
      <c r="M1345" s="27">
        <v>505902</v>
      </c>
      <c r="N1345" s="69">
        <v>0.04</v>
      </c>
      <c r="O1345" s="69">
        <v>-1.05</v>
      </c>
      <c r="P1345" s="69">
        <v>23.95</v>
      </c>
      <c r="Q1345" s="27">
        <v>76</v>
      </c>
      <c r="R1345" s="69">
        <v>2.65</v>
      </c>
      <c r="S1345" s="69">
        <v>211.95</v>
      </c>
      <c r="X1345" s="2">
        <f t="shared" si="60"/>
        <v>0.24</v>
      </c>
      <c r="Y1345" s="2">
        <f>SUMIF(收盤價!A:A,A1345,收盤價!C:C)</f>
        <v>12.1</v>
      </c>
      <c r="Z1345" s="2">
        <f t="shared" si="61"/>
        <v>1211635.29</v>
      </c>
      <c r="AA1345" s="2">
        <f t="shared" si="62"/>
        <v>612141.42000000004</v>
      </c>
    </row>
    <row r="1346" spans="1:27" ht="14.5" customHeight="1">
      <c r="A1346" s="7" t="s">
        <v>6716</v>
      </c>
      <c r="B1346" s="8" t="s">
        <v>2279</v>
      </c>
      <c r="C1346" s="27">
        <v>96068</v>
      </c>
      <c r="D1346" s="27">
        <v>46308</v>
      </c>
      <c r="E1346" s="69">
        <v>107.45</v>
      </c>
      <c r="F1346" s="27">
        <v>-115067</v>
      </c>
      <c r="G1346" s="27">
        <v>-179732</v>
      </c>
      <c r="H1346" s="27">
        <v>-8036</v>
      </c>
      <c r="I1346" s="27">
        <v>-4306</v>
      </c>
      <c r="J1346" s="27">
        <v>-121747</v>
      </c>
      <c r="K1346" s="27">
        <v>-184038</v>
      </c>
      <c r="L1346" s="69">
        <v>33.85</v>
      </c>
      <c r="M1346" s="27">
        <v>820498</v>
      </c>
      <c r="N1346" s="69">
        <v>-1.72</v>
      </c>
      <c r="O1346" s="69">
        <v>-3.47</v>
      </c>
      <c r="P1346" s="69">
        <v>5.19</v>
      </c>
      <c r="Q1346" s="27">
        <v>42</v>
      </c>
      <c r="R1346" s="69">
        <v>0.44</v>
      </c>
      <c r="S1346" s="69">
        <v>27.09</v>
      </c>
      <c r="X1346" s="2">
        <f t="shared" si="60"/>
        <v>0.57999999999999996</v>
      </c>
      <c r="Y1346" s="2">
        <f>SUMIF(收盤價!A:A,A1346,收盤價!C:C)</f>
        <v>11.5</v>
      </c>
      <c r="Z1346" s="2">
        <f t="shared" si="61"/>
        <v>425838.462</v>
      </c>
      <c r="AA1346" s="2">
        <f t="shared" si="62"/>
        <v>943572.7</v>
      </c>
    </row>
    <row r="1347" spans="1:27" ht="14.5" customHeight="1">
      <c r="A1347" s="7" t="s">
        <v>6717</v>
      </c>
      <c r="B1347" s="8" t="s">
        <v>2287</v>
      </c>
      <c r="C1347" s="27">
        <v>1902410</v>
      </c>
      <c r="D1347" s="27">
        <v>1843377</v>
      </c>
      <c r="E1347" s="69">
        <v>3.2</v>
      </c>
      <c r="F1347" s="27">
        <v>114045</v>
      </c>
      <c r="G1347" s="27">
        <v>76132</v>
      </c>
      <c r="H1347" s="27">
        <v>50178</v>
      </c>
      <c r="I1347" s="27">
        <v>33546</v>
      </c>
      <c r="J1347" s="27">
        <v>139869</v>
      </c>
      <c r="K1347" s="27">
        <v>84537</v>
      </c>
      <c r="L1347" s="69">
        <v>65.45</v>
      </c>
      <c r="M1347" s="27">
        <v>611750</v>
      </c>
      <c r="N1347" s="69">
        <v>2.29</v>
      </c>
      <c r="O1347" s="69">
        <v>1.38</v>
      </c>
      <c r="P1347" s="69">
        <v>29.44</v>
      </c>
      <c r="Q1347" s="27">
        <v>70</v>
      </c>
      <c r="R1347" s="69">
        <v>3.68</v>
      </c>
      <c r="S1347" s="69">
        <v>310.48</v>
      </c>
      <c r="X1347" s="2">
        <f t="shared" si="60"/>
        <v>0.3</v>
      </c>
      <c r="Y1347" s="2">
        <f>SUMIF(收盤價!A:A,A1347,收盤價!C:C)</f>
        <v>23.45</v>
      </c>
      <c r="Z1347" s="2">
        <f t="shared" si="61"/>
        <v>1800992</v>
      </c>
      <c r="AA1347" s="2">
        <f t="shared" si="62"/>
        <v>1434553.75</v>
      </c>
    </row>
    <row r="1348" spans="1:27" ht="14.5" customHeight="1">
      <c r="A1348" s="7" t="s">
        <v>6718</v>
      </c>
      <c r="B1348" s="8" t="s">
        <v>2331</v>
      </c>
      <c r="C1348" s="27">
        <v>500566</v>
      </c>
      <c r="D1348" s="27">
        <v>722072</v>
      </c>
      <c r="E1348" s="69">
        <v>-30.68</v>
      </c>
      <c r="F1348" s="27">
        <v>-148623</v>
      </c>
      <c r="G1348" s="27">
        <v>-58778</v>
      </c>
      <c r="H1348" s="27">
        <v>-308914</v>
      </c>
      <c r="I1348" s="27">
        <v>83904</v>
      </c>
      <c r="J1348" s="27">
        <v>-459139</v>
      </c>
      <c r="K1348" s="27">
        <v>27066</v>
      </c>
      <c r="L1348" s="28" t="s">
        <v>6413</v>
      </c>
      <c r="M1348" s="27">
        <v>684670</v>
      </c>
      <c r="N1348" s="69">
        <v>-6.71</v>
      </c>
      <c r="O1348" s="69">
        <v>0.4</v>
      </c>
      <c r="P1348" s="69">
        <v>31.45</v>
      </c>
      <c r="Q1348" s="27">
        <v>75</v>
      </c>
      <c r="R1348" s="69">
        <v>4.62</v>
      </c>
      <c r="S1348" s="69">
        <v>415.13</v>
      </c>
      <c r="X1348" s="2">
        <f t="shared" si="60"/>
        <v>0.25</v>
      </c>
      <c r="Y1348" s="2">
        <f>SUMIF(收盤價!A:A,A1348,收盤價!C:C)</f>
        <v>15.75</v>
      </c>
      <c r="Z1348" s="2">
        <f t="shared" si="61"/>
        <v>2153287.15</v>
      </c>
      <c r="AA1348" s="2">
        <f t="shared" si="62"/>
        <v>1078355.25</v>
      </c>
    </row>
    <row r="1349" spans="1:27" ht="14.5" customHeight="1">
      <c r="A1349" s="7" t="s">
        <v>6719</v>
      </c>
      <c r="B1349" s="8" t="s">
        <v>2333</v>
      </c>
      <c r="C1349" s="27">
        <v>439169</v>
      </c>
      <c r="D1349" s="27">
        <v>791078</v>
      </c>
      <c r="E1349" s="69">
        <v>-44.48</v>
      </c>
      <c r="F1349" s="27">
        <v>-13411</v>
      </c>
      <c r="G1349" s="27">
        <v>75785</v>
      </c>
      <c r="H1349" s="27">
        <v>5199</v>
      </c>
      <c r="I1349" s="27">
        <v>14714</v>
      </c>
      <c r="J1349" s="27">
        <v>-6825</v>
      </c>
      <c r="K1349" s="27">
        <v>74005</v>
      </c>
      <c r="L1349" s="69">
        <v>-109.22</v>
      </c>
      <c r="M1349" s="27">
        <v>292636</v>
      </c>
      <c r="N1349" s="69">
        <v>-0.23</v>
      </c>
      <c r="O1349" s="69">
        <v>2.56</v>
      </c>
      <c r="P1349" s="69">
        <v>16.63</v>
      </c>
      <c r="Q1349" s="27">
        <v>68</v>
      </c>
      <c r="R1349" s="69">
        <v>4.3899999999999997</v>
      </c>
      <c r="S1349" s="69">
        <v>404.9</v>
      </c>
      <c r="X1349" s="2">
        <f t="shared" ref="X1349:X1412" si="63">IF(W1349&lt;&gt;"",ROUND(W1349/U1349,2),(100-Q1349)/100)</f>
        <v>0.32</v>
      </c>
      <c r="Y1349" s="2">
        <f>SUMIF(收盤價!A:A,A1349,收盤價!C:C)</f>
        <v>21.5</v>
      </c>
      <c r="Z1349" s="2">
        <f t="shared" ref="Z1349:Z1412" si="64">IF(W1349&lt;&gt;"",U1349-W1349,M1349*P1349/10)</f>
        <v>486653.66799999995</v>
      </c>
      <c r="AA1349" s="2">
        <f t="shared" ref="AA1349:AA1412" si="65">Y1349*M1349/10</f>
        <v>629167.4</v>
      </c>
    </row>
    <row r="1350" spans="1:27" ht="14.5" customHeight="1">
      <c r="A1350" s="7" t="s">
        <v>6720</v>
      </c>
      <c r="B1350" s="8" t="s">
        <v>2341</v>
      </c>
      <c r="C1350" s="27">
        <v>474050</v>
      </c>
      <c r="D1350" s="27">
        <v>39574</v>
      </c>
      <c r="E1350" s="28" t="s">
        <v>6378</v>
      </c>
      <c r="F1350" s="27">
        <v>34361</v>
      </c>
      <c r="G1350" s="27">
        <v>-22682</v>
      </c>
      <c r="H1350" s="27">
        <v>1589</v>
      </c>
      <c r="I1350" s="27">
        <v>3158</v>
      </c>
      <c r="J1350" s="27">
        <v>28523</v>
      </c>
      <c r="K1350" s="27">
        <v>-22054</v>
      </c>
      <c r="L1350" s="69">
        <v>229.33</v>
      </c>
      <c r="M1350" s="27">
        <v>322024</v>
      </c>
      <c r="N1350" s="69">
        <v>1.39</v>
      </c>
      <c r="O1350" s="69">
        <v>-1.41</v>
      </c>
      <c r="P1350" s="69">
        <v>13.51</v>
      </c>
      <c r="Q1350" s="27">
        <v>61</v>
      </c>
      <c r="R1350" s="69">
        <v>1.45</v>
      </c>
      <c r="S1350" s="69">
        <v>145.47999999999999</v>
      </c>
      <c r="X1350" s="2">
        <f t="shared" si="63"/>
        <v>0.39</v>
      </c>
      <c r="Y1350" s="2">
        <f>SUMIF(收盤價!A:A,A1350,收盤價!C:C)</f>
        <v>63</v>
      </c>
      <c r="Z1350" s="2">
        <f t="shared" si="64"/>
        <v>435054.424</v>
      </c>
      <c r="AA1350" s="2">
        <f t="shared" si="65"/>
        <v>2028751.2</v>
      </c>
    </row>
    <row r="1351" spans="1:27" ht="14.5" customHeight="1">
      <c r="A1351" s="7" t="s">
        <v>6721</v>
      </c>
      <c r="B1351" s="8" t="s">
        <v>2343</v>
      </c>
      <c r="C1351" s="27">
        <v>3472336</v>
      </c>
      <c r="D1351" s="27">
        <v>1648824</v>
      </c>
      <c r="E1351" s="69">
        <v>110.59</v>
      </c>
      <c r="F1351" s="27">
        <v>503742</v>
      </c>
      <c r="G1351" s="27">
        <v>-432135</v>
      </c>
      <c r="H1351" s="27">
        <v>88977</v>
      </c>
      <c r="I1351" s="27">
        <v>121458</v>
      </c>
      <c r="J1351" s="27">
        <v>506592</v>
      </c>
      <c r="K1351" s="27">
        <v>-310677</v>
      </c>
      <c r="L1351" s="69">
        <v>263.06</v>
      </c>
      <c r="M1351" s="27">
        <v>1850494</v>
      </c>
      <c r="N1351" s="69">
        <v>3.02</v>
      </c>
      <c r="O1351" s="69">
        <v>-1.96</v>
      </c>
      <c r="P1351" s="69">
        <v>24.73</v>
      </c>
      <c r="Q1351" s="27">
        <v>66</v>
      </c>
      <c r="R1351" s="69">
        <v>2.56</v>
      </c>
      <c r="S1351" s="69">
        <v>243.62</v>
      </c>
      <c r="X1351" s="2">
        <f t="shared" si="63"/>
        <v>0.34</v>
      </c>
      <c r="Y1351" s="2">
        <f>SUMIF(收盤價!A:A,A1351,收盤價!C:C)</f>
        <v>92</v>
      </c>
      <c r="Z1351" s="2">
        <f t="shared" si="64"/>
        <v>4576271.6619999995</v>
      </c>
      <c r="AA1351" s="2">
        <f t="shared" si="65"/>
        <v>17024544.800000001</v>
      </c>
    </row>
    <row r="1352" spans="1:27" ht="14.5" customHeight="1">
      <c r="A1352" s="7" t="s">
        <v>6722</v>
      </c>
      <c r="B1352" s="8" t="s">
        <v>2359</v>
      </c>
      <c r="C1352" s="27">
        <v>1367166</v>
      </c>
      <c r="D1352" s="27">
        <v>1304486</v>
      </c>
      <c r="E1352" s="69">
        <v>4.8</v>
      </c>
      <c r="F1352" s="27">
        <v>-5428</v>
      </c>
      <c r="G1352" s="27">
        <v>-87243</v>
      </c>
      <c r="H1352" s="27">
        <v>-12588</v>
      </c>
      <c r="I1352" s="27">
        <v>2756</v>
      </c>
      <c r="J1352" s="27">
        <v>-19279</v>
      </c>
      <c r="K1352" s="27">
        <v>-88678</v>
      </c>
      <c r="L1352" s="69">
        <v>78.260000000000005</v>
      </c>
      <c r="M1352" s="27">
        <v>482996</v>
      </c>
      <c r="N1352" s="69">
        <v>-0.4</v>
      </c>
      <c r="O1352" s="69">
        <v>-1.84</v>
      </c>
      <c r="P1352" s="69">
        <v>15.28</v>
      </c>
      <c r="Q1352" s="27">
        <v>58</v>
      </c>
      <c r="R1352" s="69">
        <v>1.93</v>
      </c>
      <c r="S1352" s="69">
        <v>160.53</v>
      </c>
      <c r="X1352" s="2">
        <f t="shared" si="63"/>
        <v>0.42</v>
      </c>
      <c r="Y1352" s="2">
        <f>SUMIF(收盤價!A:A,A1352,收盤價!C:C)</f>
        <v>18.5</v>
      </c>
      <c r="Z1352" s="2">
        <f t="shared" si="64"/>
        <v>738017.88800000004</v>
      </c>
      <c r="AA1352" s="2">
        <f t="shared" si="65"/>
        <v>893542.6</v>
      </c>
    </row>
    <row r="1353" spans="1:27" ht="14.5" customHeight="1">
      <c r="A1353" s="7" t="s">
        <v>6723</v>
      </c>
      <c r="B1353" s="8" t="s">
        <v>2369</v>
      </c>
      <c r="C1353" s="27">
        <v>923482</v>
      </c>
      <c r="D1353" s="27">
        <v>1179898</v>
      </c>
      <c r="E1353" s="69">
        <v>-21.73</v>
      </c>
      <c r="F1353" s="27">
        <v>28434</v>
      </c>
      <c r="G1353" s="27">
        <v>104380</v>
      </c>
      <c r="H1353" s="27">
        <v>18979</v>
      </c>
      <c r="I1353" s="27">
        <v>35155</v>
      </c>
      <c r="J1353" s="27">
        <v>19959</v>
      </c>
      <c r="K1353" s="27">
        <v>102065</v>
      </c>
      <c r="L1353" s="69">
        <v>-80.44</v>
      </c>
      <c r="M1353" s="27">
        <v>799900</v>
      </c>
      <c r="N1353" s="69">
        <v>0.25</v>
      </c>
      <c r="O1353" s="69">
        <v>1.36</v>
      </c>
      <c r="P1353" s="69">
        <v>12.03</v>
      </c>
      <c r="Q1353" s="27">
        <v>51</v>
      </c>
      <c r="R1353" s="69">
        <v>2.5299999999999998</v>
      </c>
      <c r="S1353" s="69">
        <v>213.26</v>
      </c>
      <c r="X1353" s="2">
        <f t="shared" si="63"/>
        <v>0.49</v>
      </c>
      <c r="Y1353" s="2">
        <f>SUMIF(收盤價!A:A,A1353,收盤價!C:C)</f>
        <v>25.3</v>
      </c>
      <c r="Z1353" s="2">
        <f t="shared" si="64"/>
        <v>962279.7</v>
      </c>
      <c r="AA1353" s="2">
        <f t="shared" si="65"/>
        <v>2023747</v>
      </c>
    </row>
    <row r="1354" spans="1:27" ht="14.5" customHeight="1">
      <c r="A1354" s="7" t="s">
        <v>6724</v>
      </c>
      <c r="B1354" s="8" t="s">
        <v>2375</v>
      </c>
      <c r="C1354" s="27">
        <v>7875926</v>
      </c>
      <c r="D1354" s="27">
        <v>8292191</v>
      </c>
      <c r="E1354" s="69">
        <v>-5.0199999999999996</v>
      </c>
      <c r="F1354" s="27">
        <v>176234</v>
      </c>
      <c r="G1354" s="27">
        <v>11745</v>
      </c>
      <c r="H1354" s="27">
        <v>-135434</v>
      </c>
      <c r="I1354" s="27">
        <v>-1243527</v>
      </c>
      <c r="J1354" s="27">
        <v>188928</v>
      </c>
      <c r="K1354" s="27">
        <v>-953742</v>
      </c>
      <c r="L1354" s="69">
        <v>119.81</v>
      </c>
      <c r="M1354" s="27">
        <v>636750</v>
      </c>
      <c r="N1354" s="69">
        <v>3.07</v>
      </c>
      <c r="O1354" s="69">
        <v>-15.83</v>
      </c>
      <c r="P1354" s="69">
        <v>75.22</v>
      </c>
      <c r="Q1354" s="27">
        <v>38</v>
      </c>
      <c r="R1354" s="69">
        <v>2.27</v>
      </c>
      <c r="S1354" s="69">
        <v>161.19</v>
      </c>
      <c r="X1354" s="2">
        <f t="shared" si="63"/>
        <v>0.62</v>
      </c>
      <c r="Y1354" s="2">
        <f>SUMIF(收盤價!A:A,A1354,收盤價!C:C)</f>
        <v>132.5</v>
      </c>
      <c r="Z1354" s="2">
        <f t="shared" si="64"/>
        <v>4789633.5</v>
      </c>
      <c r="AA1354" s="2">
        <f t="shared" si="65"/>
        <v>8436937.5</v>
      </c>
    </row>
    <row r="1355" spans="1:27" ht="14.5" customHeight="1">
      <c r="A1355" s="7" t="s">
        <v>6725</v>
      </c>
      <c r="B1355" s="8" t="s">
        <v>2385</v>
      </c>
      <c r="C1355" s="27">
        <v>280755</v>
      </c>
      <c r="D1355" s="27">
        <v>382271</v>
      </c>
      <c r="E1355" s="69">
        <v>-26.56</v>
      </c>
      <c r="F1355" s="27">
        <v>-27238</v>
      </c>
      <c r="G1355" s="27">
        <v>-67295</v>
      </c>
      <c r="H1355" s="27">
        <v>14812</v>
      </c>
      <c r="I1355" s="27">
        <v>-5495</v>
      </c>
      <c r="J1355" s="27">
        <v>-59970</v>
      </c>
      <c r="K1355" s="27">
        <v>-73478</v>
      </c>
      <c r="L1355" s="69">
        <v>18.38</v>
      </c>
      <c r="M1355" s="27">
        <v>780900</v>
      </c>
      <c r="N1355" s="69">
        <v>-0.77</v>
      </c>
      <c r="O1355" s="69">
        <v>-1.1599999999999999</v>
      </c>
      <c r="P1355" s="69">
        <v>6.27</v>
      </c>
      <c r="Q1355" s="27">
        <v>85</v>
      </c>
      <c r="R1355" s="69">
        <v>3.12</v>
      </c>
      <c r="S1355" s="69">
        <v>217.16</v>
      </c>
      <c r="X1355" s="2">
        <f t="shared" si="63"/>
        <v>0.15</v>
      </c>
      <c r="Y1355" s="2">
        <f>SUMIF(收盤價!A:A,A1355,收盤價!C:C)</f>
        <v>0</v>
      </c>
      <c r="Z1355" s="2">
        <f t="shared" si="64"/>
        <v>489624.3</v>
      </c>
      <c r="AA1355" s="2">
        <f t="shared" si="65"/>
        <v>0</v>
      </c>
    </row>
    <row r="1356" spans="1:27" ht="14.5" customHeight="1">
      <c r="A1356" s="7" t="s">
        <v>6726</v>
      </c>
      <c r="B1356" s="8" t="s">
        <v>2569</v>
      </c>
      <c r="C1356" s="27">
        <v>1023732</v>
      </c>
      <c r="D1356" s="27">
        <v>1023742</v>
      </c>
      <c r="E1356" s="69">
        <v>0</v>
      </c>
      <c r="F1356" s="27">
        <v>-75540</v>
      </c>
      <c r="G1356" s="27">
        <v>-60758</v>
      </c>
      <c r="H1356" s="27">
        <v>5571</v>
      </c>
      <c r="I1356" s="27">
        <v>39841</v>
      </c>
      <c r="J1356" s="27">
        <v>-94974</v>
      </c>
      <c r="K1356" s="27">
        <v>-42903</v>
      </c>
      <c r="L1356" s="69">
        <v>-121.37</v>
      </c>
      <c r="M1356" s="27">
        <v>1046670</v>
      </c>
      <c r="N1356" s="69">
        <v>-0.91</v>
      </c>
      <c r="O1356" s="69">
        <v>-0.41</v>
      </c>
      <c r="P1356" s="69">
        <v>10.99</v>
      </c>
      <c r="Q1356" s="27">
        <v>30</v>
      </c>
      <c r="R1356" s="69">
        <v>1.74</v>
      </c>
      <c r="S1356" s="69">
        <v>154.15</v>
      </c>
      <c r="X1356" s="2">
        <f t="shared" si="63"/>
        <v>0.7</v>
      </c>
      <c r="Y1356" s="2">
        <f>SUMIF(收盤價!A:A,A1356,收盤價!C:C)</f>
        <v>11.05</v>
      </c>
      <c r="Z1356" s="2">
        <f t="shared" si="64"/>
        <v>1150290.33</v>
      </c>
      <c r="AA1356" s="2">
        <f t="shared" si="65"/>
        <v>1156570.3500000001</v>
      </c>
    </row>
    <row r="1357" spans="1:27" ht="14.5" customHeight="1">
      <c r="A1357" s="7" t="s">
        <v>6727</v>
      </c>
      <c r="B1357" s="8" t="s">
        <v>2613</v>
      </c>
      <c r="C1357" s="27">
        <v>2348828</v>
      </c>
      <c r="D1357" s="27">
        <v>2631679</v>
      </c>
      <c r="E1357" s="69">
        <v>-10.75</v>
      </c>
      <c r="F1357" s="27">
        <v>120319</v>
      </c>
      <c r="G1357" s="27">
        <v>108135</v>
      </c>
      <c r="H1357" s="27">
        <v>-7409</v>
      </c>
      <c r="I1357" s="27">
        <v>43748</v>
      </c>
      <c r="J1357" s="27">
        <v>94371</v>
      </c>
      <c r="K1357" s="27">
        <v>138116</v>
      </c>
      <c r="L1357" s="69">
        <v>-31.67</v>
      </c>
      <c r="M1357" s="27">
        <v>780667</v>
      </c>
      <c r="N1357" s="69">
        <v>1.22</v>
      </c>
      <c r="O1357" s="69">
        <v>1.8</v>
      </c>
      <c r="P1357" s="69">
        <v>38.53</v>
      </c>
      <c r="Q1357" s="27">
        <v>81</v>
      </c>
      <c r="R1357" s="69">
        <v>7.88</v>
      </c>
      <c r="S1357" s="69">
        <v>699.73</v>
      </c>
      <c r="X1357" s="2">
        <f t="shared" si="63"/>
        <v>0.19</v>
      </c>
      <c r="Y1357" s="2">
        <f>SUMIF(收盤價!A:A,A1357,收盤價!C:C)</f>
        <v>26.3</v>
      </c>
      <c r="Z1357" s="2">
        <f t="shared" si="64"/>
        <v>3007909.9510000004</v>
      </c>
      <c r="AA1357" s="2">
        <f t="shared" si="65"/>
        <v>2053154.2100000002</v>
      </c>
    </row>
    <row r="1358" spans="1:27" ht="14.5" customHeight="1">
      <c r="A1358" s="7" t="s">
        <v>6728</v>
      </c>
      <c r="B1358" s="8" t="s">
        <v>2617</v>
      </c>
      <c r="C1358" s="27">
        <v>617436</v>
      </c>
      <c r="D1358" s="27">
        <v>1317193</v>
      </c>
      <c r="E1358" s="69">
        <v>-53.12</v>
      </c>
      <c r="F1358" s="27">
        <v>-381815</v>
      </c>
      <c r="G1358" s="27">
        <v>-514801</v>
      </c>
      <c r="H1358" s="27">
        <v>-369681</v>
      </c>
      <c r="I1358" s="27">
        <v>61008</v>
      </c>
      <c r="J1358" s="27">
        <v>-751496</v>
      </c>
      <c r="K1358" s="27">
        <v>-449780</v>
      </c>
      <c r="L1358" s="69">
        <v>-67.08</v>
      </c>
      <c r="M1358" s="27">
        <v>2072619</v>
      </c>
      <c r="N1358" s="69">
        <v>-3.94</v>
      </c>
      <c r="O1358" s="69">
        <v>-2.75</v>
      </c>
      <c r="P1358" s="69">
        <v>3.44</v>
      </c>
      <c r="Q1358" s="27">
        <v>28</v>
      </c>
      <c r="R1358" s="69">
        <v>1.04</v>
      </c>
      <c r="S1358" s="69">
        <v>91.5</v>
      </c>
      <c r="X1358" s="2">
        <f t="shared" si="63"/>
        <v>0.72</v>
      </c>
      <c r="Y1358" s="2">
        <f>SUMIF(收盤價!A:A,A1358,收盤價!C:C)</f>
        <v>11.85</v>
      </c>
      <c r="Z1358" s="2">
        <f t="shared" si="64"/>
        <v>712980.93599999999</v>
      </c>
      <c r="AA1358" s="2">
        <f t="shared" si="65"/>
        <v>2456053.5149999997</v>
      </c>
    </row>
    <row r="1359" spans="1:27" ht="14.5" customHeight="1">
      <c r="A1359" s="7" t="s">
        <v>6729</v>
      </c>
      <c r="B1359" s="8" t="s">
        <v>2631</v>
      </c>
      <c r="C1359" s="27">
        <v>1086420</v>
      </c>
      <c r="D1359" s="27">
        <v>1053036</v>
      </c>
      <c r="E1359" s="69">
        <v>3.17</v>
      </c>
      <c r="F1359" s="27">
        <v>164829</v>
      </c>
      <c r="G1359" s="27">
        <v>93515</v>
      </c>
      <c r="H1359" s="27">
        <v>-14008</v>
      </c>
      <c r="I1359" s="27">
        <v>43507</v>
      </c>
      <c r="J1359" s="27">
        <v>105688</v>
      </c>
      <c r="K1359" s="27">
        <v>105557</v>
      </c>
      <c r="L1359" s="69">
        <v>0.12</v>
      </c>
      <c r="M1359" s="27">
        <v>401556</v>
      </c>
      <c r="N1359" s="69">
        <v>2.69</v>
      </c>
      <c r="O1359" s="69">
        <v>2.65</v>
      </c>
      <c r="P1359" s="69">
        <v>29.17</v>
      </c>
      <c r="Q1359" s="27">
        <v>82</v>
      </c>
      <c r="R1359" s="69">
        <v>4</v>
      </c>
      <c r="S1359" s="69">
        <v>313.69</v>
      </c>
      <c r="X1359" s="2">
        <f t="shared" si="63"/>
        <v>0.18</v>
      </c>
      <c r="Y1359" s="2">
        <f>SUMIF(收盤價!A:A,A1359,收盤價!C:C)</f>
        <v>32.1</v>
      </c>
      <c r="Z1359" s="2">
        <f t="shared" si="64"/>
        <v>1171338.8520000002</v>
      </c>
      <c r="AA1359" s="2">
        <f t="shared" si="65"/>
        <v>1288994.7600000002</v>
      </c>
    </row>
    <row r="1360" spans="1:27" ht="14.5" customHeight="1">
      <c r="A1360" s="7" t="s">
        <v>6730</v>
      </c>
      <c r="B1360" s="8" t="s">
        <v>2643</v>
      </c>
      <c r="C1360" s="27">
        <v>1317674</v>
      </c>
      <c r="D1360" s="27">
        <v>1032208</v>
      </c>
      <c r="E1360" s="69">
        <v>27.66</v>
      </c>
      <c r="F1360" s="27">
        <v>219115</v>
      </c>
      <c r="G1360" s="27">
        <v>117588</v>
      </c>
      <c r="H1360" s="27">
        <v>1946</v>
      </c>
      <c r="I1360" s="27">
        <v>7286</v>
      </c>
      <c r="J1360" s="27">
        <v>171949</v>
      </c>
      <c r="K1360" s="27">
        <v>100844</v>
      </c>
      <c r="L1360" s="69">
        <v>70.510000000000005</v>
      </c>
      <c r="M1360" s="27">
        <v>416730</v>
      </c>
      <c r="N1360" s="69">
        <v>4.1399999999999997</v>
      </c>
      <c r="O1360" s="69">
        <v>2.74</v>
      </c>
      <c r="P1360" s="69">
        <v>21.38</v>
      </c>
      <c r="Q1360" s="27">
        <v>65</v>
      </c>
      <c r="R1360" s="69">
        <v>2.57</v>
      </c>
      <c r="S1360" s="69">
        <v>162.62</v>
      </c>
      <c r="X1360" s="2">
        <f t="shared" si="63"/>
        <v>0.35</v>
      </c>
      <c r="Y1360" s="2">
        <f>SUMIF(收盤價!A:A,A1360,收盤價!C:C)</f>
        <v>48.7</v>
      </c>
      <c r="Z1360" s="2">
        <f t="shared" si="64"/>
        <v>890968.74</v>
      </c>
      <c r="AA1360" s="2">
        <f t="shared" si="65"/>
        <v>2029475.1</v>
      </c>
    </row>
    <row r="1361" spans="1:27" ht="14.5" customHeight="1">
      <c r="A1361" s="7" t="s">
        <v>6731</v>
      </c>
      <c r="B1361" s="8" t="s">
        <v>2677</v>
      </c>
      <c r="C1361" s="27">
        <v>1043056</v>
      </c>
      <c r="D1361" s="27">
        <v>1243233</v>
      </c>
      <c r="E1361" s="69">
        <v>-16.100000000000001</v>
      </c>
      <c r="F1361" s="27">
        <v>116449</v>
      </c>
      <c r="G1361" s="27">
        <v>164679</v>
      </c>
      <c r="H1361" s="27">
        <v>-19460</v>
      </c>
      <c r="I1361" s="27">
        <v>13853</v>
      </c>
      <c r="J1361" s="27">
        <v>79173</v>
      </c>
      <c r="K1361" s="27">
        <v>146920</v>
      </c>
      <c r="L1361" s="69">
        <v>-46.11</v>
      </c>
      <c r="M1361" s="27">
        <v>396670</v>
      </c>
      <c r="N1361" s="69">
        <v>2</v>
      </c>
      <c r="O1361" s="69">
        <v>3.84</v>
      </c>
      <c r="P1361" s="69">
        <v>16.75</v>
      </c>
      <c r="Q1361" s="27">
        <v>71</v>
      </c>
      <c r="R1361" s="69">
        <v>2.84</v>
      </c>
      <c r="S1361" s="69">
        <v>238.17</v>
      </c>
      <c r="X1361" s="2">
        <f t="shared" si="63"/>
        <v>0.28999999999999998</v>
      </c>
      <c r="Y1361" s="2">
        <f>SUMIF(收盤價!A:A,A1361,收盤價!C:C)</f>
        <v>29.2</v>
      </c>
      <c r="Z1361" s="2">
        <f t="shared" si="64"/>
        <v>664422.25</v>
      </c>
      <c r="AA1361" s="2">
        <f t="shared" si="65"/>
        <v>1158276.3999999999</v>
      </c>
    </row>
    <row r="1362" spans="1:27" ht="14.5" customHeight="1">
      <c r="A1362" s="7" t="s">
        <v>6732</v>
      </c>
      <c r="B1362" s="8" t="s">
        <v>2683</v>
      </c>
      <c r="C1362" s="27">
        <v>1057069</v>
      </c>
      <c r="D1362" s="27">
        <v>1209792</v>
      </c>
      <c r="E1362" s="69">
        <v>-12.62</v>
      </c>
      <c r="F1362" s="27">
        <v>28988</v>
      </c>
      <c r="G1362" s="27">
        <v>111738</v>
      </c>
      <c r="H1362" s="27">
        <v>15084</v>
      </c>
      <c r="I1362" s="27">
        <v>4861</v>
      </c>
      <c r="J1362" s="27">
        <v>40162</v>
      </c>
      <c r="K1362" s="27">
        <v>97037</v>
      </c>
      <c r="L1362" s="69">
        <v>-58.61</v>
      </c>
      <c r="M1362" s="27">
        <v>499559</v>
      </c>
      <c r="N1362" s="69">
        <v>0.8</v>
      </c>
      <c r="O1362" s="69">
        <v>1.88</v>
      </c>
      <c r="P1362" s="69">
        <v>24.48</v>
      </c>
      <c r="Q1362" s="27">
        <v>56</v>
      </c>
      <c r="R1362" s="69">
        <v>1.91</v>
      </c>
      <c r="S1362" s="69">
        <v>152.82</v>
      </c>
      <c r="X1362" s="2">
        <f t="shared" si="63"/>
        <v>0.44</v>
      </c>
      <c r="Y1362" s="2">
        <f>SUMIF(收盤價!A:A,A1362,收盤價!C:C)</f>
        <v>25.75</v>
      </c>
      <c r="Z1362" s="2">
        <f t="shared" si="64"/>
        <v>1222920.432</v>
      </c>
      <c r="AA1362" s="2">
        <f t="shared" si="65"/>
        <v>1286364.425</v>
      </c>
    </row>
    <row r="1363" spans="1:27" ht="14.5" customHeight="1">
      <c r="A1363" s="7" t="s">
        <v>6733</v>
      </c>
      <c r="B1363" s="8" t="s">
        <v>2685</v>
      </c>
      <c r="C1363" s="27">
        <v>1355677</v>
      </c>
      <c r="D1363" s="27">
        <v>1690122</v>
      </c>
      <c r="E1363" s="69">
        <v>-19.79</v>
      </c>
      <c r="F1363" s="27">
        <v>8555</v>
      </c>
      <c r="G1363" s="27">
        <v>164789</v>
      </c>
      <c r="H1363" s="27">
        <v>13290</v>
      </c>
      <c r="I1363" s="27">
        <v>10513</v>
      </c>
      <c r="J1363" s="27">
        <v>15817</v>
      </c>
      <c r="K1363" s="27">
        <v>139492</v>
      </c>
      <c r="L1363" s="69">
        <v>-88.66</v>
      </c>
      <c r="M1363" s="27">
        <v>449900</v>
      </c>
      <c r="N1363" s="69">
        <v>0.35</v>
      </c>
      <c r="O1363" s="69">
        <v>3.07</v>
      </c>
      <c r="P1363" s="69">
        <v>23.35</v>
      </c>
      <c r="Q1363" s="27">
        <v>57</v>
      </c>
      <c r="R1363" s="69">
        <v>1.01</v>
      </c>
      <c r="S1363" s="69">
        <v>63.57</v>
      </c>
      <c r="X1363" s="2">
        <f t="shared" si="63"/>
        <v>0.43</v>
      </c>
      <c r="Y1363" s="2">
        <f>SUMIF(收盤價!A:A,A1363,收盤價!C:C)</f>
        <v>30.25</v>
      </c>
      <c r="Z1363" s="2">
        <f t="shared" si="64"/>
        <v>1050516.5</v>
      </c>
      <c r="AA1363" s="2">
        <f t="shared" si="65"/>
        <v>1360947.5</v>
      </c>
    </row>
    <row r="1364" spans="1:27" ht="14.5" customHeight="1">
      <c r="A1364" s="7" t="s">
        <v>6734</v>
      </c>
      <c r="B1364" s="8" t="s">
        <v>2687</v>
      </c>
      <c r="C1364" s="27">
        <v>334511</v>
      </c>
      <c r="D1364" s="27">
        <v>392538</v>
      </c>
      <c r="E1364" s="69">
        <v>-14.78</v>
      </c>
      <c r="F1364" s="27">
        <v>-72758</v>
      </c>
      <c r="G1364" s="27">
        <v>-77291</v>
      </c>
      <c r="H1364" s="27">
        <v>6981</v>
      </c>
      <c r="I1364" s="27">
        <v>10441</v>
      </c>
      <c r="J1364" s="27">
        <v>-52626</v>
      </c>
      <c r="K1364" s="27">
        <v>-54034</v>
      </c>
      <c r="L1364" s="69">
        <v>2.61</v>
      </c>
      <c r="M1364" s="27">
        <v>355356</v>
      </c>
      <c r="N1364" s="69">
        <v>-1.48</v>
      </c>
      <c r="O1364" s="69">
        <v>-1.52</v>
      </c>
      <c r="P1364" s="69">
        <v>17.63</v>
      </c>
      <c r="Q1364" s="27">
        <v>86</v>
      </c>
      <c r="R1364" s="69">
        <v>5.51</v>
      </c>
      <c r="S1364" s="69">
        <v>444.07</v>
      </c>
      <c r="X1364" s="2">
        <f t="shared" si="63"/>
        <v>0.14000000000000001</v>
      </c>
      <c r="Y1364" s="2">
        <f>SUMIF(收盤價!A:A,A1364,收盤價!C:C)</f>
        <v>13.65</v>
      </c>
      <c r="Z1364" s="2">
        <f t="shared" si="64"/>
        <v>626492.62799999991</v>
      </c>
      <c r="AA1364" s="2">
        <f t="shared" si="65"/>
        <v>485060.94000000006</v>
      </c>
    </row>
    <row r="1365" spans="1:27" ht="14.5" customHeight="1">
      <c r="A1365" s="7" t="s">
        <v>6735</v>
      </c>
      <c r="B1365" s="8" t="s">
        <v>2725</v>
      </c>
      <c r="C1365" s="27">
        <v>1875209</v>
      </c>
      <c r="D1365" s="27">
        <v>1820415</v>
      </c>
      <c r="E1365" s="69">
        <v>3.01</v>
      </c>
      <c r="F1365" s="27">
        <v>76852</v>
      </c>
      <c r="G1365" s="27">
        <v>132749</v>
      </c>
      <c r="H1365" s="27">
        <v>15483</v>
      </c>
      <c r="I1365" s="27">
        <v>77968</v>
      </c>
      <c r="J1365" s="27">
        <v>92016</v>
      </c>
      <c r="K1365" s="27">
        <v>210715</v>
      </c>
      <c r="L1365" s="69">
        <v>-56.33</v>
      </c>
      <c r="M1365" s="27">
        <v>1063518</v>
      </c>
      <c r="N1365" s="69">
        <v>0.88</v>
      </c>
      <c r="O1365" s="69">
        <v>2.04</v>
      </c>
      <c r="P1365" s="69">
        <v>12.48</v>
      </c>
      <c r="Q1365" s="27">
        <v>73</v>
      </c>
      <c r="R1365" s="69">
        <v>4.1100000000000003</v>
      </c>
      <c r="S1365" s="69">
        <v>332.29</v>
      </c>
      <c r="X1365" s="2">
        <f t="shared" si="63"/>
        <v>0.27</v>
      </c>
      <c r="Y1365" s="2">
        <f>SUMIF(收盤價!A:A,A1365,收盤價!C:C)</f>
        <v>17.2</v>
      </c>
      <c r="Z1365" s="2">
        <f t="shared" si="64"/>
        <v>1327270.4640000002</v>
      </c>
      <c r="AA1365" s="2">
        <f t="shared" si="65"/>
        <v>1829250.9599999997</v>
      </c>
    </row>
    <row r="1366" spans="1:27" ht="14.5" customHeight="1">
      <c r="A1366" s="7" t="s">
        <v>6736</v>
      </c>
      <c r="B1366" s="8" t="s">
        <v>2755</v>
      </c>
      <c r="C1366" s="27">
        <v>48711259</v>
      </c>
      <c r="D1366" s="27">
        <v>55672933</v>
      </c>
      <c r="E1366" s="69">
        <v>-12.5</v>
      </c>
      <c r="F1366" s="27">
        <v>1201103</v>
      </c>
      <c r="G1366" s="27">
        <v>2301619</v>
      </c>
      <c r="H1366" s="27">
        <v>500809</v>
      </c>
      <c r="I1366" s="27">
        <v>565702</v>
      </c>
      <c r="J1366" s="27">
        <v>1153070</v>
      </c>
      <c r="K1366" s="27">
        <v>2020219</v>
      </c>
      <c r="L1366" s="69">
        <v>-42.92</v>
      </c>
      <c r="M1366" s="27">
        <v>4344231</v>
      </c>
      <c r="N1366" s="69">
        <v>2.65</v>
      </c>
      <c r="O1366" s="69">
        <v>4.6500000000000004</v>
      </c>
      <c r="P1366" s="69">
        <v>49.22</v>
      </c>
      <c r="Q1366" s="27">
        <v>42</v>
      </c>
      <c r="R1366" s="69">
        <v>1.63</v>
      </c>
      <c r="S1366" s="69">
        <v>135.65</v>
      </c>
      <c r="X1366" s="2">
        <f t="shared" si="63"/>
        <v>0.57999999999999996</v>
      </c>
      <c r="Y1366" s="2">
        <f>SUMIF(收盤價!A:A,A1366,收盤價!C:C)</f>
        <v>38.75</v>
      </c>
      <c r="Z1366" s="2">
        <f t="shared" si="64"/>
        <v>21382304.982000001</v>
      </c>
      <c r="AA1366" s="2">
        <f t="shared" si="65"/>
        <v>16833895.125</v>
      </c>
    </row>
    <row r="1367" spans="1:27" ht="14.5" customHeight="1">
      <c r="A1367" s="7" t="s">
        <v>6737</v>
      </c>
      <c r="B1367" s="8" t="s">
        <v>2763</v>
      </c>
      <c r="C1367" s="27">
        <v>12096397</v>
      </c>
      <c r="D1367" s="27">
        <v>12365574</v>
      </c>
      <c r="E1367" s="69">
        <v>-2.1800000000000002</v>
      </c>
      <c r="F1367" s="27">
        <v>186904</v>
      </c>
      <c r="G1367" s="27">
        <v>272876</v>
      </c>
      <c r="H1367" s="27">
        <v>387491</v>
      </c>
      <c r="I1367" s="27">
        <v>146898</v>
      </c>
      <c r="J1367" s="27">
        <v>189276</v>
      </c>
      <c r="K1367" s="27">
        <v>35624</v>
      </c>
      <c r="L1367" s="69">
        <v>431.32</v>
      </c>
      <c r="M1367" s="27">
        <v>1666314</v>
      </c>
      <c r="N1367" s="69">
        <v>1.3</v>
      </c>
      <c r="O1367" s="69">
        <v>0.37</v>
      </c>
      <c r="P1367" s="69">
        <v>32.479999999999997</v>
      </c>
      <c r="Q1367" s="27">
        <v>35</v>
      </c>
      <c r="R1367" s="69">
        <v>1.46</v>
      </c>
      <c r="S1367" s="69">
        <v>119.76</v>
      </c>
      <c r="X1367" s="2">
        <f t="shared" si="63"/>
        <v>0.65</v>
      </c>
      <c r="Y1367" s="2">
        <f>SUMIF(收盤價!A:A,A1367,收盤價!C:C)</f>
        <v>33.4</v>
      </c>
      <c r="Z1367" s="2">
        <f t="shared" si="64"/>
        <v>5412187.8719999995</v>
      </c>
      <c r="AA1367" s="2">
        <f t="shared" si="65"/>
        <v>5565488.7599999998</v>
      </c>
    </row>
    <row r="1368" spans="1:27" ht="14.5" customHeight="1">
      <c r="A1368" s="7" t="s">
        <v>6738</v>
      </c>
      <c r="B1368" s="8" t="s">
        <v>2775</v>
      </c>
      <c r="C1368" s="27">
        <v>66504</v>
      </c>
      <c r="D1368" s="27">
        <v>84959</v>
      </c>
      <c r="E1368" s="69">
        <v>-21.72</v>
      </c>
      <c r="F1368" s="27">
        <v>-1824</v>
      </c>
      <c r="G1368" s="27">
        <v>7986</v>
      </c>
      <c r="H1368" s="27">
        <v>71764</v>
      </c>
      <c r="I1368" s="27">
        <v>10157</v>
      </c>
      <c r="J1368" s="27">
        <v>69585</v>
      </c>
      <c r="K1368" s="27">
        <v>19152</v>
      </c>
      <c r="L1368" s="69">
        <v>263.33</v>
      </c>
      <c r="M1368" s="27">
        <v>206878</v>
      </c>
      <c r="N1368" s="69">
        <v>3.36</v>
      </c>
      <c r="O1368" s="69">
        <v>0.93</v>
      </c>
      <c r="P1368" s="69">
        <v>16.23</v>
      </c>
      <c r="Q1368" s="27">
        <v>93</v>
      </c>
      <c r="R1368" s="69">
        <v>17.27</v>
      </c>
      <c r="S1368" s="69">
        <v>1686.22</v>
      </c>
      <c r="X1368" s="2">
        <f t="shared" si="63"/>
        <v>7.0000000000000007E-2</v>
      </c>
      <c r="Y1368" s="2">
        <f>SUMIF(收盤價!A:A,A1368,收盤價!C:C)</f>
        <v>20.149999999999999</v>
      </c>
      <c r="Z1368" s="2">
        <f t="shared" si="64"/>
        <v>335762.99400000001</v>
      </c>
      <c r="AA1368" s="2">
        <f t="shared" si="65"/>
        <v>416859.17</v>
      </c>
    </row>
    <row r="1369" spans="1:27" ht="14.5" customHeight="1">
      <c r="A1369" s="7" t="s">
        <v>6739</v>
      </c>
      <c r="B1369" s="8" t="s">
        <v>2781</v>
      </c>
      <c r="C1369" s="27">
        <v>4236015</v>
      </c>
      <c r="D1369" s="27">
        <v>4873153</v>
      </c>
      <c r="E1369" s="69">
        <v>-13.07</v>
      </c>
      <c r="F1369" s="27">
        <v>359126</v>
      </c>
      <c r="G1369" s="27">
        <v>433227</v>
      </c>
      <c r="H1369" s="27">
        <v>1123</v>
      </c>
      <c r="I1369" s="27">
        <v>58846</v>
      </c>
      <c r="J1369" s="27">
        <v>249158</v>
      </c>
      <c r="K1369" s="27">
        <v>370105</v>
      </c>
      <c r="L1369" s="69">
        <v>-32.68</v>
      </c>
      <c r="M1369" s="27">
        <v>1651361</v>
      </c>
      <c r="N1369" s="69">
        <v>1.51</v>
      </c>
      <c r="O1369" s="69">
        <v>2.2400000000000002</v>
      </c>
      <c r="P1369" s="69">
        <v>14.45</v>
      </c>
      <c r="Q1369" s="27">
        <v>36</v>
      </c>
      <c r="R1369" s="69">
        <v>1.89</v>
      </c>
      <c r="S1369" s="69">
        <v>154.12</v>
      </c>
      <c r="X1369" s="2">
        <f t="shared" si="63"/>
        <v>0.64</v>
      </c>
      <c r="Y1369" s="2">
        <f>SUMIF(收盤價!A:A,A1369,收盤價!C:C)</f>
        <v>21.5</v>
      </c>
      <c r="Z1369" s="2">
        <f t="shared" si="64"/>
        <v>2386216.645</v>
      </c>
      <c r="AA1369" s="2">
        <f t="shared" si="65"/>
        <v>3550426.15</v>
      </c>
    </row>
    <row r="1370" spans="1:27" ht="14.5" customHeight="1">
      <c r="A1370" s="7" t="s">
        <v>6740</v>
      </c>
      <c r="B1370" s="8" t="s">
        <v>2907</v>
      </c>
      <c r="C1370" s="27">
        <v>4363773</v>
      </c>
      <c r="D1370" s="27">
        <v>5547666</v>
      </c>
      <c r="E1370" s="69">
        <v>-21.34</v>
      </c>
      <c r="F1370" s="27">
        <v>-743866</v>
      </c>
      <c r="G1370" s="27">
        <v>-1053427</v>
      </c>
      <c r="H1370" s="27">
        <v>1723389</v>
      </c>
      <c r="I1370" s="27">
        <v>-307725</v>
      </c>
      <c r="J1370" s="27">
        <v>1345203</v>
      </c>
      <c r="K1370" s="27">
        <v>-169802</v>
      </c>
      <c r="L1370" s="69">
        <v>892.22</v>
      </c>
      <c r="M1370" s="27">
        <v>2490112</v>
      </c>
      <c r="N1370" s="69">
        <v>5.47</v>
      </c>
      <c r="O1370" s="69">
        <v>-0.68</v>
      </c>
      <c r="P1370" s="69">
        <v>18.38</v>
      </c>
      <c r="Q1370" s="27">
        <v>44</v>
      </c>
      <c r="R1370" s="69">
        <v>1.74</v>
      </c>
      <c r="S1370" s="69">
        <v>105.45</v>
      </c>
      <c r="X1370" s="2">
        <f t="shared" si="63"/>
        <v>0.56000000000000005</v>
      </c>
      <c r="Y1370" s="2">
        <f>SUMIF(收盤價!A:A,A1370,收盤價!C:C)</f>
        <v>15.85</v>
      </c>
      <c r="Z1370" s="2">
        <f t="shared" si="64"/>
        <v>4576825.8559999997</v>
      </c>
      <c r="AA1370" s="2">
        <f t="shared" si="65"/>
        <v>3946827.5199999996</v>
      </c>
    </row>
    <row r="1371" spans="1:27" ht="14.5" customHeight="1">
      <c r="A1371" s="7" t="s">
        <v>6741</v>
      </c>
      <c r="B1371" s="8" t="s">
        <v>2949</v>
      </c>
      <c r="C1371" s="27">
        <v>2005715</v>
      </c>
      <c r="D1371" s="27">
        <v>2009168</v>
      </c>
      <c r="E1371" s="69">
        <v>-0.17</v>
      </c>
      <c r="F1371" s="27">
        <v>138707</v>
      </c>
      <c r="G1371" s="27">
        <v>163491</v>
      </c>
      <c r="H1371" s="27">
        <v>15074</v>
      </c>
      <c r="I1371" s="27">
        <v>19652</v>
      </c>
      <c r="J1371" s="27">
        <v>153892</v>
      </c>
      <c r="K1371" s="27">
        <v>183317</v>
      </c>
      <c r="L1371" s="69">
        <v>-16.05</v>
      </c>
      <c r="M1371" s="27">
        <v>1621732</v>
      </c>
      <c r="N1371" s="69">
        <v>0.95</v>
      </c>
      <c r="O1371" s="69">
        <v>1.1299999999999999</v>
      </c>
      <c r="P1371" s="69">
        <v>8.82</v>
      </c>
      <c r="Q1371" s="27">
        <v>72</v>
      </c>
      <c r="R1371" s="69">
        <v>3.04</v>
      </c>
      <c r="S1371" s="69">
        <v>229.52</v>
      </c>
      <c r="X1371" s="2">
        <f t="shared" si="63"/>
        <v>0.28000000000000003</v>
      </c>
      <c r="Y1371" s="2">
        <f>SUMIF(收盤價!A:A,A1371,收盤價!C:C)</f>
        <v>7.81</v>
      </c>
      <c r="Z1371" s="2">
        <f t="shared" si="64"/>
        <v>1430367.6240000001</v>
      </c>
      <c r="AA1371" s="2">
        <f t="shared" si="65"/>
        <v>1266572.692</v>
      </c>
    </row>
    <row r="1372" spans="1:27" ht="14.5" customHeight="1">
      <c r="A1372" s="7" t="s">
        <v>6742</v>
      </c>
      <c r="B1372" s="8" t="s">
        <v>3009</v>
      </c>
      <c r="C1372" s="27">
        <v>571610</v>
      </c>
      <c r="D1372" s="27">
        <v>402115</v>
      </c>
      <c r="E1372" s="69">
        <v>42.15</v>
      </c>
      <c r="F1372" s="27">
        <v>19590</v>
      </c>
      <c r="G1372" s="27">
        <v>18036</v>
      </c>
      <c r="H1372" s="27">
        <v>476</v>
      </c>
      <c r="I1372" s="27">
        <v>25597</v>
      </c>
      <c r="J1372" s="27">
        <v>14768</v>
      </c>
      <c r="K1372" s="27">
        <v>52282</v>
      </c>
      <c r="L1372" s="69">
        <v>-71.75</v>
      </c>
      <c r="M1372" s="27">
        <v>345889</v>
      </c>
      <c r="N1372" s="69">
        <v>0.43</v>
      </c>
      <c r="O1372" s="69">
        <v>1.51</v>
      </c>
      <c r="P1372" s="69">
        <v>6.1</v>
      </c>
      <c r="Q1372" s="27">
        <v>55</v>
      </c>
      <c r="R1372" s="69">
        <v>1.21</v>
      </c>
      <c r="S1372" s="69">
        <v>103.57</v>
      </c>
      <c r="X1372" s="2">
        <f t="shared" si="63"/>
        <v>0.45</v>
      </c>
      <c r="Y1372" s="2">
        <f>SUMIF(收盤價!A:A,A1372,收盤價!C:C)</f>
        <v>10</v>
      </c>
      <c r="Z1372" s="2">
        <f t="shared" si="64"/>
        <v>210992.28999999998</v>
      </c>
      <c r="AA1372" s="2">
        <f t="shared" si="65"/>
        <v>345889</v>
      </c>
    </row>
    <row r="1373" spans="1:27" ht="14.5" customHeight="1">
      <c r="A1373" s="7" t="s">
        <v>6743</v>
      </c>
      <c r="B1373" s="8" t="s">
        <v>3023</v>
      </c>
      <c r="C1373" s="27">
        <v>1550893</v>
      </c>
      <c r="D1373" s="27">
        <v>915683</v>
      </c>
      <c r="E1373" s="69">
        <v>69.37</v>
      </c>
      <c r="F1373" s="27">
        <v>209843</v>
      </c>
      <c r="G1373" s="27">
        <v>69571</v>
      </c>
      <c r="H1373" s="27">
        <v>11350</v>
      </c>
      <c r="I1373" s="27">
        <v>31234</v>
      </c>
      <c r="J1373" s="27">
        <v>185546</v>
      </c>
      <c r="K1373" s="27">
        <v>85582</v>
      </c>
      <c r="L1373" s="69">
        <v>116.8</v>
      </c>
      <c r="M1373" s="27">
        <v>928644</v>
      </c>
      <c r="N1373" s="69">
        <v>2</v>
      </c>
      <c r="O1373" s="69">
        <v>0.92</v>
      </c>
      <c r="P1373" s="69">
        <v>26.38</v>
      </c>
      <c r="Q1373" s="27">
        <v>69</v>
      </c>
      <c r="R1373" s="69">
        <v>2.44</v>
      </c>
      <c r="S1373" s="69">
        <v>164.68</v>
      </c>
      <c r="X1373" s="2">
        <f t="shared" si="63"/>
        <v>0.31</v>
      </c>
      <c r="Y1373" s="2">
        <f>SUMIF(收盤價!A:A,A1373,收盤價!C:C)</f>
        <v>32</v>
      </c>
      <c r="Z1373" s="2">
        <f t="shared" si="64"/>
        <v>2449762.872</v>
      </c>
      <c r="AA1373" s="2">
        <f t="shared" si="65"/>
        <v>2971660.8</v>
      </c>
    </row>
    <row r="1374" spans="1:27" ht="14.5" customHeight="1">
      <c r="A1374" s="7" t="s">
        <v>6744</v>
      </c>
      <c r="B1374" s="8" t="s">
        <v>3037</v>
      </c>
      <c r="C1374" s="27">
        <v>5297076</v>
      </c>
      <c r="D1374" s="27">
        <v>14187115</v>
      </c>
      <c r="E1374" s="69">
        <v>-62.66</v>
      </c>
      <c r="F1374" s="27">
        <v>-1043657</v>
      </c>
      <c r="G1374" s="27">
        <v>-4055877</v>
      </c>
      <c r="H1374" s="27">
        <v>-296974</v>
      </c>
      <c r="I1374" s="27">
        <v>-2557923</v>
      </c>
      <c r="J1374" s="27">
        <v>-1317867</v>
      </c>
      <c r="K1374" s="27">
        <v>-6794568</v>
      </c>
      <c r="L1374" s="69">
        <v>80.599999999999994</v>
      </c>
      <c r="M1374" s="27">
        <v>5404704</v>
      </c>
      <c r="N1374" s="69">
        <v>-2.44</v>
      </c>
      <c r="O1374" s="69">
        <v>-12.61</v>
      </c>
      <c r="P1374" s="69">
        <v>5.56</v>
      </c>
      <c r="Q1374" s="27">
        <v>30</v>
      </c>
      <c r="R1374" s="69">
        <v>1.65</v>
      </c>
      <c r="S1374" s="69">
        <v>152.86000000000001</v>
      </c>
      <c r="X1374" s="2">
        <f t="shared" si="63"/>
        <v>0.7</v>
      </c>
      <c r="Y1374" s="2">
        <f>SUMIF(收盤價!A:A,A1374,收盤價!C:C)</f>
        <v>8.15</v>
      </c>
      <c r="Z1374" s="2">
        <f t="shared" si="64"/>
        <v>3005015.4239999996</v>
      </c>
      <c r="AA1374" s="2">
        <f t="shared" si="65"/>
        <v>4404833.76</v>
      </c>
    </row>
    <row r="1375" spans="1:27" ht="14.5" customHeight="1">
      <c r="A1375" s="7" t="s">
        <v>6745</v>
      </c>
      <c r="B1375" s="8" t="s">
        <v>3041</v>
      </c>
      <c r="C1375" s="27">
        <v>825486</v>
      </c>
      <c r="D1375" s="27">
        <v>1045602</v>
      </c>
      <c r="E1375" s="69">
        <v>-21.05</v>
      </c>
      <c r="F1375" s="27">
        <v>-46522</v>
      </c>
      <c r="G1375" s="27">
        <v>30007</v>
      </c>
      <c r="H1375" s="27">
        <v>-14924</v>
      </c>
      <c r="I1375" s="27">
        <v>-4161</v>
      </c>
      <c r="J1375" s="27">
        <v>-65091</v>
      </c>
      <c r="K1375" s="27">
        <v>19456</v>
      </c>
      <c r="L1375" s="69">
        <v>-434.55</v>
      </c>
      <c r="M1375" s="27">
        <v>307572</v>
      </c>
      <c r="N1375" s="69">
        <v>-2.12</v>
      </c>
      <c r="O1375" s="69">
        <v>0.66</v>
      </c>
      <c r="P1375" s="69">
        <v>9.98</v>
      </c>
      <c r="Q1375" s="27">
        <v>38</v>
      </c>
      <c r="R1375" s="69">
        <v>1.34</v>
      </c>
      <c r="S1375" s="69">
        <v>110.92</v>
      </c>
      <c r="X1375" s="2">
        <f t="shared" si="63"/>
        <v>0.62</v>
      </c>
      <c r="Y1375" s="2">
        <f>SUMIF(收盤價!A:A,A1375,收盤價!C:C)</f>
        <v>9.02</v>
      </c>
      <c r="Z1375" s="2">
        <f t="shared" si="64"/>
        <v>306956.85600000003</v>
      </c>
      <c r="AA1375" s="2">
        <f t="shared" si="65"/>
        <v>277429.94400000002</v>
      </c>
    </row>
    <row r="1376" spans="1:27" ht="14.5" customHeight="1">
      <c r="A1376" s="7" t="s">
        <v>6746</v>
      </c>
      <c r="B1376" s="8" t="s">
        <v>3089</v>
      </c>
      <c r="C1376" s="27">
        <v>212656</v>
      </c>
      <c r="D1376" s="27">
        <v>225139</v>
      </c>
      <c r="E1376" s="69">
        <v>-5.54</v>
      </c>
      <c r="F1376" s="27">
        <v>-65892</v>
      </c>
      <c r="G1376" s="27">
        <v>-11143</v>
      </c>
      <c r="H1376" s="27">
        <v>14332</v>
      </c>
      <c r="I1376" s="27">
        <v>-88790</v>
      </c>
      <c r="J1376" s="27">
        <v>-51586</v>
      </c>
      <c r="K1376" s="27">
        <v>-110580</v>
      </c>
      <c r="L1376" s="69">
        <v>53.35</v>
      </c>
      <c r="M1376" s="27">
        <v>131592</v>
      </c>
      <c r="N1376" s="69">
        <v>-3.92</v>
      </c>
      <c r="O1376" s="69">
        <v>-8.4</v>
      </c>
      <c r="P1376" s="69">
        <v>20.12</v>
      </c>
      <c r="Q1376" s="27">
        <v>66</v>
      </c>
      <c r="R1376" s="69">
        <v>2.7</v>
      </c>
      <c r="S1376" s="69">
        <v>249.96</v>
      </c>
      <c r="X1376" s="2">
        <f t="shared" si="63"/>
        <v>0.34</v>
      </c>
      <c r="Y1376" s="2">
        <f>SUMIF(收盤價!A:A,A1376,收盤價!C:C)</f>
        <v>6.84</v>
      </c>
      <c r="Z1376" s="2">
        <f t="shared" si="64"/>
        <v>264763.10399999999</v>
      </c>
      <c r="AA1376" s="2">
        <f t="shared" si="65"/>
        <v>90008.928</v>
      </c>
    </row>
    <row r="1377" spans="1:27" ht="14.5" customHeight="1">
      <c r="A1377" s="7" t="s">
        <v>6747</v>
      </c>
      <c r="B1377" s="8" t="s">
        <v>3169</v>
      </c>
      <c r="C1377" s="27">
        <v>1299407</v>
      </c>
      <c r="D1377" s="27">
        <v>1140341</v>
      </c>
      <c r="E1377" s="69">
        <v>13.95</v>
      </c>
      <c r="F1377" s="27">
        <v>83837</v>
      </c>
      <c r="G1377" s="27">
        <v>15783</v>
      </c>
      <c r="H1377" s="27">
        <v>-5591</v>
      </c>
      <c r="I1377" s="27">
        <v>20497</v>
      </c>
      <c r="J1377" s="27">
        <v>64190</v>
      </c>
      <c r="K1377" s="27">
        <v>32133</v>
      </c>
      <c r="L1377" s="69">
        <v>99.76</v>
      </c>
      <c r="M1377" s="27">
        <v>287500</v>
      </c>
      <c r="N1377" s="69">
        <v>2.5499999999999998</v>
      </c>
      <c r="O1377" s="69">
        <v>1.4</v>
      </c>
      <c r="P1377" s="69">
        <v>36.18</v>
      </c>
      <c r="Q1377" s="27">
        <v>52</v>
      </c>
      <c r="R1377" s="69">
        <v>1.62</v>
      </c>
      <c r="S1377" s="69">
        <v>118.72</v>
      </c>
      <c r="X1377" s="2">
        <f t="shared" si="63"/>
        <v>0.48</v>
      </c>
      <c r="Y1377" s="2">
        <f>SUMIF(收盤價!A:A,A1377,收盤價!C:C)</f>
        <v>46.45</v>
      </c>
      <c r="Z1377" s="2">
        <f t="shared" si="64"/>
        <v>1040175</v>
      </c>
      <c r="AA1377" s="2">
        <f t="shared" si="65"/>
        <v>1335437.5</v>
      </c>
    </row>
    <row r="1378" spans="1:27" ht="14.5" customHeight="1">
      <c r="A1378" s="7" t="s">
        <v>6748</v>
      </c>
      <c r="B1378" s="8" t="s">
        <v>3171</v>
      </c>
      <c r="C1378" s="27">
        <v>343218</v>
      </c>
      <c r="D1378" s="27">
        <v>424661</v>
      </c>
      <c r="E1378" s="69">
        <v>-19.18</v>
      </c>
      <c r="F1378" s="27">
        <v>34858</v>
      </c>
      <c r="G1378" s="27">
        <v>60552</v>
      </c>
      <c r="H1378" s="27">
        <v>2818</v>
      </c>
      <c r="I1378" s="27">
        <v>13574</v>
      </c>
      <c r="J1378" s="27">
        <v>29908</v>
      </c>
      <c r="K1378" s="27">
        <v>61604</v>
      </c>
      <c r="L1378" s="69">
        <v>-51.45</v>
      </c>
      <c r="M1378" s="27">
        <v>174928</v>
      </c>
      <c r="N1378" s="69">
        <v>1.71</v>
      </c>
      <c r="O1378" s="69">
        <v>3.55</v>
      </c>
      <c r="P1378" s="69">
        <v>18.73</v>
      </c>
      <c r="Q1378" s="27">
        <v>79</v>
      </c>
      <c r="R1378" s="69">
        <v>5.68</v>
      </c>
      <c r="S1378" s="69">
        <v>503.36</v>
      </c>
      <c r="X1378" s="2">
        <f t="shared" si="63"/>
        <v>0.21</v>
      </c>
      <c r="Y1378" s="2">
        <f>SUMIF(收盤價!A:A,A1378,收盤價!C:C)</f>
        <v>34.5</v>
      </c>
      <c r="Z1378" s="2">
        <f t="shared" si="64"/>
        <v>327640.14399999997</v>
      </c>
      <c r="AA1378" s="2">
        <f t="shared" si="65"/>
        <v>603501.6</v>
      </c>
    </row>
    <row r="1379" spans="1:27" ht="14.5" customHeight="1">
      <c r="A1379" s="7" t="s">
        <v>6749</v>
      </c>
      <c r="B1379" s="8" t="s">
        <v>3245</v>
      </c>
      <c r="C1379" s="27">
        <v>581270</v>
      </c>
      <c r="D1379" s="27">
        <v>507812</v>
      </c>
      <c r="E1379" s="69">
        <v>14.47</v>
      </c>
      <c r="F1379" s="27">
        <v>38563</v>
      </c>
      <c r="G1379" s="27">
        <v>34477</v>
      </c>
      <c r="H1379" s="27">
        <v>-11348</v>
      </c>
      <c r="I1379" s="27">
        <v>4661</v>
      </c>
      <c r="J1379" s="27">
        <v>23693</v>
      </c>
      <c r="K1379" s="27">
        <v>31829</v>
      </c>
      <c r="L1379" s="69">
        <v>-25.56</v>
      </c>
      <c r="M1379" s="27">
        <v>228248</v>
      </c>
      <c r="N1379" s="69">
        <v>1.07</v>
      </c>
      <c r="O1379" s="69">
        <v>1.43</v>
      </c>
      <c r="P1379" s="69">
        <v>14.6</v>
      </c>
      <c r="Q1379" s="27">
        <v>80</v>
      </c>
      <c r="R1379" s="69">
        <v>4.47</v>
      </c>
      <c r="S1379" s="69">
        <v>223.25</v>
      </c>
      <c r="X1379" s="2">
        <f t="shared" si="63"/>
        <v>0.2</v>
      </c>
      <c r="Y1379" s="2">
        <f>SUMIF(收盤價!A:A,A1379,收盤價!C:C)</f>
        <v>39.5</v>
      </c>
      <c r="Z1379" s="2">
        <f t="shared" si="64"/>
        <v>333242.07999999996</v>
      </c>
      <c r="AA1379" s="2">
        <f t="shared" si="65"/>
        <v>901579.6</v>
      </c>
    </row>
    <row r="1380" spans="1:27" ht="14.5" customHeight="1">
      <c r="A1380" s="7" t="s">
        <v>6750</v>
      </c>
      <c r="B1380" s="8" t="s">
        <v>3269</v>
      </c>
      <c r="C1380" s="27">
        <v>1911752</v>
      </c>
      <c r="D1380" s="27">
        <v>1945997</v>
      </c>
      <c r="E1380" s="69">
        <v>-1.76</v>
      </c>
      <c r="F1380" s="27">
        <v>336864</v>
      </c>
      <c r="G1380" s="27">
        <v>329275</v>
      </c>
      <c r="H1380" s="27">
        <v>-2729</v>
      </c>
      <c r="I1380" s="27">
        <v>35542</v>
      </c>
      <c r="J1380" s="27">
        <v>265403</v>
      </c>
      <c r="K1380" s="27">
        <v>297563</v>
      </c>
      <c r="L1380" s="69">
        <v>-10.81</v>
      </c>
      <c r="M1380" s="27">
        <v>1182798</v>
      </c>
      <c r="N1380" s="69">
        <v>2.2400000000000002</v>
      </c>
      <c r="O1380" s="69">
        <v>2.52</v>
      </c>
      <c r="P1380" s="69">
        <v>13.88</v>
      </c>
      <c r="Q1380" s="27">
        <v>82</v>
      </c>
      <c r="R1380" s="69">
        <v>4.57</v>
      </c>
      <c r="S1380" s="69">
        <v>332.33</v>
      </c>
      <c r="X1380" s="2">
        <f t="shared" si="63"/>
        <v>0.18</v>
      </c>
      <c r="Y1380" s="2">
        <f>SUMIF(收盤價!A:A,A1380,收盤價!C:C)</f>
        <v>21.25</v>
      </c>
      <c r="Z1380" s="2">
        <f t="shared" si="64"/>
        <v>1641723.6240000001</v>
      </c>
      <c r="AA1380" s="2">
        <f t="shared" si="65"/>
        <v>2513445.75</v>
      </c>
    </row>
    <row r="1381" spans="1:27" ht="14.5" customHeight="1">
      <c r="A1381" s="7" t="s">
        <v>6751</v>
      </c>
      <c r="B1381" s="8" t="s">
        <v>3277</v>
      </c>
      <c r="C1381" s="27">
        <v>5780564</v>
      </c>
      <c r="D1381" s="27">
        <v>6911496</v>
      </c>
      <c r="E1381" s="69">
        <v>-16.36</v>
      </c>
      <c r="F1381" s="27">
        <v>386197</v>
      </c>
      <c r="G1381" s="27">
        <v>365552</v>
      </c>
      <c r="H1381" s="27">
        <v>-59915</v>
      </c>
      <c r="I1381" s="27">
        <v>140210</v>
      </c>
      <c r="J1381" s="27">
        <v>213698</v>
      </c>
      <c r="K1381" s="27">
        <v>381396</v>
      </c>
      <c r="L1381" s="69">
        <v>-43.97</v>
      </c>
      <c r="M1381" s="27">
        <v>1648178</v>
      </c>
      <c r="N1381" s="69">
        <v>1.3</v>
      </c>
      <c r="O1381" s="69">
        <v>2.31</v>
      </c>
      <c r="P1381" s="69">
        <v>16.55</v>
      </c>
      <c r="Q1381" s="27">
        <v>32</v>
      </c>
      <c r="R1381" s="69">
        <v>1.42</v>
      </c>
      <c r="S1381" s="69">
        <v>92.98</v>
      </c>
      <c r="X1381" s="2">
        <f t="shared" si="63"/>
        <v>0.68</v>
      </c>
      <c r="Y1381" s="2">
        <f>SUMIF(收盤價!A:A,A1381,收盤價!C:C)</f>
        <v>17.75</v>
      </c>
      <c r="Z1381" s="2">
        <f t="shared" si="64"/>
        <v>2727734.5900000003</v>
      </c>
      <c r="AA1381" s="2">
        <f t="shared" si="65"/>
        <v>2925515.95</v>
      </c>
    </row>
    <row r="1382" spans="1:27" ht="14.5" customHeight="1">
      <c r="A1382" s="7" t="s">
        <v>6752</v>
      </c>
      <c r="B1382" s="8" t="s">
        <v>3285</v>
      </c>
      <c r="C1382" s="27">
        <v>13601676</v>
      </c>
      <c r="D1382" s="27">
        <v>14208661</v>
      </c>
      <c r="E1382" s="69">
        <v>-4.2699999999999996</v>
      </c>
      <c r="F1382" s="27">
        <v>559811</v>
      </c>
      <c r="G1382" s="27">
        <v>457165</v>
      </c>
      <c r="H1382" s="27">
        <v>3161656</v>
      </c>
      <c r="I1382" s="27">
        <v>2802103</v>
      </c>
      <c r="J1382" s="27">
        <v>3083789</v>
      </c>
      <c r="K1382" s="27">
        <v>2613673</v>
      </c>
      <c r="L1382" s="69">
        <v>17.989999999999998</v>
      </c>
      <c r="M1382" s="27">
        <v>11404677</v>
      </c>
      <c r="N1382" s="69">
        <v>2.72</v>
      </c>
      <c r="O1382" s="69">
        <v>2.3199999999999998</v>
      </c>
      <c r="P1382" s="69">
        <v>25.57</v>
      </c>
      <c r="Q1382" s="27">
        <v>69</v>
      </c>
      <c r="R1382" s="69">
        <v>2.35</v>
      </c>
      <c r="S1382" s="69">
        <v>211.8</v>
      </c>
      <c r="X1382" s="2">
        <f t="shared" si="63"/>
        <v>0.31</v>
      </c>
      <c r="Y1382" s="2">
        <f>SUMIF(收盤價!A:A,A1382,收盤價!C:C)</f>
        <v>31.25</v>
      </c>
      <c r="Z1382" s="2">
        <f t="shared" si="64"/>
        <v>29161759.088999998</v>
      </c>
      <c r="AA1382" s="2">
        <f t="shared" si="65"/>
        <v>35639615.625</v>
      </c>
    </row>
    <row r="1383" spans="1:27" ht="14.5" customHeight="1">
      <c r="A1383" s="7" t="s">
        <v>6753</v>
      </c>
      <c r="B1383" s="8" t="s">
        <v>3305</v>
      </c>
      <c r="C1383" s="27">
        <v>81060</v>
      </c>
      <c r="D1383" s="27">
        <v>105941</v>
      </c>
      <c r="E1383" s="69">
        <v>-23.49</v>
      </c>
      <c r="F1383" s="27">
        <v>-10262</v>
      </c>
      <c r="G1383" s="27">
        <v>-19665</v>
      </c>
      <c r="H1383" s="27">
        <v>11422</v>
      </c>
      <c r="I1383" s="27">
        <v>1708</v>
      </c>
      <c r="J1383" s="27">
        <v>1045</v>
      </c>
      <c r="K1383" s="27">
        <v>-17933</v>
      </c>
      <c r="L1383" s="69">
        <v>105.83</v>
      </c>
      <c r="M1383" s="27">
        <v>298690</v>
      </c>
      <c r="N1383" s="69">
        <v>0.04</v>
      </c>
      <c r="O1383" s="69">
        <v>-0.62</v>
      </c>
      <c r="P1383" s="69">
        <v>9.5299999999999994</v>
      </c>
      <c r="Q1383" s="27">
        <v>84</v>
      </c>
      <c r="R1383" s="69">
        <v>4.55</v>
      </c>
      <c r="S1383" s="69">
        <v>397.67</v>
      </c>
      <c r="X1383" s="2">
        <f t="shared" si="63"/>
        <v>0.16</v>
      </c>
      <c r="Y1383" s="2">
        <f>SUMIF(收盤價!A:A,A1383,收盤價!C:C)</f>
        <v>0</v>
      </c>
      <c r="Z1383" s="2">
        <f t="shared" si="64"/>
        <v>284651.56999999995</v>
      </c>
      <c r="AA1383" s="2">
        <f t="shared" si="65"/>
        <v>0</v>
      </c>
    </row>
    <row r="1384" spans="1:27" ht="14.5" customHeight="1">
      <c r="A1384" s="7" t="s">
        <v>6754</v>
      </c>
      <c r="B1384" s="8" t="s">
        <v>3325</v>
      </c>
      <c r="C1384" s="27">
        <v>781485</v>
      </c>
      <c r="D1384" s="27">
        <v>914224</v>
      </c>
      <c r="E1384" s="69">
        <v>-14.52</v>
      </c>
      <c r="F1384" s="27">
        <v>35717</v>
      </c>
      <c r="G1384" s="27">
        <v>9952</v>
      </c>
      <c r="H1384" s="27">
        <v>39107</v>
      </c>
      <c r="I1384" s="27">
        <v>224875</v>
      </c>
      <c r="J1384" s="27">
        <v>70875</v>
      </c>
      <c r="K1384" s="27">
        <v>221714</v>
      </c>
      <c r="L1384" s="69">
        <v>-68.03</v>
      </c>
      <c r="M1384" s="27">
        <v>1111022</v>
      </c>
      <c r="N1384" s="69">
        <v>0.62</v>
      </c>
      <c r="O1384" s="69">
        <v>1.89</v>
      </c>
      <c r="P1384" s="69">
        <v>10.67</v>
      </c>
      <c r="Q1384" s="27">
        <v>66</v>
      </c>
      <c r="R1384" s="69">
        <v>1.89</v>
      </c>
      <c r="S1384" s="69">
        <v>161.06</v>
      </c>
      <c r="X1384" s="2">
        <f t="shared" si="63"/>
        <v>0.34</v>
      </c>
      <c r="Y1384" s="2">
        <f>SUMIF(收盤價!A:A,A1384,收盤價!C:C)</f>
        <v>9.49</v>
      </c>
      <c r="Z1384" s="2">
        <f t="shared" si="64"/>
        <v>1185460.4739999999</v>
      </c>
      <c r="AA1384" s="2">
        <f t="shared" si="65"/>
        <v>1054359.878</v>
      </c>
    </row>
    <row r="1385" spans="1:27" ht="14.5" customHeight="1">
      <c r="A1385" s="7" t="s">
        <v>6755</v>
      </c>
      <c r="B1385" s="8" t="s">
        <v>3343</v>
      </c>
      <c r="C1385" s="27">
        <v>9813315</v>
      </c>
      <c r="D1385" s="27">
        <v>7751375</v>
      </c>
      <c r="E1385" s="69">
        <v>26.6</v>
      </c>
      <c r="F1385" s="27">
        <v>298711</v>
      </c>
      <c r="G1385" s="27">
        <v>40839</v>
      </c>
      <c r="H1385" s="27">
        <v>8308</v>
      </c>
      <c r="I1385" s="27">
        <v>135312</v>
      </c>
      <c r="J1385" s="27">
        <v>208498</v>
      </c>
      <c r="K1385" s="27">
        <v>150600</v>
      </c>
      <c r="L1385" s="69">
        <v>38.44</v>
      </c>
      <c r="M1385" s="27">
        <v>1000044</v>
      </c>
      <c r="N1385" s="69">
        <v>2.1</v>
      </c>
      <c r="O1385" s="69">
        <v>1.51</v>
      </c>
      <c r="P1385" s="69">
        <v>38.020000000000003</v>
      </c>
      <c r="Q1385" s="27">
        <v>45</v>
      </c>
      <c r="R1385" s="69">
        <v>1.75</v>
      </c>
      <c r="S1385" s="69">
        <v>141.96</v>
      </c>
      <c r="X1385" s="2">
        <f t="shared" si="63"/>
        <v>0.55000000000000004</v>
      </c>
      <c r="Y1385" s="2">
        <f>SUMIF(收盤價!A:A,A1385,收盤價!C:C)</f>
        <v>28.35</v>
      </c>
      <c r="Z1385" s="2">
        <f t="shared" si="64"/>
        <v>3802167.2880000002</v>
      </c>
      <c r="AA1385" s="2">
        <f t="shared" si="65"/>
        <v>2835124.74</v>
      </c>
    </row>
    <row r="1386" spans="1:27" ht="14.5" customHeight="1">
      <c r="A1386" s="7" t="s">
        <v>6756</v>
      </c>
      <c r="B1386" s="8" t="s">
        <v>2061</v>
      </c>
      <c r="C1386" s="27">
        <v>2136270</v>
      </c>
      <c r="D1386" s="27">
        <v>2362205</v>
      </c>
      <c r="E1386" s="69">
        <v>-9.56</v>
      </c>
      <c r="F1386" s="27">
        <v>534006</v>
      </c>
      <c r="G1386" s="27">
        <v>842451</v>
      </c>
      <c r="H1386" s="27">
        <v>4615</v>
      </c>
      <c r="I1386" s="27">
        <v>37371</v>
      </c>
      <c r="J1386" s="27">
        <v>450150</v>
      </c>
      <c r="K1386" s="27">
        <v>696822</v>
      </c>
      <c r="L1386" s="69">
        <v>-35.4</v>
      </c>
      <c r="M1386" s="27">
        <v>909512</v>
      </c>
      <c r="N1386" s="69">
        <v>4.97</v>
      </c>
      <c r="O1386" s="69">
        <v>7.71</v>
      </c>
      <c r="P1386" s="69">
        <v>44.71</v>
      </c>
      <c r="Q1386" s="27">
        <v>83</v>
      </c>
      <c r="R1386" s="69">
        <v>4.43</v>
      </c>
      <c r="S1386" s="69">
        <v>397.75</v>
      </c>
      <c r="X1386" s="2">
        <f t="shared" si="63"/>
        <v>0.17</v>
      </c>
      <c r="Y1386" s="2">
        <f>SUMIF(收盤價!A:A,A1386,收盤價!C:C)</f>
        <v>309</v>
      </c>
      <c r="Z1386" s="2">
        <f t="shared" si="64"/>
        <v>4066428.1520000002</v>
      </c>
      <c r="AA1386" s="2">
        <f t="shared" si="65"/>
        <v>28103920.800000001</v>
      </c>
    </row>
    <row r="1387" spans="1:27" ht="14.5" customHeight="1">
      <c r="A1387" s="7" t="s">
        <v>6757</v>
      </c>
      <c r="B1387" s="8" t="s">
        <v>2077</v>
      </c>
      <c r="C1387" s="27">
        <v>528051</v>
      </c>
      <c r="D1387" s="27">
        <v>552205</v>
      </c>
      <c r="E1387" s="69">
        <v>-4.37</v>
      </c>
      <c r="F1387" s="27">
        <v>14323</v>
      </c>
      <c r="G1387" s="27">
        <v>13771</v>
      </c>
      <c r="H1387" s="27">
        <v>-5106</v>
      </c>
      <c r="I1387" s="27">
        <v>22096</v>
      </c>
      <c r="J1387" s="27">
        <v>19362</v>
      </c>
      <c r="K1387" s="27">
        <v>19150</v>
      </c>
      <c r="L1387" s="69">
        <v>1.1100000000000001</v>
      </c>
      <c r="M1387" s="27">
        <v>1092763</v>
      </c>
      <c r="N1387" s="69">
        <v>0.18</v>
      </c>
      <c r="O1387" s="69">
        <v>0.18</v>
      </c>
      <c r="P1387" s="69">
        <v>1.46</v>
      </c>
      <c r="Q1387" s="27">
        <v>17</v>
      </c>
      <c r="R1387" s="69">
        <v>1.81</v>
      </c>
      <c r="S1387" s="69">
        <v>150.02000000000001</v>
      </c>
      <c r="X1387" s="2">
        <f t="shared" si="63"/>
        <v>0.83</v>
      </c>
      <c r="Y1387" s="2">
        <f>SUMIF(收盤價!A:A,A1387,收盤價!C:C)</f>
        <v>1.97</v>
      </c>
      <c r="Z1387" s="2">
        <f t="shared" si="64"/>
        <v>159543.39799999999</v>
      </c>
      <c r="AA1387" s="2">
        <f t="shared" si="65"/>
        <v>215274.31099999999</v>
      </c>
    </row>
    <row r="1388" spans="1:27" ht="14.5" customHeight="1">
      <c r="A1388" s="7" t="s">
        <v>6758</v>
      </c>
      <c r="B1388" s="8" t="s">
        <v>2099</v>
      </c>
      <c r="C1388" s="27">
        <v>1707626</v>
      </c>
      <c r="D1388" s="27">
        <v>1804308</v>
      </c>
      <c r="E1388" s="69">
        <v>-5.36</v>
      </c>
      <c r="F1388" s="27">
        <v>793146</v>
      </c>
      <c r="G1388" s="27">
        <v>909203</v>
      </c>
      <c r="H1388" s="27">
        <v>12395</v>
      </c>
      <c r="I1388" s="27">
        <v>36263</v>
      </c>
      <c r="J1388" s="27">
        <v>646665</v>
      </c>
      <c r="K1388" s="27">
        <v>757739</v>
      </c>
      <c r="L1388" s="69">
        <v>-14.66</v>
      </c>
      <c r="M1388" s="27">
        <v>690162</v>
      </c>
      <c r="N1388" s="69">
        <v>9.3699999999999992</v>
      </c>
      <c r="O1388" s="69">
        <v>10.98</v>
      </c>
      <c r="P1388" s="69">
        <v>47.79</v>
      </c>
      <c r="Q1388" s="27">
        <v>86</v>
      </c>
      <c r="R1388" s="69">
        <v>5.0199999999999996</v>
      </c>
      <c r="S1388" s="69">
        <v>477.31</v>
      </c>
      <c r="X1388" s="2">
        <f t="shared" si="63"/>
        <v>0.14000000000000001</v>
      </c>
      <c r="Y1388" s="2">
        <f>SUMIF(收盤價!A:A,A1388,收盤價!C:C)</f>
        <v>352</v>
      </c>
      <c r="Z1388" s="2">
        <f t="shared" si="64"/>
        <v>3298284.1979999999</v>
      </c>
      <c r="AA1388" s="2">
        <f t="shared" si="65"/>
        <v>24293702.399999999</v>
      </c>
    </row>
    <row r="1389" spans="1:27" ht="14.5" customHeight="1">
      <c r="A1389" s="7" t="s">
        <v>6759</v>
      </c>
      <c r="B1389" s="8" t="s">
        <v>2103</v>
      </c>
      <c r="C1389" s="27">
        <v>2424505</v>
      </c>
      <c r="D1389" s="27">
        <v>2433494</v>
      </c>
      <c r="E1389" s="69">
        <v>-0.37</v>
      </c>
      <c r="F1389" s="27">
        <v>130226</v>
      </c>
      <c r="G1389" s="27">
        <v>53756</v>
      </c>
      <c r="H1389" s="27">
        <v>55751</v>
      </c>
      <c r="I1389" s="27">
        <v>37701</v>
      </c>
      <c r="J1389" s="27">
        <v>140767</v>
      </c>
      <c r="K1389" s="27">
        <v>72209</v>
      </c>
      <c r="L1389" s="69">
        <v>94.94</v>
      </c>
      <c r="M1389" s="27">
        <v>752869</v>
      </c>
      <c r="N1389" s="69">
        <v>2.06</v>
      </c>
      <c r="O1389" s="69">
        <v>1.01</v>
      </c>
      <c r="P1389" s="69">
        <v>22.11</v>
      </c>
      <c r="Q1389" s="27">
        <v>58</v>
      </c>
      <c r="R1389" s="69">
        <v>1.94</v>
      </c>
      <c r="S1389" s="69">
        <v>161.53</v>
      </c>
      <c r="X1389" s="2">
        <f t="shared" si="63"/>
        <v>0.42</v>
      </c>
      <c r="Y1389" s="2">
        <f>SUMIF(收盤價!A:A,A1389,收盤價!C:C)</f>
        <v>51.2</v>
      </c>
      <c r="Z1389" s="2">
        <f t="shared" si="64"/>
        <v>1664593.3589999999</v>
      </c>
      <c r="AA1389" s="2">
        <f t="shared" si="65"/>
        <v>3854689.2800000003</v>
      </c>
    </row>
    <row r="1390" spans="1:27" ht="14.5" customHeight="1">
      <c r="A1390" s="7" t="s">
        <v>6760</v>
      </c>
      <c r="B1390" s="8" t="s">
        <v>2135</v>
      </c>
      <c r="C1390" s="27">
        <v>2025932</v>
      </c>
      <c r="D1390" s="27">
        <v>1851018</v>
      </c>
      <c r="E1390" s="69">
        <v>9.4499999999999993</v>
      </c>
      <c r="F1390" s="27">
        <v>59237</v>
      </c>
      <c r="G1390" s="27">
        <v>71674</v>
      </c>
      <c r="H1390" s="27">
        <v>-77281</v>
      </c>
      <c r="I1390" s="27">
        <v>-23034</v>
      </c>
      <c r="J1390" s="27">
        <v>-34533</v>
      </c>
      <c r="K1390" s="27">
        <v>33050</v>
      </c>
      <c r="L1390" s="69">
        <v>-204.49</v>
      </c>
      <c r="M1390" s="27">
        <v>1023044</v>
      </c>
      <c r="N1390" s="69">
        <v>-0.34</v>
      </c>
      <c r="O1390" s="69">
        <v>0.34</v>
      </c>
      <c r="P1390" s="69">
        <v>17.16</v>
      </c>
      <c r="Q1390" s="27">
        <v>65</v>
      </c>
      <c r="R1390" s="69">
        <v>2.0099999999999998</v>
      </c>
      <c r="S1390" s="69">
        <v>149.87</v>
      </c>
      <c r="X1390" s="2">
        <f t="shared" si="63"/>
        <v>0.35</v>
      </c>
      <c r="Y1390" s="2">
        <f>SUMIF(收盤價!A:A,A1390,收盤價!C:C)</f>
        <v>26</v>
      </c>
      <c r="Z1390" s="2">
        <f t="shared" si="64"/>
        <v>1755543.504</v>
      </c>
      <c r="AA1390" s="2">
        <f t="shared" si="65"/>
        <v>2659914.4</v>
      </c>
    </row>
    <row r="1391" spans="1:27" ht="14.5" customHeight="1">
      <c r="A1391" s="7" t="s">
        <v>6761</v>
      </c>
      <c r="B1391" s="8" t="s">
        <v>2149</v>
      </c>
      <c r="C1391" s="27">
        <v>1456876</v>
      </c>
      <c r="D1391" s="27">
        <v>2013367</v>
      </c>
      <c r="E1391" s="69">
        <v>-27.64</v>
      </c>
      <c r="F1391" s="27">
        <v>-307388</v>
      </c>
      <c r="G1391" s="27">
        <v>-186187</v>
      </c>
      <c r="H1391" s="27">
        <v>-16029</v>
      </c>
      <c r="I1391" s="27">
        <v>2248</v>
      </c>
      <c r="J1391" s="27">
        <v>-321426</v>
      </c>
      <c r="K1391" s="27">
        <v>-180234</v>
      </c>
      <c r="L1391" s="69">
        <v>-78.34</v>
      </c>
      <c r="M1391" s="27">
        <v>759887</v>
      </c>
      <c r="N1391" s="69">
        <v>-4.3899999999999997</v>
      </c>
      <c r="O1391" s="69">
        <v>-2.5</v>
      </c>
      <c r="P1391" s="69">
        <v>11.76</v>
      </c>
      <c r="Q1391" s="27">
        <v>38</v>
      </c>
      <c r="R1391" s="69">
        <v>0.82</v>
      </c>
      <c r="S1391" s="69">
        <v>45.37</v>
      </c>
      <c r="X1391" s="2">
        <f t="shared" si="63"/>
        <v>0.62</v>
      </c>
      <c r="Y1391" s="2">
        <f>SUMIF(收盤價!A:A,A1391,收盤價!C:C)</f>
        <v>37.049999999999997</v>
      </c>
      <c r="Z1391" s="2">
        <f t="shared" si="64"/>
        <v>893627.11199999996</v>
      </c>
      <c r="AA1391" s="2">
        <f t="shared" si="65"/>
        <v>2815381.335</v>
      </c>
    </row>
    <row r="1392" spans="1:27" ht="14.5" customHeight="1">
      <c r="A1392" s="7" t="s">
        <v>6762</v>
      </c>
      <c r="B1392" s="8" t="s">
        <v>2189</v>
      </c>
      <c r="C1392" s="27">
        <v>1405823</v>
      </c>
      <c r="D1392" s="27">
        <v>1166616</v>
      </c>
      <c r="E1392" s="69">
        <v>20.5</v>
      </c>
      <c r="F1392" s="27">
        <v>8379</v>
      </c>
      <c r="G1392" s="27">
        <v>-39341</v>
      </c>
      <c r="H1392" s="27">
        <v>45121</v>
      </c>
      <c r="I1392" s="27">
        <v>44878</v>
      </c>
      <c r="J1392" s="27">
        <v>51068</v>
      </c>
      <c r="K1392" s="27">
        <v>5043</v>
      </c>
      <c r="L1392" s="69">
        <v>912.65</v>
      </c>
      <c r="M1392" s="27">
        <v>506077</v>
      </c>
      <c r="N1392" s="69">
        <v>1.01</v>
      </c>
      <c r="O1392" s="69">
        <v>0.1</v>
      </c>
      <c r="P1392" s="69">
        <v>27.77</v>
      </c>
      <c r="Q1392" s="27">
        <v>81</v>
      </c>
      <c r="R1392" s="69">
        <v>2.79</v>
      </c>
      <c r="S1392" s="69">
        <v>246.15</v>
      </c>
      <c r="X1392" s="2">
        <f t="shared" si="63"/>
        <v>0.19</v>
      </c>
      <c r="Y1392" s="2">
        <f>SUMIF(收盤價!A:A,A1392,收盤價!C:C)</f>
        <v>20.75</v>
      </c>
      <c r="Z1392" s="2">
        <f t="shared" si="64"/>
        <v>1405375.8289999999</v>
      </c>
      <c r="AA1392" s="2">
        <f t="shared" si="65"/>
        <v>1050109.7749999999</v>
      </c>
    </row>
    <row r="1393" spans="1:27" ht="14.5" customHeight="1">
      <c r="A1393" s="7" t="s">
        <v>6763</v>
      </c>
      <c r="B1393" s="8" t="s">
        <v>2215</v>
      </c>
      <c r="C1393" s="27">
        <v>1614912</v>
      </c>
      <c r="D1393" s="27">
        <v>1588223</v>
      </c>
      <c r="E1393" s="69">
        <v>1.68</v>
      </c>
      <c r="F1393" s="27">
        <v>96361</v>
      </c>
      <c r="G1393" s="27">
        <v>162749</v>
      </c>
      <c r="H1393" s="27">
        <v>25575</v>
      </c>
      <c r="I1393" s="27">
        <v>60275</v>
      </c>
      <c r="J1393" s="27">
        <v>94180</v>
      </c>
      <c r="K1393" s="27">
        <v>172030</v>
      </c>
      <c r="L1393" s="69">
        <v>-45.25</v>
      </c>
      <c r="M1393" s="27">
        <v>905958</v>
      </c>
      <c r="N1393" s="69">
        <v>1.1299999999999999</v>
      </c>
      <c r="O1393" s="69">
        <v>2.48</v>
      </c>
      <c r="P1393" s="69">
        <v>19.57</v>
      </c>
      <c r="Q1393" s="27">
        <v>77</v>
      </c>
      <c r="R1393" s="69">
        <v>3</v>
      </c>
      <c r="S1393" s="69">
        <v>254.28</v>
      </c>
      <c r="X1393" s="2">
        <f t="shared" si="63"/>
        <v>0.23</v>
      </c>
      <c r="Y1393" s="2">
        <f>SUMIF(收盤價!A:A,A1393,收盤價!C:C)</f>
        <v>35</v>
      </c>
      <c r="Z1393" s="2">
        <f t="shared" si="64"/>
        <v>1772959.8059999999</v>
      </c>
      <c r="AA1393" s="2">
        <f t="shared" si="65"/>
        <v>3170853</v>
      </c>
    </row>
    <row r="1394" spans="1:27" ht="14.5" customHeight="1">
      <c r="A1394" s="7" t="s">
        <v>6764</v>
      </c>
      <c r="B1394" s="8" t="s">
        <v>2245</v>
      </c>
      <c r="C1394" s="27">
        <v>2160456</v>
      </c>
      <c r="D1394" s="27">
        <v>2352118</v>
      </c>
      <c r="E1394" s="69">
        <v>-8.15</v>
      </c>
      <c r="F1394" s="27">
        <v>59009</v>
      </c>
      <c r="G1394" s="27">
        <v>-69139</v>
      </c>
      <c r="H1394" s="27">
        <v>5952</v>
      </c>
      <c r="I1394" s="27">
        <v>42992</v>
      </c>
      <c r="J1394" s="27">
        <v>67040</v>
      </c>
      <c r="K1394" s="27">
        <v>-28096</v>
      </c>
      <c r="L1394" s="69">
        <v>338.61</v>
      </c>
      <c r="M1394" s="27">
        <v>608876</v>
      </c>
      <c r="N1394" s="69">
        <v>1.1000000000000001</v>
      </c>
      <c r="O1394" s="69">
        <v>-0.46</v>
      </c>
      <c r="P1394" s="69">
        <v>21.43</v>
      </c>
      <c r="Q1394" s="27">
        <v>66</v>
      </c>
      <c r="R1394" s="69">
        <v>2.2400000000000002</v>
      </c>
      <c r="S1394" s="69">
        <v>199.68</v>
      </c>
      <c r="X1394" s="2">
        <f t="shared" si="63"/>
        <v>0.34</v>
      </c>
      <c r="Y1394" s="2">
        <f>SUMIF(收盤價!A:A,A1394,收盤價!C:C)</f>
        <v>20.9</v>
      </c>
      <c r="Z1394" s="2">
        <f t="shared" si="64"/>
        <v>1304821.2679999999</v>
      </c>
      <c r="AA1394" s="2">
        <f t="shared" si="65"/>
        <v>1272550.8399999999</v>
      </c>
    </row>
    <row r="1395" spans="1:27" ht="14.5" customHeight="1">
      <c r="A1395" s="7" t="s">
        <v>6765</v>
      </c>
      <c r="B1395" s="8" t="s">
        <v>2257</v>
      </c>
      <c r="C1395" s="27">
        <v>1754065</v>
      </c>
      <c r="D1395" s="27">
        <v>1756664</v>
      </c>
      <c r="E1395" s="69">
        <v>-0.15</v>
      </c>
      <c r="F1395" s="27">
        <v>278986</v>
      </c>
      <c r="G1395" s="27">
        <v>268807</v>
      </c>
      <c r="H1395" s="27">
        <v>124234</v>
      </c>
      <c r="I1395" s="27">
        <v>64578</v>
      </c>
      <c r="J1395" s="27">
        <v>250111</v>
      </c>
      <c r="K1395" s="27">
        <v>220752</v>
      </c>
      <c r="L1395" s="69">
        <v>13.3</v>
      </c>
      <c r="M1395" s="27">
        <v>607118</v>
      </c>
      <c r="N1395" s="69">
        <v>4.1500000000000004</v>
      </c>
      <c r="O1395" s="69">
        <v>3.76</v>
      </c>
      <c r="P1395" s="69">
        <v>32.31</v>
      </c>
      <c r="Q1395" s="27">
        <v>67</v>
      </c>
      <c r="R1395" s="69">
        <v>3.01</v>
      </c>
      <c r="S1395" s="69">
        <v>260.13</v>
      </c>
      <c r="X1395" s="2">
        <f t="shared" si="63"/>
        <v>0.33</v>
      </c>
      <c r="Y1395" s="2">
        <f>SUMIF(收盤價!A:A,A1395,收盤價!C:C)</f>
        <v>93.8</v>
      </c>
      <c r="Z1395" s="2">
        <f t="shared" si="64"/>
        <v>1961598.2580000001</v>
      </c>
      <c r="AA1395" s="2">
        <f t="shared" si="65"/>
        <v>5694766.8399999999</v>
      </c>
    </row>
    <row r="1396" spans="1:27" ht="14.5" customHeight="1">
      <c r="A1396" s="7" t="s">
        <v>6766</v>
      </c>
      <c r="B1396" s="8" t="s">
        <v>2263</v>
      </c>
      <c r="C1396" s="27">
        <v>754258</v>
      </c>
      <c r="D1396" s="27">
        <v>624368</v>
      </c>
      <c r="E1396" s="69">
        <v>20.8</v>
      </c>
      <c r="F1396" s="27">
        <v>52946</v>
      </c>
      <c r="G1396" s="27">
        <v>836</v>
      </c>
      <c r="H1396" s="27">
        <v>-4384</v>
      </c>
      <c r="I1396" s="27">
        <v>30464</v>
      </c>
      <c r="J1396" s="27">
        <v>31429</v>
      </c>
      <c r="K1396" s="27">
        <v>24860</v>
      </c>
      <c r="L1396" s="69">
        <v>26.42</v>
      </c>
      <c r="M1396" s="27">
        <v>549706</v>
      </c>
      <c r="N1396" s="69">
        <v>0.56999999999999995</v>
      </c>
      <c r="O1396" s="69">
        <v>0.45</v>
      </c>
      <c r="P1396" s="69">
        <v>11.49</v>
      </c>
      <c r="Q1396" s="27">
        <v>53</v>
      </c>
      <c r="R1396" s="69">
        <v>1.58</v>
      </c>
      <c r="S1396" s="69">
        <v>126.52</v>
      </c>
      <c r="X1396" s="2">
        <f t="shared" si="63"/>
        <v>0.47</v>
      </c>
      <c r="Y1396" s="2">
        <f>SUMIF(收盤價!A:A,A1396,收盤價!C:C)</f>
        <v>15.5</v>
      </c>
      <c r="Z1396" s="2">
        <f t="shared" si="64"/>
        <v>631612.19400000002</v>
      </c>
      <c r="AA1396" s="2">
        <f t="shared" si="65"/>
        <v>852044.3</v>
      </c>
    </row>
    <row r="1397" spans="1:27" ht="14.5" customHeight="1">
      <c r="A1397" s="7" t="s">
        <v>6767</v>
      </c>
      <c r="B1397" s="8" t="s">
        <v>2307</v>
      </c>
      <c r="C1397" s="27">
        <v>7939870</v>
      </c>
      <c r="D1397" s="27">
        <v>8618339</v>
      </c>
      <c r="E1397" s="69">
        <v>-7.87</v>
      </c>
      <c r="F1397" s="27">
        <v>478558</v>
      </c>
      <c r="G1397" s="27">
        <v>437293</v>
      </c>
      <c r="H1397" s="27">
        <v>96802</v>
      </c>
      <c r="I1397" s="27">
        <v>164207</v>
      </c>
      <c r="J1397" s="27">
        <v>424479</v>
      </c>
      <c r="K1397" s="27">
        <v>465414</v>
      </c>
      <c r="L1397" s="69">
        <v>-8.8000000000000007</v>
      </c>
      <c r="M1397" s="27">
        <v>490609</v>
      </c>
      <c r="N1397" s="69">
        <v>8.65</v>
      </c>
      <c r="O1397" s="69">
        <v>9.49</v>
      </c>
      <c r="P1397" s="69">
        <v>57.52</v>
      </c>
      <c r="Q1397" s="27">
        <v>46</v>
      </c>
      <c r="R1397" s="69">
        <v>1.47</v>
      </c>
      <c r="S1397" s="69">
        <v>118.97</v>
      </c>
      <c r="X1397" s="2">
        <f t="shared" si="63"/>
        <v>0.54</v>
      </c>
      <c r="Y1397" s="2">
        <f>SUMIF(收盤價!A:A,A1397,收盤價!C:C)</f>
        <v>121.5</v>
      </c>
      <c r="Z1397" s="2">
        <f t="shared" si="64"/>
        <v>2821982.9679999999</v>
      </c>
      <c r="AA1397" s="2">
        <f t="shared" si="65"/>
        <v>5960899.3499999996</v>
      </c>
    </row>
    <row r="1398" spans="1:27" ht="14.5" customHeight="1">
      <c r="A1398" s="7" t="s">
        <v>6768</v>
      </c>
      <c r="B1398" s="8" t="s">
        <v>2309</v>
      </c>
      <c r="C1398" s="27">
        <v>1517323</v>
      </c>
      <c r="D1398" s="27">
        <v>1132281</v>
      </c>
      <c r="E1398" s="69">
        <v>34.01</v>
      </c>
      <c r="F1398" s="27">
        <v>62994</v>
      </c>
      <c r="G1398" s="27">
        <v>-62007</v>
      </c>
      <c r="H1398" s="27">
        <v>-16452</v>
      </c>
      <c r="I1398" s="27">
        <v>-3838</v>
      </c>
      <c r="J1398" s="27">
        <v>47666</v>
      </c>
      <c r="K1398" s="27">
        <v>-61939</v>
      </c>
      <c r="L1398" s="69">
        <v>176.96</v>
      </c>
      <c r="M1398" s="27">
        <v>591231</v>
      </c>
      <c r="N1398" s="69">
        <v>0.89</v>
      </c>
      <c r="O1398" s="69">
        <v>-2.4500000000000002</v>
      </c>
      <c r="P1398" s="69">
        <v>19.09</v>
      </c>
      <c r="Q1398" s="27">
        <v>68</v>
      </c>
      <c r="R1398" s="69">
        <v>2.2999999999999998</v>
      </c>
      <c r="S1398" s="69">
        <v>136.9</v>
      </c>
      <c r="X1398" s="2">
        <f t="shared" si="63"/>
        <v>0.32</v>
      </c>
      <c r="Y1398" s="2">
        <f>SUMIF(收盤價!A:A,A1398,收盤價!C:C)</f>
        <v>36.4</v>
      </c>
      <c r="Z1398" s="2">
        <f t="shared" si="64"/>
        <v>1128659.9789999998</v>
      </c>
      <c r="AA1398" s="2">
        <f t="shared" si="65"/>
        <v>2152080.84</v>
      </c>
    </row>
    <row r="1399" spans="1:27" ht="14.5" customHeight="1">
      <c r="A1399" s="7" t="s">
        <v>6769</v>
      </c>
      <c r="B1399" s="8" t="s">
        <v>2347</v>
      </c>
      <c r="C1399" s="27">
        <v>623945</v>
      </c>
      <c r="D1399" s="27">
        <v>754677</v>
      </c>
      <c r="E1399" s="69">
        <v>-17.32</v>
      </c>
      <c r="F1399" s="27">
        <v>-157123</v>
      </c>
      <c r="G1399" s="27">
        <v>-86027</v>
      </c>
      <c r="H1399" s="27">
        <v>-30191</v>
      </c>
      <c r="I1399" s="27">
        <v>-5232</v>
      </c>
      <c r="J1399" s="27">
        <v>-169900</v>
      </c>
      <c r="K1399" s="27">
        <v>-59625</v>
      </c>
      <c r="L1399" s="69">
        <v>-184.95</v>
      </c>
      <c r="M1399" s="27">
        <v>580897</v>
      </c>
      <c r="N1399" s="69">
        <v>-2.92</v>
      </c>
      <c r="O1399" s="69">
        <v>-1.23</v>
      </c>
      <c r="P1399" s="69">
        <v>6.49</v>
      </c>
      <c r="Q1399" s="27">
        <v>42</v>
      </c>
      <c r="R1399" s="69">
        <v>1.88</v>
      </c>
      <c r="S1399" s="69">
        <v>131.19999999999999</v>
      </c>
      <c r="X1399" s="2">
        <f t="shared" si="63"/>
        <v>0.57999999999999996</v>
      </c>
      <c r="Y1399" s="2">
        <f>SUMIF(收盤價!A:A,A1399,收盤價!C:C)</f>
        <v>11.9</v>
      </c>
      <c r="Z1399" s="2">
        <f t="shared" si="64"/>
        <v>377002.15300000005</v>
      </c>
      <c r="AA1399" s="2">
        <f t="shared" si="65"/>
        <v>691267.42999999993</v>
      </c>
    </row>
    <row r="1400" spans="1:27" ht="14.5" customHeight="1">
      <c r="A1400" s="7" t="s">
        <v>6770</v>
      </c>
      <c r="B1400" s="8" t="s">
        <v>2361</v>
      </c>
      <c r="C1400" s="27">
        <v>626606</v>
      </c>
      <c r="D1400" s="27">
        <v>696410</v>
      </c>
      <c r="E1400" s="69">
        <v>-10.02</v>
      </c>
      <c r="F1400" s="27">
        <v>-26416</v>
      </c>
      <c r="G1400" s="27">
        <v>37749</v>
      </c>
      <c r="H1400" s="27">
        <v>-8996</v>
      </c>
      <c r="I1400" s="27">
        <v>-7454</v>
      </c>
      <c r="J1400" s="27">
        <v>-37785</v>
      </c>
      <c r="K1400" s="27">
        <v>10517</v>
      </c>
      <c r="L1400" s="69">
        <v>-459.28</v>
      </c>
      <c r="M1400" s="27">
        <v>331683</v>
      </c>
      <c r="N1400" s="69">
        <v>-1.2</v>
      </c>
      <c r="O1400" s="69">
        <v>0.33</v>
      </c>
      <c r="P1400" s="69">
        <v>12.31</v>
      </c>
      <c r="Q1400" s="27">
        <v>65</v>
      </c>
      <c r="R1400" s="69">
        <v>2.2999999999999998</v>
      </c>
      <c r="S1400" s="69">
        <v>169.43</v>
      </c>
      <c r="X1400" s="2">
        <f t="shared" si="63"/>
        <v>0.35</v>
      </c>
      <c r="Y1400" s="2">
        <f>SUMIF(收盤價!A:A,A1400,收盤價!C:C)</f>
        <v>15.65</v>
      </c>
      <c r="Z1400" s="2">
        <f t="shared" si="64"/>
        <v>408301.77299999999</v>
      </c>
      <c r="AA1400" s="2">
        <f t="shared" si="65"/>
        <v>519083.89500000002</v>
      </c>
    </row>
    <row r="1401" spans="1:27" ht="14.5" customHeight="1">
      <c r="A1401" s="7" t="s">
        <v>6771</v>
      </c>
      <c r="B1401" s="8" t="s">
        <v>2367</v>
      </c>
      <c r="C1401" s="27">
        <v>470741</v>
      </c>
      <c r="D1401" s="27">
        <v>455452</v>
      </c>
      <c r="E1401" s="69">
        <v>3.36</v>
      </c>
      <c r="F1401" s="27">
        <v>78453</v>
      </c>
      <c r="G1401" s="27">
        <v>50814</v>
      </c>
      <c r="H1401" s="27">
        <v>49567</v>
      </c>
      <c r="I1401" s="27">
        <v>9966</v>
      </c>
      <c r="J1401" s="27">
        <v>111440</v>
      </c>
      <c r="K1401" s="27">
        <v>46824</v>
      </c>
      <c r="L1401" s="69">
        <v>138</v>
      </c>
      <c r="M1401" s="27">
        <v>245915</v>
      </c>
      <c r="N1401" s="69">
        <v>4.6399999999999997</v>
      </c>
      <c r="O1401" s="69">
        <v>1.91</v>
      </c>
      <c r="P1401" s="69">
        <v>21.08</v>
      </c>
      <c r="Q1401" s="27">
        <v>56</v>
      </c>
      <c r="R1401" s="69">
        <v>2.86</v>
      </c>
      <c r="S1401" s="69">
        <v>263.61</v>
      </c>
      <c r="X1401" s="2">
        <f t="shared" si="63"/>
        <v>0.44</v>
      </c>
      <c r="Y1401" s="2">
        <f>SUMIF(收盤價!A:A,A1401,收盤價!C:C)</f>
        <v>43.7</v>
      </c>
      <c r="Z1401" s="2">
        <f t="shared" si="64"/>
        <v>518388.81999999995</v>
      </c>
      <c r="AA1401" s="2">
        <f t="shared" si="65"/>
        <v>1074648.55</v>
      </c>
    </row>
    <row r="1402" spans="1:27" ht="14.5" customHeight="1">
      <c r="A1402" s="7" t="s">
        <v>6772</v>
      </c>
      <c r="B1402" s="8" t="s">
        <v>2597</v>
      </c>
      <c r="C1402" s="27">
        <v>851673</v>
      </c>
      <c r="D1402" s="27">
        <v>891977</v>
      </c>
      <c r="E1402" s="69">
        <v>-4.5199999999999996</v>
      </c>
      <c r="F1402" s="27">
        <v>-26074</v>
      </c>
      <c r="G1402" s="27">
        <v>-90121</v>
      </c>
      <c r="H1402" s="27">
        <v>1541</v>
      </c>
      <c r="I1402" s="27">
        <v>12213</v>
      </c>
      <c r="J1402" s="27">
        <v>-37809</v>
      </c>
      <c r="K1402" s="27">
        <v>-83703</v>
      </c>
      <c r="L1402" s="69">
        <v>54.83</v>
      </c>
      <c r="M1402" s="27">
        <v>902793</v>
      </c>
      <c r="N1402" s="69">
        <v>-0.42</v>
      </c>
      <c r="O1402" s="69">
        <v>-0.93</v>
      </c>
      <c r="P1402" s="69">
        <v>8.49</v>
      </c>
      <c r="Q1402" s="27">
        <v>56</v>
      </c>
      <c r="R1402" s="69">
        <v>2.63</v>
      </c>
      <c r="S1402" s="69">
        <v>245.18</v>
      </c>
      <c r="X1402" s="2">
        <f t="shared" si="63"/>
        <v>0.44</v>
      </c>
      <c r="Y1402" s="2">
        <f>SUMIF(收盤價!A:A,A1402,收盤價!C:C)</f>
        <v>16.7</v>
      </c>
      <c r="Z1402" s="2">
        <f t="shared" si="64"/>
        <v>766471.25699999998</v>
      </c>
      <c r="AA1402" s="2">
        <f t="shared" si="65"/>
        <v>1507664.31</v>
      </c>
    </row>
    <row r="1403" spans="1:27" ht="14.5" customHeight="1">
      <c r="A1403" s="7" t="s">
        <v>6773</v>
      </c>
      <c r="B1403" s="8" t="s">
        <v>2599</v>
      </c>
      <c r="C1403" s="27">
        <v>63987</v>
      </c>
      <c r="D1403" s="27">
        <v>86249</v>
      </c>
      <c r="E1403" s="69">
        <v>-25.81</v>
      </c>
      <c r="F1403" s="27">
        <v>-54090</v>
      </c>
      <c r="G1403" s="27">
        <v>-99146</v>
      </c>
      <c r="H1403" s="27">
        <v>199942</v>
      </c>
      <c r="I1403" s="27">
        <v>-39140</v>
      </c>
      <c r="J1403" s="27">
        <v>53423</v>
      </c>
      <c r="K1403" s="27">
        <v>-351208</v>
      </c>
      <c r="L1403" s="69">
        <v>115.21</v>
      </c>
      <c r="M1403" s="27">
        <v>368225</v>
      </c>
      <c r="N1403" s="69">
        <v>1.44</v>
      </c>
      <c r="O1403" s="69">
        <v>-8.5299999999999994</v>
      </c>
      <c r="P1403" s="69">
        <v>80.52</v>
      </c>
      <c r="Q1403" s="27">
        <v>95</v>
      </c>
      <c r="R1403" s="69">
        <v>21.31</v>
      </c>
      <c r="S1403" s="69">
        <v>2106.85</v>
      </c>
      <c r="X1403" s="2">
        <f t="shared" si="63"/>
        <v>0.05</v>
      </c>
      <c r="Y1403" s="2">
        <f>SUMIF(收盤價!A:A,A1403,收盤價!C:C)</f>
        <v>58.5</v>
      </c>
      <c r="Z1403" s="2">
        <f t="shared" si="64"/>
        <v>2964947.7</v>
      </c>
      <c r="AA1403" s="2">
        <f t="shared" si="65"/>
        <v>2154116.25</v>
      </c>
    </row>
    <row r="1404" spans="1:27" ht="14.5" customHeight="1">
      <c r="A1404" s="7" t="s">
        <v>6774</v>
      </c>
      <c r="B1404" s="8" t="s">
        <v>2603</v>
      </c>
      <c r="C1404" s="27">
        <v>817990</v>
      </c>
      <c r="D1404" s="27">
        <v>787751</v>
      </c>
      <c r="E1404" s="69">
        <v>3.84</v>
      </c>
      <c r="F1404" s="27">
        <v>158405</v>
      </c>
      <c r="G1404" s="27">
        <v>131431</v>
      </c>
      <c r="H1404" s="27">
        <v>4564</v>
      </c>
      <c r="I1404" s="27">
        <v>25610</v>
      </c>
      <c r="J1404" s="27">
        <v>129742</v>
      </c>
      <c r="K1404" s="27">
        <v>128985</v>
      </c>
      <c r="L1404" s="69">
        <v>0.59</v>
      </c>
      <c r="M1404" s="27">
        <v>782169</v>
      </c>
      <c r="N1404" s="69">
        <v>1.66</v>
      </c>
      <c r="O1404" s="69">
        <v>1.66</v>
      </c>
      <c r="P1404" s="69">
        <v>19</v>
      </c>
      <c r="Q1404" s="27">
        <v>91</v>
      </c>
      <c r="R1404" s="69">
        <v>8.8699999999999992</v>
      </c>
      <c r="S1404" s="69">
        <v>774.14</v>
      </c>
      <c r="X1404" s="2">
        <f t="shared" si="63"/>
        <v>0.09</v>
      </c>
      <c r="Y1404" s="2">
        <f>SUMIF(收盤價!A:A,A1404,收盤價!C:C)</f>
        <v>40.299999999999997</v>
      </c>
      <c r="Z1404" s="2">
        <f t="shared" si="64"/>
        <v>1486121.1</v>
      </c>
      <c r="AA1404" s="2">
        <f t="shared" si="65"/>
        <v>3152141.07</v>
      </c>
    </row>
    <row r="1405" spans="1:27" ht="14.5" customHeight="1">
      <c r="A1405" s="7" t="s">
        <v>6775</v>
      </c>
      <c r="B1405" s="8" t="s">
        <v>2605</v>
      </c>
      <c r="C1405" s="27">
        <v>780209</v>
      </c>
      <c r="D1405" s="27">
        <v>1082411</v>
      </c>
      <c r="E1405" s="69">
        <v>-27.92</v>
      </c>
      <c r="F1405" s="27">
        <v>-36747</v>
      </c>
      <c r="G1405" s="27">
        <v>50292</v>
      </c>
      <c r="H1405" s="27">
        <v>35765</v>
      </c>
      <c r="I1405" s="27">
        <v>84217</v>
      </c>
      <c r="J1405" s="27">
        <v>3074</v>
      </c>
      <c r="K1405" s="27">
        <v>101492</v>
      </c>
      <c r="L1405" s="69">
        <v>-96.97</v>
      </c>
      <c r="M1405" s="27">
        <v>933568</v>
      </c>
      <c r="N1405" s="69">
        <v>0.03</v>
      </c>
      <c r="O1405" s="69">
        <v>1.0900000000000001</v>
      </c>
      <c r="P1405" s="69">
        <v>27.16</v>
      </c>
      <c r="Q1405" s="27">
        <v>84</v>
      </c>
      <c r="R1405" s="69">
        <v>9.01</v>
      </c>
      <c r="S1405" s="69">
        <v>863.79</v>
      </c>
      <c r="X1405" s="2">
        <f t="shared" si="63"/>
        <v>0.16</v>
      </c>
      <c r="Y1405" s="2">
        <f>SUMIF(收盤價!A:A,A1405,收盤價!C:C)</f>
        <v>19.350000000000001</v>
      </c>
      <c r="Z1405" s="2">
        <f t="shared" si="64"/>
        <v>2535570.6880000001</v>
      </c>
      <c r="AA1405" s="2">
        <f t="shared" si="65"/>
        <v>1806454.08</v>
      </c>
    </row>
    <row r="1406" spans="1:27" ht="14.5" customHeight="1">
      <c r="A1406" s="7" t="s">
        <v>6776</v>
      </c>
      <c r="B1406" s="8" t="s">
        <v>2637</v>
      </c>
      <c r="C1406" s="27">
        <v>1190446</v>
      </c>
      <c r="D1406" s="27">
        <v>1525075</v>
      </c>
      <c r="E1406" s="69">
        <v>-21.94</v>
      </c>
      <c r="F1406" s="27">
        <v>-224548</v>
      </c>
      <c r="G1406" s="27">
        <v>-693666</v>
      </c>
      <c r="H1406" s="27">
        <v>16858</v>
      </c>
      <c r="I1406" s="27">
        <v>-934</v>
      </c>
      <c r="J1406" s="27">
        <v>-207690</v>
      </c>
      <c r="K1406" s="27">
        <v>-695017</v>
      </c>
      <c r="L1406" s="69">
        <v>70.12</v>
      </c>
      <c r="M1406" s="27">
        <v>1202263</v>
      </c>
      <c r="N1406" s="69">
        <v>-2.02</v>
      </c>
      <c r="O1406" s="69">
        <v>-6.95</v>
      </c>
      <c r="P1406" s="69">
        <v>10.82</v>
      </c>
      <c r="Q1406" s="27">
        <v>56</v>
      </c>
      <c r="R1406" s="69">
        <v>1.01</v>
      </c>
      <c r="S1406" s="69">
        <v>71.05</v>
      </c>
      <c r="X1406" s="2">
        <f t="shared" si="63"/>
        <v>0.44</v>
      </c>
      <c r="Y1406" s="2">
        <f>SUMIF(收盤價!A:A,A1406,收盤價!C:C)</f>
        <v>25.55</v>
      </c>
      <c r="Z1406" s="2">
        <f t="shared" si="64"/>
        <v>1300848.5660000001</v>
      </c>
      <c r="AA1406" s="2">
        <f t="shared" si="65"/>
        <v>3071781.9650000003</v>
      </c>
    </row>
    <row r="1407" spans="1:27" ht="14.5" customHeight="1">
      <c r="A1407" s="7" t="s">
        <v>6777</v>
      </c>
      <c r="B1407" s="8" t="s">
        <v>2741</v>
      </c>
      <c r="C1407" s="27">
        <v>121804</v>
      </c>
      <c r="D1407" s="27">
        <v>88924</v>
      </c>
      <c r="E1407" s="69">
        <v>36.979999999999997</v>
      </c>
      <c r="F1407" s="27">
        <v>-24483</v>
      </c>
      <c r="G1407" s="27">
        <v>133301</v>
      </c>
      <c r="H1407" s="27">
        <v>-505</v>
      </c>
      <c r="I1407" s="27">
        <v>1505</v>
      </c>
      <c r="J1407" s="27">
        <v>-24988</v>
      </c>
      <c r="K1407" s="27">
        <v>134806</v>
      </c>
      <c r="L1407" s="69">
        <v>-118.54</v>
      </c>
      <c r="M1407" s="27">
        <v>259503</v>
      </c>
      <c r="N1407" s="69">
        <v>-0.96</v>
      </c>
      <c r="O1407" s="69">
        <v>5.19</v>
      </c>
      <c r="P1407" s="69">
        <v>5.64</v>
      </c>
      <c r="Q1407" s="27">
        <v>81</v>
      </c>
      <c r="R1407" s="69">
        <v>5.7</v>
      </c>
      <c r="S1407" s="69">
        <v>514.88</v>
      </c>
      <c r="X1407" s="2">
        <f t="shared" si="63"/>
        <v>0.19</v>
      </c>
      <c r="Y1407" s="2">
        <f>SUMIF(收盤價!A:A,A1407,收盤價!C:C)</f>
        <v>0</v>
      </c>
      <c r="Z1407" s="2">
        <f t="shared" si="64"/>
        <v>146359.69199999998</v>
      </c>
      <c r="AA1407" s="2">
        <f t="shared" si="65"/>
        <v>0</v>
      </c>
    </row>
    <row r="1408" spans="1:27" ht="14.5" customHeight="1">
      <c r="A1408" s="7" t="s">
        <v>6778</v>
      </c>
      <c r="B1408" s="8" t="s">
        <v>2747</v>
      </c>
      <c r="C1408" s="27">
        <v>1781551</v>
      </c>
      <c r="D1408" s="27">
        <v>1652116</v>
      </c>
      <c r="E1408" s="69">
        <v>7.83</v>
      </c>
      <c r="F1408" s="27">
        <v>108423</v>
      </c>
      <c r="G1408" s="27">
        <v>65425</v>
      </c>
      <c r="H1408" s="27">
        <v>16612</v>
      </c>
      <c r="I1408" s="27">
        <v>25449</v>
      </c>
      <c r="J1408" s="27">
        <v>103349</v>
      </c>
      <c r="K1408" s="27">
        <v>76910</v>
      </c>
      <c r="L1408" s="69">
        <v>34.380000000000003</v>
      </c>
      <c r="M1408" s="27">
        <v>750000</v>
      </c>
      <c r="N1408" s="69">
        <v>1.38</v>
      </c>
      <c r="O1408" s="69">
        <v>1.03</v>
      </c>
      <c r="P1408" s="69">
        <v>15.51</v>
      </c>
      <c r="Q1408" s="27">
        <v>66</v>
      </c>
      <c r="R1408" s="69">
        <v>2.27</v>
      </c>
      <c r="S1408" s="69">
        <v>183.85</v>
      </c>
      <c r="X1408" s="2">
        <f t="shared" si="63"/>
        <v>0.34</v>
      </c>
      <c r="Y1408" s="2">
        <f>SUMIF(收盤價!A:A,A1408,收盤價!C:C)</f>
        <v>19</v>
      </c>
      <c r="Z1408" s="2">
        <f t="shared" si="64"/>
        <v>1163250</v>
      </c>
      <c r="AA1408" s="2">
        <f t="shared" si="65"/>
        <v>1425000</v>
      </c>
    </row>
    <row r="1409" spans="1:27" ht="14.5" customHeight="1">
      <c r="A1409" s="7" t="s">
        <v>6779</v>
      </c>
      <c r="B1409" s="8" t="s">
        <v>2889</v>
      </c>
      <c r="C1409" s="27">
        <v>991259</v>
      </c>
      <c r="D1409" s="27">
        <v>1026786</v>
      </c>
      <c r="E1409" s="69">
        <v>-3.46</v>
      </c>
      <c r="F1409" s="27">
        <v>18845</v>
      </c>
      <c r="G1409" s="27">
        <v>-1108</v>
      </c>
      <c r="H1409" s="27">
        <v>3034</v>
      </c>
      <c r="I1409" s="27">
        <v>8698</v>
      </c>
      <c r="J1409" s="27">
        <v>14268</v>
      </c>
      <c r="K1409" s="27">
        <v>1528</v>
      </c>
      <c r="L1409" s="69">
        <v>833.77</v>
      </c>
      <c r="M1409" s="27">
        <v>574004</v>
      </c>
      <c r="N1409" s="69">
        <v>0.25</v>
      </c>
      <c r="O1409" s="69">
        <v>0.02</v>
      </c>
      <c r="P1409" s="69">
        <v>10.59</v>
      </c>
      <c r="Q1409" s="27">
        <v>64</v>
      </c>
      <c r="R1409" s="69">
        <v>2.39</v>
      </c>
      <c r="S1409" s="69">
        <v>188.43</v>
      </c>
      <c r="X1409" s="2">
        <f t="shared" si="63"/>
        <v>0.36</v>
      </c>
      <c r="Y1409" s="2">
        <f>SUMIF(收盤價!A:A,A1409,收盤價!C:C)</f>
        <v>10.45</v>
      </c>
      <c r="Z1409" s="2">
        <f t="shared" si="64"/>
        <v>607870.23600000003</v>
      </c>
      <c r="AA1409" s="2">
        <f t="shared" si="65"/>
        <v>599834.17999999993</v>
      </c>
    </row>
    <row r="1410" spans="1:27" ht="14.5" customHeight="1">
      <c r="A1410" s="7" t="s">
        <v>6780</v>
      </c>
      <c r="B1410" s="8" t="s">
        <v>2923</v>
      </c>
      <c r="C1410" s="27">
        <v>5631843</v>
      </c>
      <c r="D1410" s="27">
        <v>6261326</v>
      </c>
      <c r="E1410" s="69">
        <v>-10.050000000000001</v>
      </c>
      <c r="F1410" s="27">
        <v>309569</v>
      </c>
      <c r="G1410" s="27">
        <v>145713</v>
      </c>
      <c r="H1410" s="27">
        <v>23861</v>
      </c>
      <c r="I1410" s="27">
        <v>329480</v>
      </c>
      <c r="J1410" s="27">
        <v>251500</v>
      </c>
      <c r="K1410" s="27">
        <v>375384</v>
      </c>
      <c r="L1410" s="69">
        <v>-33</v>
      </c>
      <c r="M1410" s="27">
        <v>830069</v>
      </c>
      <c r="N1410" s="69">
        <v>3.03</v>
      </c>
      <c r="O1410" s="69">
        <v>4.51</v>
      </c>
      <c r="P1410" s="69">
        <v>25.08</v>
      </c>
      <c r="Q1410" s="27">
        <v>39</v>
      </c>
      <c r="R1410" s="69">
        <v>1.52</v>
      </c>
      <c r="S1410" s="69">
        <v>124.89</v>
      </c>
      <c r="X1410" s="2">
        <f t="shared" si="63"/>
        <v>0.61</v>
      </c>
      <c r="Y1410" s="2">
        <f>SUMIF(收盤價!A:A,A1410,收盤價!C:C)</f>
        <v>39.75</v>
      </c>
      <c r="Z1410" s="2">
        <f t="shared" si="64"/>
        <v>2081813.0519999999</v>
      </c>
      <c r="AA1410" s="2">
        <f t="shared" si="65"/>
        <v>3299524.2749999999</v>
      </c>
    </row>
    <row r="1411" spans="1:27" ht="14.5" customHeight="1">
      <c r="A1411" s="7" t="s">
        <v>6781</v>
      </c>
      <c r="B1411" s="8" t="s">
        <v>2947</v>
      </c>
      <c r="C1411" s="27">
        <v>4528267</v>
      </c>
      <c r="D1411" s="27">
        <v>4342956</v>
      </c>
      <c r="E1411" s="69">
        <v>4.2699999999999996</v>
      </c>
      <c r="F1411" s="27">
        <v>117719</v>
      </c>
      <c r="G1411" s="27">
        <v>138355</v>
      </c>
      <c r="H1411" s="27">
        <v>-3042</v>
      </c>
      <c r="I1411" s="27">
        <v>-5379</v>
      </c>
      <c r="J1411" s="27">
        <v>83006</v>
      </c>
      <c r="K1411" s="27">
        <v>103668</v>
      </c>
      <c r="L1411" s="69">
        <v>-19.93</v>
      </c>
      <c r="M1411" s="27">
        <v>1228817</v>
      </c>
      <c r="N1411" s="69">
        <v>0.75</v>
      </c>
      <c r="O1411" s="69">
        <v>1</v>
      </c>
      <c r="P1411" s="69">
        <v>14.6</v>
      </c>
      <c r="Q1411" s="27">
        <v>40</v>
      </c>
      <c r="R1411" s="69">
        <v>1.59</v>
      </c>
      <c r="S1411" s="69">
        <v>108.16</v>
      </c>
      <c r="X1411" s="2">
        <f t="shared" si="63"/>
        <v>0.6</v>
      </c>
      <c r="Y1411" s="2">
        <f>SUMIF(收盤價!A:A,A1411,收盤價!C:C)</f>
        <v>16.55</v>
      </c>
      <c r="Z1411" s="2">
        <f t="shared" si="64"/>
        <v>1794072.8199999998</v>
      </c>
      <c r="AA1411" s="2">
        <f t="shared" si="65"/>
        <v>2033692.1350000002</v>
      </c>
    </row>
    <row r="1412" spans="1:27" ht="14.5" customHeight="1">
      <c r="A1412" s="7" t="s">
        <v>6782</v>
      </c>
      <c r="B1412" s="8" t="s">
        <v>2953</v>
      </c>
      <c r="C1412" s="27">
        <v>3847841</v>
      </c>
      <c r="D1412" s="27">
        <v>3160868</v>
      </c>
      <c r="E1412" s="69">
        <v>21.73</v>
      </c>
      <c r="F1412" s="27">
        <v>121488</v>
      </c>
      <c r="G1412" s="27">
        <v>-54151</v>
      </c>
      <c r="H1412" s="27">
        <v>83</v>
      </c>
      <c r="I1412" s="27">
        <v>34295</v>
      </c>
      <c r="J1412" s="27">
        <v>85502</v>
      </c>
      <c r="K1412" s="27">
        <v>2236</v>
      </c>
      <c r="L1412" s="28" t="s">
        <v>6378</v>
      </c>
      <c r="M1412" s="27">
        <v>896701</v>
      </c>
      <c r="N1412" s="69">
        <v>0.96</v>
      </c>
      <c r="O1412" s="69">
        <v>0.02</v>
      </c>
      <c r="P1412" s="69">
        <v>13.28</v>
      </c>
      <c r="Q1412" s="27">
        <v>36</v>
      </c>
      <c r="R1412" s="69">
        <v>1.51</v>
      </c>
      <c r="S1412" s="69">
        <v>112.57</v>
      </c>
      <c r="X1412" s="2">
        <f t="shared" si="63"/>
        <v>0.64</v>
      </c>
      <c r="Y1412" s="2">
        <f>SUMIF(收盤價!A:A,A1412,收盤價!C:C)</f>
        <v>18.75</v>
      </c>
      <c r="Z1412" s="2">
        <f t="shared" si="64"/>
        <v>1190818.9279999998</v>
      </c>
      <c r="AA1412" s="2">
        <f t="shared" si="65"/>
        <v>1681314.375</v>
      </c>
    </row>
    <row r="1413" spans="1:27" ht="14.5" customHeight="1">
      <c r="A1413" s="7" t="s">
        <v>6783</v>
      </c>
      <c r="B1413" s="8" t="s">
        <v>2977</v>
      </c>
      <c r="C1413" s="27">
        <v>4910993</v>
      </c>
      <c r="D1413" s="27">
        <v>5019133</v>
      </c>
      <c r="E1413" s="69">
        <v>-2.15</v>
      </c>
      <c r="F1413" s="27">
        <v>273358</v>
      </c>
      <c r="G1413" s="27">
        <v>275205</v>
      </c>
      <c r="H1413" s="27">
        <v>-37335</v>
      </c>
      <c r="I1413" s="27">
        <v>27522</v>
      </c>
      <c r="J1413" s="27">
        <v>147169</v>
      </c>
      <c r="K1413" s="27">
        <v>189550</v>
      </c>
      <c r="L1413" s="69">
        <v>-22.36</v>
      </c>
      <c r="M1413" s="27">
        <v>1403685</v>
      </c>
      <c r="N1413" s="69">
        <v>1.06</v>
      </c>
      <c r="O1413" s="69">
        <v>1.41</v>
      </c>
      <c r="P1413" s="69">
        <v>12.29</v>
      </c>
      <c r="Q1413" s="27">
        <v>40</v>
      </c>
      <c r="R1413" s="69">
        <v>1.33</v>
      </c>
      <c r="S1413" s="69">
        <v>76.760000000000005</v>
      </c>
      <c r="X1413" s="2">
        <f t="shared" ref="X1413:X1476" si="66">IF(W1413&lt;&gt;"",ROUND(W1413/U1413,2),(100-Q1413)/100)</f>
        <v>0.6</v>
      </c>
      <c r="Y1413" s="2">
        <f>SUMIF(收盤價!A:A,A1413,收盤價!C:C)</f>
        <v>17</v>
      </c>
      <c r="Z1413" s="2">
        <f t="shared" ref="Z1413:Z1476" si="67">IF(W1413&lt;&gt;"",U1413-W1413,M1413*P1413/10)</f>
        <v>1725128.8649999998</v>
      </c>
      <c r="AA1413" s="2">
        <f t="shared" ref="AA1413:AA1476" si="68">Y1413*M1413/10</f>
        <v>2386264.5</v>
      </c>
    </row>
    <row r="1414" spans="1:27" ht="14.5" customHeight="1">
      <c r="A1414" s="7" t="s">
        <v>6784</v>
      </c>
      <c r="B1414" s="8" t="s">
        <v>3001</v>
      </c>
      <c r="C1414" s="27">
        <v>1259724</v>
      </c>
      <c r="D1414" s="27">
        <v>1270669</v>
      </c>
      <c r="E1414" s="69">
        <v>-0.86</v>
      </c>
      <c r="F1414" s="27">
        <v>103341</v>
      </c>
      <c r="G1414" s="27">
        <v>119629</v>
      </c>
      <c r="H1414" s="27">
        <v>15363</v>
      </c>
      <c r="I1414" s="27">
        <v>20148</v>
      </c>
      <c r="J1414" s="27">
        <v>94103</v>
      </c>
      <c r="K1414" s="27">
        <v>109271</v>
      </c>
      <c r="L1414" s="69">
        <v>-13.88</v>
      </c>
      <c r="M1414" s="27">
        <v>642620</v>
      </c>
      <c r="N1414" s="69">
        <v>1.46</v>
      </c>
      <c r="O1414" s="69">
        <v>1.7</v>
      </c>
      <c r="P1414" s="69">
        <v>16.559999999999999</v>
      </c>
      <c r="Q1414" s="27">
        <v>69</v>
      </c>
      <c r="R1414" s="69">
        <v>2.44</v>
      </c>
      <c r="S1414" s="69">
        <v>153.63999999999999</v>
      </c>
      <c r="X1414" s="2">
        <f t="shared" si="66"/>
        <v>0.31</v>
      </c>
      <c r="Y1414" s="2">
        <f>SUMIF(收盤價!A:A,A1414,收盤價!C:C)</f>
        <v>21.4</v>
      </c>
      <c r="Z1414" s="2">
        <f t="shared" si="67"/>
        <v>1064178.72</v>
      </c>
      <c r="AA1414" s="2">
        <f t="shared" si="68"/>
        <v>1375206.8</v>
      </c>
    </row>
    <row r="1415" spans="1:27" ht="14.5" customHeight="1">
      <c r="A1415" s="7" t="s">
        <v>6785</v>
      </c>
      <c r="B1415" s="8" t="s">
        <v>3033</v>
      </c>
      <c r="C1415" s="27">
        <v>210412</v>
      </c>
      <c r="D1415" s="27">
        <v>136509</v>
      </c>
      <c r="E1415" s="69">
        <v>54.14</v>
      </c>
      <c r="F1415" s="27">
        <v>1205</v>
      </c>
      <c r="G1415" s="27">
        <v>-33742</v>
      </c>
      <c r="H1415" s="27">
        <v>-759</v>
      </c>
      <c r="I1415" s="27">
        <v>4256</v>
      </c>
      <c r="J1415" s="27">
        <v>446</v>
      </c>
      <c r="K1415" s="27">
        <v>-29486</v>
      </c>
      <c r="L1415" s="69">
        <v>101.51</v>
      </c>
      <c r="M1415" s="27">
        <v>237173</v>
      </c>
      <c r="N1415" s="69">
        <v>0.02</v>
      </c>
      <c r="O1415" s="69">
        <v>-1.24</v>
      </c>
      <c r="P1415" s="69">
        <v>6.58</v>
      </c>
      <c r="Q1415" s="27">
        <v>67</v>
      </c>
      <c r="R1415" s="69">
        <v>3.12</v>
      </c>
      <c r="S1415" s="69">
        <v>256.92</v>
      </c>
      <c r="X1415" s="2">
        <f t="shared" si="66"/>
        <v>0.33</v>
      </c>
      <c r="Y1415" s="2">
        <f>SUMIF(收盤價!A:A,A1415,收盤價!C:C)</f>
        <v>12</v>
      </c>
      <c r="Z1415" s="2">
        <f t="shared" si="67"/>
        <v>156059.834</v>
      </c>
      <c r="AA1415" s="2">
        <f t="shared" si="68"/>
        <v>284607.59999999998</v>
      </c>
    </row>
    <row r="1416" spans="1:27" ht="14.5" customHeight="1">
      <c r="A1416" s="7" t="s">
        <v>6786</v>
      </c>
      <c r="B1416" s="8" t="s">
        <v>3039</v>
      </c>
      <c r="C1416" s="27">
        <v>7724798</v>
      </c>
      <c r="D1416" s="27">
        <v>7460780</v>
      </c>
      <c r="E1416" s="69">
        <v>3.54</v>
      </c>
      <c r="F1416" s="27">
        <v>671466</v>
      </c>
      <c r="G1416" s="27">
        <v>555564</v>
      </c>
      <c r="H1416" s="27">
        <v>33716</v>
      </c>
      <c r="I1416" s="27">
        <v>48719</v>
      </c>
      <c r="J1416" s="27">
        <v>492428</v>
      </c>
      <c r="K1416" s="27">
        <v>424236</v>
      </c>
      <c r="L1416" s="69">
        <v>16.07</v>
      </c>
      <c r="M1416" s="27">
        <v>1180084</v>
      </c>
      <c r="N1416" s="69">
        <v>4.18</v>
      </c>
      <c r="O1416" s="69">
        <v>3.62</v>
      </c>
      <c r="P1416" s="69">
        <v>26.94</v>
      </c>
      <c r="Q1416" s="27">
        <v>52</v>
      </c>
      <c r="R1416" s="69">
        <v>1.97</v>
      </c>
      <c r="S1416" s="69">
        <v>112.5</v>
      </c>
      <c r="X1416" s="2">
        <f t="shared" si="66"/>
        <v>0.48</v>
      </c>
      <c r="Y1416" s="2">
        <f>SUMIF(收盤價!A:A,A1416,收盤價!C:C)</f>
        <v>68.5</v>
      </c>
      <c r="Z1416" s="2">
        <f t="shared" si="67"/>
        <v>3179146.2960000001</v>
      </c>
      <c r="AA1416" s="2">
        <f t="shared" si="68"/>
        <v>8083575.4000000004</v>
      </c>
    </row>
    <row r="1417" spans="1:27" ht="14.5" customHeight="1">
      <c r="A1417" s="7" t="s">
        <v>6787</v>
      </c>
      <c r="B1417" s="8" t="s">
        <v>3051</v>
      </c>
      <c r="C1417" s="27">
        <v>1348032</v>
      </c>
      <c r="D1417" s="27">
        <v>1367538</v>
      </c>
      <c r="E1417" s="69">
        <v>-1.43</v>
      </c>
      <c r="F1417" s="27">
        <v>364840</v>
      </c>
      <c r="G1417" s="27">
        <v>349707</v>
      </c>
      <c r="H1417" s="27">
        <v>16488</v>
      </c>
      <c r="I1417" s="27">
        <v>17283</v>
      </c>
      <c r="J1417" s="27">
        <v>312852</v>
      </c>
      <c r="K1417" s="27">
        <v>301040</v>
      </c>
      <c r="L1417" s="69">
        <v>3.92</v>
      </c>
      <c r="M1417" s="27">
        <v>625010</v>
      </c>
      <c r="N1417" s="69">
        <v>5.01</v>
      </c>
      <c r="O1417" s="69">
        <v>4.82</v>
      </c>
      <c r="P1417" s="69">
        <v>21.52</v>
      </c>
      <c r="Q1417" s="27">
        <v>81</v>
      </c>
      <c r="R1417" s="69">
        <v>5.65</v>
      </c>
      <c r="S1417" s="69">
        <v>482.45</v>
      </c>
      <c r="X1417" s="2">
        <f t="shared" si="66"/>
        <v>0.19</v>
      </c>
      <c r="Y1417" s="2">
        <f>SUMIF(收盤價!A:A,A1417,收盤價!C:C)</f>
        <v>65</v>
      </c>
      <c r="Z1417" s="2">
        <f t="shared" si="67"/>
        <v>1345021.52</v>
      </c>
      <c r="AA1417" s="2">
        <f t="shared" si="68"/>
        <v>4062565</v>
      </c>
    </row>
    <row r="1418" spans="1:27" ht="14.5" customHeight="1">
      <c r="A1418" s="7" t="s">
        <v>6788</v>
      </c>
      <c r="B1418" s="8" t="s">
        <v>3085</v>
      </c>
      <c r="C1418" s="27">
        <v>1011245</v>
      </c>
      <c r="D1418" s="27">
        <v>872627</v>
      </c>
      <c r="E1418" s="69">
        <v>15.89</v>
      </c>
      <c r="F1418" s="27">
        <v>94201</v>
      </c>
      <c r="G1418" s="27">
        <v>41031</v>
      </c>
      <c r="H1418" s="27">
        <v>3398</v>
      </c>
      <c r="I1418" s="27">
        <v>12746</v>
      </c>
      <c r="J1418" s="27">
        <v>78037</v>
      </c>
      <c r="K1418" s="27">
        <v>42883</v>
      </c>
      <c r="L1418" s="69">
        <v>81.98</v>
      </c>
      <c r="M1418" s="27">
        <v>356140</v>
      </c>
      <c r="N1418" s="69">
        <v>2.19</v>
      </c>
      <c r="O1418" s="69">
        <v>1.2</v>
      </c>
      <c r="P1418" s="69">
        <v>21.89</v>
      </c>
      <c r="Q1418" s="27">
        <v>61</v>
      </c>
      <c r="R1418" s="69">
        <v>3.14</v>
      </c>
      <c r="S1418" s="69">
        <v>225.73</v>
      </c>
      <c r="X1418" s="2">
        <f t="shared" si="66"/>
        <v>0.39</v>
      </c>
      <c r="Y1418" s="2">
        <f>SUMIF(收盤價!A:A,A1418,收盤價!C:C)</f>
        <v>65.400000000000006</v>
      </c>
      <c r="Z1418" s="2">
        <f t="shared" si="67"/>
        <v>779590.46000000008</v>
      </c>
      <c r="AA1418" s="2">
        <f t="shared" si="68"/>
        <v>2329155.6000000006</v>
      </c>
    </row>
    <row r="1419" spans="1:27" ht="14.5" customHeight="1">
      <c r="A1419" s="7" t="s">
        <v>6789</v>
      </c>
      <c r="B1419" s="8" t="s">
        <v>3093</v>
      </c>
      <c r="C1419" s="27">
        <v>617017</v>
      </c>
      <c r="D1419" s="27">
        <v>459909</v>
      </c>
      <c r="E1419" s="69">
        <v>34.159999999999997</v>
      </c>
      <c r="F1419" s="27">
        <v>125059</v>
      </c>
      <c r="G1419" s="27">
        <v>5679</v>
      </c>
      <c r="H1419" s="27">
        <v>-7343</v>
      </c>
      <c r="I1419" s="27">
        <v>10073</v>
      </c>
      <c r="J1419" s="27">
        <v>93678</v>
      </c>
      <c r="K1419" s="27">
        <v>11664</v>
      </c>
      <c r="L1419" s="69">
        <v>703.14</v>
      </c>
      <c r="M1419" s="27">
        <v>385090</v>
      </c>
      <c r="N1419" s="69">
        <v>2.78</v>
      </c>
      <c r="O1419" s="69">
        <v>0.35</v>
      </c>
      <c r="P1419" s="69">
        <v>34.25</v>
      </c>
      <c r="Q1419" s="27">
        <v>81</v>
      </c>
      <c r="R1419" s="69">
        <v>4.07</v>
      </c>
      <c r="S1419" s="69">
        <v>371.88</v>
      </c>
      <c r="X1419" s="2">
        <f t="shared" si="66"/>
        <v>0.19</v>
      </c>
      <c r="Y1419" s="2">
        <f>SUMIF(收盤價!A:A,A1419,收盤價!C:C)</f>
        <v>169</v>
      </c>
      <c r="Z1419" s="2">
        <f t="shared" si="67"/>
        <v>1318933.25</v>
      </c>
      <c r="AA1419" s="2">
        <f t="shared" si="68"/>
        <v>6508021</v>
      </c>
    </row>
    <row r="1420" spans="1:27" ht="14.5" customHeight="1">
      <c r="A1420" s="7" t="s">
        <v>6790</v>
      </c>
      <c r="B1420" s="8" t="s">
        <v>3111</v>
      </c>
      <c r="C1420" s="27">
        <v>262633</v>
      </c>
      <c r="D1420" s="27">
        <v>197836</v>
      </c>
      <c r="E1420" s="69">
        <v>32.75</v>
      </c>
      <c r="F1420" s="27">
        <v>-22376</v>
      </c>
      <c r="G1420" s="27">
        <v>-36171</v>
      </c>
      <c r="H1420" s="27">
        <v>21689</v>
      </c>
      <c r="I1420" s="27">
        <v>30084</v>
      </c>
      <c r="J1420" s="27">
        <v>1213</v>
      </c>
      <c r="K1420" s="27">
        <v>925</v>
      </c>
      <c r="L1420" s="69">
        <v>31.14</v>
      </c>
      <c r="M1420" s="27">
        <v>329744</v>
      </c>
      <c r="N1420" s="69">
        <v>0.04</v>
      </c>
      <c r="O1420" s="69">
        <v>0.03</v>
      </c>
      <c r="P1420" s="69">
        <v>10.73</v>
      </c>
      <c r="Q1420" s="27">
        <v>51</v>
      </c>
      <c r="R1420" s="69">
        <v>2.77</v>
      </c>
      <c r="S1420" s="69">
        <v>236.31</v>
      </c>
      <c r="X1420" s="2">
        <f t="shared" si="66"/>
        <v>0.49</v>
      </c>
      <c r="Y1420" s="2">
        <f>SUMIF(收盤價!A:A,A1420,收盤價!C:C)</f>
        <v>54.8</v>
      </c>
      <c r="Z1420" s="2">
        <f t="shared" si="67"/>
        <v>353815.31200000003</v>
      </c>
      <c r="AA1420" s="2">
        <f t="shared" si="68"/>
        <v>1806997.1199999999</v>
      </c>
    </row>
    <row r="1421" spans="1:27" ht="14.5" customHeight="1">
      <c r="A1421" s="7" t="s">
        <v>6791</v>
      </c>
      <c r="B1421" s="8" t="s">
        <v>3115</v>
      </c>
      <c r="C1421" s="27">
        <v>2066399</v>
      </c>
      <c r="D1421" s="27">
        <v>1693266</v>
      </c>
      <c r="E1421" s="69">
        <v>22.04</v>
      </c>
      <c r="F1421" s="27">
        <v>155393</v>
      </c>
      <c r="G1421" s="27">
        <v>110930</v>
      </c>
      <c r="H1421" s="27">
        <v>-6743</v>
      </c>
      <c r="I1421" s="27">
        <v>20538</v>
      </c>
      <c r="J1421" s="27">
        <v>110484</v>
      </c>
      <c r="K1421" s="27">
        <v>107722</v>
      </c>
      <c r="L1421" s="69">
        <v>2.56</v>
      </c>
      <c r="M1421" s="27">
        <v>326941</v>
      </c>
      <c r="N1421" s="69">
        <v>3.38</v>
      </c>
      <c r="O1421" s="69">
        <v>3.29</v>
      </c>
      <c r="P1421" s="69">
        <v>20.34</v>
      </c>
      <c r="Q1421" s="27">
        <v>45</v>
      </c>
      <c r="R1421" s="69">
        <v>1.82</v>
      </c>
      <c r="S1421" s="69">
        <v>170.84</v>
      </c>
      <c r="X1421" s="2">
        <f t="shared" si="66"/>
        <v>0.55000000000000004</v>
      </c>
      <c r="Y1421" s="2">
        <f>SUMIF(收盤價!A:A,A1421,收盤價!C:C)</f>
        <v>49.25</v>
      </c>
      <c r="Z1421" s="2">
        <f t="shared" si="67"/>
        <v>664997.99400000006</v>
      </c>
      <c r="AA1421" s="2">
        <f t="shared" si="68"/>
        <v>1610184.425</v>
      </c>
    </row>
    <row r="1422" spans="1:27" ht="14.5" customHeight="1">
      <c r="A1422" s="7" t="s">
        <v>6792</v>
      </c>
      <c r="B1422" s="8" t="s">
        <v>3123</v>
      </c>
      <c r="C1422" s="27">
        <v>1960244</v>
      </c>
      <c r="D1422" s="27">
        <v>1727270</v>
      </c>
      <c r="E1422" s="69">
        <v>13.49</v>
      </c>
      <c r="F1422" s="27">
        <v>278575</v>
      </c>
      <c r="G1422" s="27">
        <v>221291</v>
      </c>
      <c r="H1422" s="27">
        <v>13541</v>
      </c>
      <c r="I1422" s="27">
        <v>16910</v>
      </c>
      <c r="J1422" s="27">
        <v>240544</v>
      </c>
      <c r="K1422" s="27">
        <v>198234</v>
      </c>
      <c r="L1422" s="69">
        <v>21.34</v>
      </c>
      <c r="M1422" s="27">
        <v>369440</v>
      </c>
      <c r="N1422" s="69">
        <v>6.51</v>
      </c>
      <c r="O1422" s="69">
        <v>4.71</v>
      </c>
      <c r="P1422" s="69">
        <v>29.47</v>
      </c>
      <c r="Q1422" s="27">
        <v>40</v>
      </c>
      <c r="R1422" s="69">
        <v>2.3199999999999998</v>
      </c>
      <c r="S1422" s="69">
        <v>189.72</v>
      </c>
      <c r="X1422" s="2">
        <f t="shared" si="66"/>
        <v>0.6</v>
      </c>
      <c r="Y1422" s="2">
        <f>SUMIF(收盤價!A:A,A1422,收盤價!C:C)</f>
        <v>79.599999999999994</v>
      </c>
      <c r="Z1422" s="2">
        <f t="shared" si="67"/>
        <v>1088739.68</v>
      </c>
      <c r="AA1422" s="2">
        <f t="shared" si="68"/>
        <v>2940742.3999999994</v>
      </c>
    </row>
    <row r="1423" spans="1:27" ht="14.5" customHeight="1">
      <c r="A1423" s="7" t="s">
        <v>6793</v>
      </c>
      <c r="B1423" s="8" t="s">
        <v>3155</v>
      </c>
      <c r="C1423" s="27">
        <v>250878</v>
      </c>
      <c r="D1423" s="27">
        <v>283005</v>
      </c>
      <c r="E1423" s="69">
        <v>-11.35</v>
      </c>
      <c r="F1423" s="27">
        <v>28426</v>
      </c>
      <c r="G1423" s="27">
        <v>26068</v>
      </c>
      <c r="H1423" s="27">
        <v>2805</v>
      </c>
      <c r="I1423" s="27">
        <v>2544</v>
      </c>
      <c r="J1423" s="27">
        <v>25273</v>
      </c>
      <c r="K1423" s="27">
        <v>23247</v>
      </c>
      <c r="L1423" s="69">
        <v>8.7200000000000006</v>
      </c>
      <c r="M1423" s="27">
        <v>337500</v>
      </c>
      <c r="N1423" s="69">
        <v>0.75</v>
      </c>
      <c r="O1423" s="69">
        <v>0.69</v>
      </c>
      <c r="P1423" s="69">
        <v>13.46</v>
      </c>
      <c r="Q1423" s="27">
        <v>91</v>
      </c>
      <c r="R1423" s="69">
        <v>11.12</v>
      </c>
      <c r="S1423" s="69">
        <v>1032.56</v>
      </c>
      <c r="X1423" s="2">
        <f t="shared" si="66"/>
        <v>0.09</v>
      </c>
      <c r="Y1423" s="2">
        <f>SUMIF(收盤價!A:A,A1423,收盤價!C:C)</f>
        <v>20.149999999999999</v>
      </c>
      <c r="Z1423" s="2">
        <f t="shared" si="67"/>
        <v>454275</v>
      </c>
      <c r="AA1423" s="2">
        <f t="shared" si="68"/>
        <v>680062.49999999988</v>
      </c>
    </row>
    <row r="1424" spans="1:27" ht="14.5" customHeight="1">
      <c r="A1424" s="7" t="s">
        <v>6794</v>
      </c>
      <c r="B1424" s="8" t="s">
        <v>3173</v>
      </c>
      <c r="C1424" s="27">
        <v>2400002</v>
      </c>
      <c r="D1424" s="27">
        <v>2272362</v>
      </c>
      <c r="E1424" s="69">
        <v>5.62</v>
      </c>
      <c r="F1424" s="27">
        <v>677321</v>
      </c>
      <c r="G1424" s="27">
        <v>568981</v>
      </c>
      <c r="H1424" s="27">
        <v>382</v>
      </c>
      <c r="I1424" s="27">
        <v>35408</v>
      </c>
      <c r="J1424" s="27">
        <v>542508</v>
      </c>
      <c r="K1424" s="27">
        <v>484604</v>
      </c>
      <c r="L1424" s="69">
        <v>11.95</v>
      </c>
      <c r="M1424" s="27">
        <v>694621</v>
      </c>
      <c r="N1424" s="69">
        <v>7.83</v>
      </c>
      <c r="O1424" s="69">
        <v>7.41</v>
      </c>
      <c r="P1424" s="69">
        <v>41.11</v>
      </c>
      <c r="Q1424" s="27">
        <v>60</v>
      </c>
      <c r="R1424" s="69">
        <v>5.62</v>
      </c>
      <c r="S1424" s="69">
        <v>550.79999999999995</v>
      </c>
      <c r="X1424" s="2">
        <f t="shared" si="66"/>
        <v>0.4</v>
      </c>
      <c r="Y1424" s="2">
        <f>SUMIF(收盤價!A:A,A1424,收盤價!C:C)</f>
        <v>220</v>
      </c>
      <c r="Z1424" s="2">
        <f t="shared" si="67"/>
        <v>2855586.9309999999</v>
      </c>
      <c r="AA1424" s="2">
        <f t="shared" si="68"/>
        <v>15281662</v>
      </c>
    </row>
    <row r="1425" spans="1:27" ht="14.5" customHeight="1">
      <c r="A1425" s="7" t="s">
        <v>6795</v>
      </c>
      <c r="B1425" s="8" t="s">
        <v>3253</v>
      </c>
      <c r="C1425" s="27">
        <v>410828</v>
      </c>
      <c r="D1425" s="27">
        <v>358593</v>
      </c>
      <c r="E1425" s="69">
        <v>14.57</v>
      </c>
      <c r="F1425" s="27">
        <v>60238</v>
      </c>
      <c r="G1425" s="27">
        <v>64374</v>
      </c>
      <c r="H1425" s="27">
        <v>1341</v>
      </c>
      <c r="I1425" s="27">
        <v>4475</v>
      </c>
      <c r="J1425" s="27">
        <v>59754</v>
      </c>
      <c r="K1425" s="27">
        <v>66251</v>
      </c>
      <c r="L1425" s="69">
        <v>-9.81</v>
      </c>
      <c r="M1425" s="27">
        <v>628737</v>
      </c>
      <c r="N1425" s="69">
        <v>0.96</v>
      </c>
      <c r="O1425" s="69">
        <v>1.06</v>
      </c>
      <c r="P1425" s="69">
        <v>10.220000000000001</v>
      </c>
      <c r="Q1425" s="27">
        <v>82</v>
      </c>
      <c r="R1425" s="69">
        <v>6.08</v>
      </c>
      <c r="S1425" s="69">
        <v>463.6</v>
      </c>
      <c r="X1425" s="2">
        <f t="shared" si="66"/>
        <v>0.18</v>
      </c>
      <c r="Y1425" s="2">
        <f>SUMIF(收盤價!A:A,A1425,收盤價!C:C)</f>
        <v>17.25</v>
      </c>
      <c r="Z1425" s="2">
        <f t="shared" si="67"/>
        <v>642569.21400000004</v>
      </c>
      <c r="AA1425" s="2">
        <f t="shared" si="68"/>
        <v>1084571.325</v>
      </c>
    </row>
    <row r="1426" spans="1:27" ht="14.5" customHeight="1">
      <c r="A1426" s="7" t="s">
        <v>6796</v>
      </c>
      <c r="B1426" s="8" t="s">
        <v>3267</v>
      </c>
      <c r="C1426" s="27">
        <v>1119980</v>
      </c>
      <c r="D1426" s="27">
        <v>885094</v>
      </c>
      <c r="E1426" s="69">
        <v>26.54</v>
      </c>
      <c r="F1426" s="27">
        <v>183197</v>
      </c>
      <c r="G1426" s="27">
        <v>121538</v>
      </c>
      <c r="H1426" s="27">
        <v>16144</v>
      </c>
      <c r="I1426" s="27">
        <v>13659</v>
      </c>
      <c r="J1426" s="27">
        <v>167250</v>
      </c>
      <c r="K1426" s="27">
        <v>115609</v>
      </c>
      <c r="L1426" s="69">
        <v>44.67</v>
      </c>
      <c r="M1426" s="27">
        <v>532649</v>
      </c>
      <c r="N1426" s="69">
        <v>3.17</v>
      </c>
      <c r="O1426" s="69">
        <v>2.2200000000000002</v>
      </c>
      <c r="P1426" s="69">
        <v>17.329999999999998</v>
      </c>
      <c r="Q1426" s="27">
        <v>75</v>
      </c>
      <c r="R1426" s="69">
        <v>3.44</v>
      </c>
      <c r="S1426" s="69">
        <v>305.39999999999998</v>
      </c>
      <c r="X1426" s="2">
        <f t="shared" si="66"/>
        <v>0.25</v>
      </c>
      <c r="Y1426" s="2">
        <f>SUMIF(收盤價!A:A,A1426,收盤價!C:C)</f>
        <v>38.549999999999997</v>
      </c>
      <c r="Z1426" s="2">
        <f t="shared" si="67"/>
        <v>923080.71699999995</v>
      </c>
      <c r="AA1426" s="2">
        <f t="shared" si="68"/>
        <v>2053361.895</v>
      </c>
    </row>
    <row r="1427" spans="1:27" ht="14.5" customHeight="1">
      <c r="A1427" s="7" t="s">
        <v>6797</v>
      </c>
      <c r="B1427" s="8" t="s">
        <v>3275</v>
      </c>
      <c r="C1427" s="27">
        <v>2652479</v>
      </c>
      <c r="D1427" s="27">
        <v>1608852</v>
      </c>
      <c r="E1427" s="69">
        <v>64.87</v>
      </c>
      <c r="F1427" s="27">
        <v>26358</v>
      </c>
      <c r="G1427" s="27">
        <v>-159201</v>
      </c>
      <c r="H1427" s="27">
        <v>-3858</v>
      </c>
      <c r="I1427" s="27">
        <v>5823</v>
      </c>
      <c r="J1427" s="27">
        <v>21810</v>
      </c>
      <c r="K1427" s="27">
        <v>-153378</v>
      </c>
      <c r="L1427" s="69">
        <v>114.22</v>
      </c>
      <c r="M1427" s="27">
        <v>1886180</v>
      </c>
      <c r="N1427" s="69">
        <v>0.23</v>
      </c>
      <c r="O1427" s="69">
        <v>-1.78</v>
      </c>
      <c r="P1427" s="69">
        <v>10.48</v>
      </c>
      <c r="Q1427" s="27">
        <v>63</v>
      </c>
      <c r="R1427" s="69">
        <v>1.17</v>
      </c>
      <c r="S1427" s="69">
        <v>103.56</v>
      </c>
      <c r="X1427" s="2">
        <f t="shared" si="66"/>
        <v>0.37</v>
      </c>
      <c r="Y1427" s="2">
        <f>SUMIF(收盤價!A:A,A1427,收盤價!C:C)</f>
        <v>15.4</v>
      </c>
      <c r="Z1427" s="2">
        <f t="shared" si="67"/>
        <v>1976716.6400000001</v>
      </c>
      <c r="AA1427" s="2">
        <f t="shared" si="68"/>
        <v>2904717.2</v>
      </c>
    </row>
    <row r="1428" spans="1:27" ht="14.5" customHeight="1">
      <c r="A1428" s="7" t="s">
        <v>6798</v>
      </c>
      <c r="B1428" s="8" t="s">
        <v>3317</v>
      </c>
      <c r="C1428" s="27">
        <v>58413</v>
      </c>
      <c r="D1428" s="27">
        <v>85540</v>
      </c>
      <c r="E1428" s="69">
        <v>-31.71</v>
      </c>
      <c r="F1428" s="27">
        <v>-51593</v>
      </c>
      <c r="G1428" s="27">
        <v>-3703</v>
      </c>
      <c r="H1428" s="27">
        <v>1827</v>
      </c>
      <c r="I1428" s="27">
        <v>3587</v>
      </c>
      <c r="J1428" s="27">
        <v>-49766</v>
      </c>
      <c r="K1428" s="27">
        <v>-116</v>
      </c>
      <c r="L1428" s="28" t="s">
        <v>6413</v>
      </c>
      <c r="M1428" s="27">
        <v>266743</v>
      </c>
      <c r="N1428" s="69">
        <v>-1.87</v>
      </c>
      <c r="O1428" s="69">
        <v>0</v>
      </c>
      <c r="P1428" s="69">
        <v>10.97</v>
      </c>
      <c r="Q1428" s="27">
        <v>52</v>
      </c>
      <c r="R1428" s="69">
        <v>0.74</v>
      </c>
      <c r="S1428" s="69">
        <v>50.97</v>
      </c>
      <c r="X1428" s="2">
        <f t="shared" si="66"/>
        <v>0.48</v>
      </c>
      <c r="Y1428" s="2">
        <f>SUMIF(收盤價!A:A,A1428,收盤價!C:C)</f>
        <v>13.75</v>
      </c>
      <c r="Z1428" s="2">
        <f t="shared" si="67"/>
        <v>292617.071</v>
      </c>
      <c r="AA1428" s="2">
        <f t="shared" si="68"/>
        <v>366771.625</v>
      </c>
    </row>
    <row r="1429" spans="1:27" ht="14.5" customHeight="1">
      <c r="A1429" s="7" t="s">
        <v>6799</v>
      </c>
      <c r="B1429" s="8" t="s">
        <v>3333</v>
      </c>
      <c r="C1429" s="27">
        <v>164263</v>
      </c>
      <c r="D1429" s="27">
        <v>80733</v>
      </c>
      <c r="E1429" s="69">
        <v>103.46</v>
      </c>
      <c r="F1429" s="27">
        <v>-87867</v>
      </c>
      <c r="G1429" s="27">
        <v>-52605</v>
      </c>
      <c r="H1429" s="27">
        <v>3403</v>
      </c>
      <c r="I1429" s="27">
        <v>24020</v>
      </c>
      <c r="J1429" s="27">
        <v>244205</v>
      </c>
      <c r="K1429" s="27">
        <v>-68186</v>
      </c>
      <c r="L1429" s="69">
        <v>458.15</v>
      </c>
      <c r="M1429" s="27">
        <v>507232</v>
      </c>
      <c r="N1429" s="69">
        <v>4.8099999999999996</v>
      </c>
      <c r="O1429" s="69">
        <v>-1.34</v>
      </c>
      <c r="P1429" s="69">
        <v>12.54</v>
      </c>
      <c r="Q1429" s="27">
        <v>68</v>
      </c>
      <c r="R1429" s="69">
        <v>2.54</v>
      </c>
      <c r="S1429" s="69">
        <v>236.81</v>
      </c>
      <c r="X1429" s="2">
        <f t="shared" si="66"/>
        <v>0.32</v>
      </c>
      <c r="Y1429" s="2">
        <f>SUMIF(收盤價!A:A,A1429,收盤價!C:C)</f>
        <v>11.15</v>
      </c>
      <c r="Z1429" s="2">
        <f t="shared" si="67"/>
        <v>636068.92799999996</v>
      </c>
      <c r="AA1429" s="2">
        <f t="shared" si="68"/>
        <v>565563.67999999993</v>
      </c>
    </row>
    <row r="1430" spans="1:27" ht="14.5" customHeight="1">
      <c r="A1430" s="7" t="s">
        <v>6800</v>
      </c>
      <c r="B1430" s="8" t="s">
        <v>3335</v>
      </c>
      <c r="C1430" s="27">
        <v>1081624</v>
      </c>
      <c r="D1430" s="27">
        <v>1080407</v>
      </c>
      <c r="E1430" s="69">
        <v>0.11</v>
      </c>
      <c r="F1430" s="27">
        <v>-14139</v>
      </c>
      <c r="G1430" s="27">
        <v>-9653</v>
      </c>
      <c r="H1430" s="27">
        <v>28051</v>
      </c>
      <c r="I1430" s="27">
        <v>21248</v>
      </c>
      <c r="J1430" s="27">
        <v>14459</v>
      </c>
      <c r="K1430" s="27">
        <v>45737</v>
      </c>
      <c r="L1430" s="69">
        <v>-68.39</v>
      </c>
      <c r="M1430" s="27">
        <v>725000</v>
      </c>
      <c r="N1430" s="69">
        <v>0.21</v>
      </c>
      <c r="O1430" s="69">
        <v>0.64</v>
      </c>
      <c r="P1430" s="69">
        <v>10.39</v>
      </c>
      <c r="Q1430" s="27">
        <v>64</v>
      </c>
      <c r="R1430" s="69">
        <v>1.83</v>
      </c>
      <c r="S1430" s="69">
        <v>117.87</v>
      </c>
      <c r="X1430" s="2">
        <f t="shared" si="66"/>
        <v>0.36</v>
      </c>
      <c r="Y1430" s="2">
        <f>SUMIF(收盤價!A:A,A1430,收盤價!C:C)</f>
        <v>13</v>
      </c>
      <c r="Z1430" s="2">
        <f t="shared" si="67"/>
        <v>753275</v>
      </c>
      <c r="AA1430" s="2">
        <f t="shared" si="68"/>
        <v>942500</v>
      </c>
    </row>
    <row r="1431" spans="1:27" ht="14.5" customHeight="1">
      <c r="A1431" s="7" t="s">
        <v>6801</v>
      </c>
      <c r="B1431" s="8" t="s">
        <v>1939</v>
      </c>
      <c r="C1431" s="27">
        <v>2352721</v>
      </c>
      <c r="D1431" s="27">
        <v>2788241</v>
      </c>
      <c r="E1431" s="69">
        <v>-15.62</v>
      </c>
      <c r="F1431" s="27">
        <v>113793</v>
      </c>
      <c r="G1431" s="27">
        <v>167783</v>
      </c>
      <c r="H1431" s="27">
        <v>16682</v>
      </c>
      <c r="I1431" s="27">
        <v>-17112</v>
      </c>
      <c r="J1431" s="27">
        <v>73426</v>
      </c>
      <c r="K1431" s="27">
        <v>106721</v>
      </c>
      <c r="L1431" s="69">
        <v>-31.2</v>
      </c>
      <c r="M1431" s="27">
        <v>851484</v>
      </c>
      <c r="N1431" s="69">
        <v>0.87</v>
      </c>
      <c r="O1431" s="69">
        <v>1.28</v>
      </c>
      <c r="P1431" s="69">
        <v>19.670000000000002</v>
      </c>
      <c r="Q1431" s="27">
        <v>70</v>
      </c>
      <c r="R1431" s="69">
        <v>1.48</v>
      </c>
      <c r="S1431" s="69">
        <v>113.54</v>
      </c>
      <c r="X1431" s="2">
        <f t="shared" si="66"/>
        <v>0.3</v>
      </c>
      <c r="Y1431" s="2">
        <f>SUMIF(收盤價!A:A,A1431,收盤價!C:C)</f>
        <v>15.35</v>
      </c>
      <c r="Z1431" s="2">
        <f t="shared" si="67"/>
        <v>1674869.0280000002</v>
      </c>
      <c r="AA1431" s="2">
        <f t="shared" si="68"/>
        <v>1307027.94</v>
      </c>
    </row>
    <row r="1432" spans="1:27" ht="14.5" customHeight="1">
      <c r="A1432" s="7" t="s">
        <v>6802</v>
      </c>
      <c r="B1432" s="8" t="s">
        <v>1957</v>
      </c>
      <c r="C1432" s="27">
        <v>1729528</v>
      </c>
      <c r="D1432" s="27">
        <v>1756286</v>
      </c>
      <c r="E1432" s="69">
        <v>-1.52</v>
      </c>
      <c r="F1432" s="27">
        <v>125768</v>
      </c>
      <c r="G1432" s="27">
        <v>215326</v>
      </c>
      <c r="H1432" s="27">
        <v>-22693</v>
      </c>
      <c r="I1432" s="27">
        <v>53031</v>
      </c>
      <c r="J1432" s="27">
        <v>96546</v>
      </c>
      <c r="K1432" s="27">
        <v>196600</v>
      </c>
      <c r="L1432" s="69">
        <v>-50.89</v>
      </c>
      <c r="M1432" s="27">
        <v>471481</v>
      </c>
      <c r="N1432" s="69">
        <v>2.06</v>
      </c>
      <c r="O1432" s="69">
        <v>4.18</v>
      </c>
      <c r="P1432" s="69">
        <v>51.03</v>
      </c>
      <c r="Q1432" s="27">
        <v>64</v>
      </c>
      <c r="R1432" s="69">
        <v>2.4700000000000002</v>
      </c>
      <c r="S1432" s="69">
        <v>139.35</v>
      </c>
      <c r="X1432" s="2">
        <f t="shared" si="66"/>
        <v>0.36</v>
      </c>
      <c r="Y1432" s="2">
        <f>SUMIF(收盤價!A:A,A1432,收盤價!C:C)</f>
        <v>39.6</v>
      </c>
      <c r="Z1432" s="2">
        <f t="shared" si="67"/>
        <v>2405967.5430000001</v>
      </c>
      <c r="AA1432" s="2">
        <f t="shared" si="68"/>
        <v>1867064.7600000002</v>
      </c>
    </row>
    <row r="1433" spans="1:27" ht="14.5" customHeight="1">
      <c r="A1433" s="7" t="s">
        <v>6803</v>
      </c>
      <c r="B1433" s="8" t="s">
        <v>1983</v>
      </c>
      <c r="C1433" s="27">
        <v>4480053</v>
      </c>
      <c r="D1433" s="27">
        <v>5051894</v>
      </c>
      <c r="E1433" s="69">
        <v>-11.32</v>
      </c>
      <c r="F1433" s="27">
        <v>127536</v>
      </c>
      <c r="G1433" s="27">
        <v>708909</v>
      </c>
      <c r="H1433" s="27">
        <v>-183289</v>
      </c>
      <c r="I1433" s="27">
        <v>-145095</v>
      </c>
      <c r="J1433" s="27">
        <v>-99905</v>
      </c>
      <c r="K1433" s="27">
        <v>408936</v>
      </c>
      <c r="L1433" s="69">
        <v>-124.43</v>
      </c>
      <c r="M1433" s="27">
        <v>4279465</v>
      </c>
      <c r="N1433" s="69">
        <v>-0.24</v>
      </c>
      <c r="O1433" s="69">
        <v>0.96</v>
      </c>
      <c r="P1433" s="69">
        <v>16.37</v>
      </c>
      <c r="Q1433" s="27">
        <v>45</v>
      </c>
      <c r="R1433" s="69">
        <v>2.4300000000000002</v>
      </c>
      <c r="S1433" s="69">
        <v>164</v>
      </c>
      <c r="X1433" s="2">
        <f t="shared" si="66"/>
        <v>0.55000000000000004</v>
      </c>
      <c r="Y1433" s="2">
        <f>SUMIF(收盤價!A:A,A1433,收盤價!C:C)</f>
        <v>12.95</v>
      </c>
      <c r="Z1433" s="2">
        <f t="shared" si="67"/>
        <v>7005484.2050000001</v>
      </c>
      <c r="AA1433" s="2">
        <f t="shared" si="68"/>
        <v>5541907.1749999998</v>
      </c>
    </row>
    <row r="1434" spans="1:27" ht="14.5" customHeight="1">
      <c r="A1434" s="7" t="s">
        <v>6804</v>
      </c>
      <c r="B1434" s="8" t="s">
        <v>2059</v>
      </c>
      <c r="C1434" s="27">
        <v>5240952</v>
      </c>
      <c r="D1434" s="27">
        <v>6317832</v>
      </c>
      <c r="E1434" s="69">
        <v>-17.05</v>
      </c>
      <c r="F1434" s="27">
        <v>664554</v>
      </c>
      <c r="G1434" s="27">
        <v>699920</v>
      </c>
      <c r="H1434" s="27">
        <v>103249</v>
      </c>
      <c r="I1434" s="27">
        <v>217248</v>
      </c>
      <c r="J1434" s="27">
        <v>565371</v>
      </c>
      <c r="K1434" s="27">
        <v>630097</v>
      </c>
      <c r="L1434" s="69">
        <v>-10.27</v>
      </c>
      <c r="M1434" s="27">
        <v>2273911</v>
      </c>
      <c r="N1434" s="69">
        <v>2.4900000000000002</v>
      </c>
      <c r="O1434" s="69">
        <v>2.77</v>
      </c>
      <c r="P1434" s="69">
        <v>20.21</v>
      </c>
      <c r="Q1434" s="27">
        <v>64</v>
      </c>
      <c r="R1434" s="69">
        <v>2.5099999999999998</v>
      </c>
      <c r="S1434" s="69">
        <v>225.95</v>
      </c>
      <c r="X1434" s="2">
        <f t="shared" si="66"/>
        <v>0.36</v>
      </c>
      <c r="Y1434" s="2">
        <f>SUMIF(收盤價!A:A,A1434,收盤價!C:C)</f>
        <v>26.65</v>
      </c>
      <c r="Z1434" s="2">
        <f t="shared" si="67"/>
        <v>4595574.1310000001</v>
      </c>
      <c r="AA1434" s="2">
        <f t="shared" si="68"/>
        <v>6059972.8149999995</v>
      </c>
    </row>
    <row r="1435" spans="1:27" ht="14.5" customHeight="1">
      <c r="A1435" s="7" t="s">
        <v>6805</v>
      </c>
      <c r="B1435" s="8" t="s">
        <v>2071</v>
      </c>
      <c r="C1435" s="27">
        <v>121566</v>
      </c>
      <c r="D1435" s="27">
        <v>265068</v>
      </c>
      <c r="E1435" s="69">
        <v>-54.14</v>
      </c>
      <c r="F1435" s="27">
        <v>-46154</v>
      </c>
      <c r="G1435" s="27">
        <v>-3772</v>
      </c>
      <c r="H1435" s="27">
        <v>15744</v>
      </c>
      <c r="I1435" s="27">
        <v>17881</v>
      </c>
      <c r="J1435" s="27">
        <v>-32324</v>
      </c>
      <c r="K1435" s="27">
        <v>13494</v>
      </c>
      <c r="L1435" s="69">
        <v>-339.54</v>
      </c>
      <c r="M1435" s="27">
        <v>601133</v>
      </c>
      <c r="N1435" s="69">
        <v>-0.54</v>
      </c>
      <c r="O1435" s="69">
        <v>0.24</v>
      </c>
      <c r="P1435" s="69">
        <v>7.9</v>
      </c>
      <c r="Q1435" s="27">
        <v>89</v>
      </c>
      <c r="R1435" s="69">
        <v>25.94</v>
      </c>
      <c r="S1435" s="69">
        <v>2319.08</v>
      </c>
      <c r="X1435" s="2">
        <f t="shared" si="66"/>
        <v>0.11</v>
      </c>
      <c r="Y1435" s="2">
        <f>SUMIF(收盤價!A:A,A1435,收盤價!C:C)</f>
        <v>22</v>
      </c>
      <c r="Z1435" s="2">
        <f t="shared" si="67"/>
        <v>474895.07</v>
      </c>
      <c r="AA1435" s="2">
        <f t="shared" si="68"/>
        <v>1322492.6000000001</v>
      </c>
    </row>
    <row r="1436" spans="1:27" ht="14.5" customHeight="1">
      <c r="A1436" s="7" t="s">
        <v>6806</v>
      </c>
      <c r="B1436" s="8" t="s">
        <v>2073</v>
      </c>
      <c r="C1436" s="27">
        <v>3102961</v>
      </c>
      <c r="D1436" s="27">
        <v>3118343</v>
      </c>
      <c r="E1436" s="69">
        <v>-0.49</v>
      </c>
      <c r="F1436" s="27">
        <v>361112</v>
      </c>
      <c r="G1436" s="27">
        <v>506905</v>
      </c>
      <c r="H1436" s="27">
        <v>2431</v>
      </c>
      <c r="I1436" s="27">
        <v>5040</v>
      </c>
      <c r="J1436" s="27">
        <v>300124</v>
      </c>
      <c r="K1436" s="27">
        <v>393629</v>
      </c>
      <c r="L1436" s="69">
        <v>-23.75</v>
      </c>
      <c r="M1436" s="27">
        <v>745628</v>
      </c>
      <c r="N1436" s="69">
        <v>4.03</v>
      </c>
      <c r="O1436" s="69">
        <v>5.28</v>
      </c>
      <c r="P1436" s="69">
        <v>21.83</v>
      </c>
      <c r="Q1436" s="27">
        <v>46</v>
      </c>
      <c r="R1436" s="69">
        <v>1.42</v>
      </c>
      <c r="S1436" s="69">
        <v>111.54</v>
      </c>
      <c r="X1436" s="2">
        <f t="shared" si="66"/>
        <v>0.54</v>
      </c>
      <c r="Y1436" s="2">
        <f>SUMIF(收盤價!A:A,A1436,收盤價!C:C)</f>
        <v>42.8</v>
      </c>
      <c r="Z1436" s="2">
        <f t="shared" si="67"/>
        <v>1627705.9239999999</v>
      </c>
      <c r="AA1436" s="2">
        <f t="shared" si="68"/>
        <v>3191287.84</v>
      </c>
    </row>
    <row r="1437" spans="1:27" ht="14.5" customHeight="1">
      <c r="A1437" s="7" t="s">
        <v>6807</v>
      </c>
      <c r="B1437" s="8" t="s">
        <v>2081</v>
      </c>
      <c r="C1437" s="27">
        <v>3887287</v>
      </c>
      <c r="D1437" s="27">
        <v>3499606</v>
      </c>
      <c r="E1437" s="69">
        <v>11.08</v>
      </c>
      <c r="F1437" s="27">
        <v>188118</v>
      </c>
      <c r="G1437" s="27">
        <v>177214</v>
      </c>
      <c r="H1437" s="27">
        <v>-9722</v>
      </c>
      <c r="I1437" s="27">
        <v>28468</v>
      </c>
      <c r="J1437" s="27">
        <v>142436</v>
      </c>
      <c r="K1437" s="27">
        <v>164544</v>
      </c>
      <c r="L1437" s="69">
        <v>-13.44</v>
      </c>
      <c r="M1437" s="27">
        <v>560000</v>
      </c>
      <c r="N1437" s="69">
        <v>2.54</v>
      </c>
      <c r="O1437" s="69">
        <v>2.94</v>
      </c>
      <c r="P1437" s="69">
        <v>19.489999999999998</v>
      </c>
      <c r="Q1437" s="27">
        <v>42</v>
      </c>
      <c r="R1437" s="69">
        <v>1.52</v>
      </c>
      <c r="S1437" s="69">
        <v>127.16</v>
      </c>
      <c r="X1437" s="2">
        <f t="shared" si="66"/>
        <v>0.57999999999999996</v>
      </c>
      <c r="Y1437" s="2">
        <f>SUMIF(收盤價!A:A,A1437,收盤價!C:C)</f>
        <v>30.2</v>
      </c>
      <c r="Z1437" s="2">
        <f t="shared" si="67"/>
        <v>1091440</v>
      </c>
      <c r="AA1437" s="2">
        <f t="shared" si="68"/>
        <v>1691200</v>
      </c>
    </row>
    <row r="1438" spans="1:27" ht="14.5" customHeight="1">
      <c r="A1438" s="7" t="s">
        <v>6808</v>
      </c>
      <c r="B1438" s="8" t="s">
        <v>2083</v>
      </c>
      <c r="C1438" s="27">
        <v>467352</v>
      </c>
      <c r="D1438" s="27">
        <v>737091</v>
      </c>
      <c r="E1438" s="69">
        <v>-36.6</v>
      </c>
      <c r="F1438" s="27">
        <v>-38662</v>
      </c>
      <c r="G1438" s="27">
        <v>-57258</v>
      </c>
      <c r="H1438" s="27">
        <v>-4272</v>
      </c>
      <c r="I1438" s="27">
        <v>-2610</v>
      </c>
      <c r="J1438" s="27">
        <v>-45613</v>
      </c>
      <c r="K1438" s="27">
        <v>-60507</v>
      </c>
      <c r="L1438" s="69">
        <v>24.62</v>
      </c>
      <c r="M1438" s="27">
        <v>436976</v>
      </c>
      <c r="N1438" s="69">
        <v>-1.04</v>
      </c>
      <c r="O1438" s="69">
        <v>-1.38</v>
      </c>
      <c r="P1438" s="69">
        <v>6.99</v>
      </c>
      <c r="Q1438" s="27">
        <v>67</v>
      </c>
      <c r="R1438" s="69">
        <v>2.73</v>
      </c>
      <c r="S1438" s="69">
        <v>233.03</v>
      </c>
      <c r="X1438" s="2">
        <f t="shared" si="66"/>
        <v>0.33</v>
      </c>
      <c r="Y1438" s="2">
        <f>SUMIF(收盤價!A:A,A1438,收盤價!C:C)</f>
        <v>12.3</v>
      </c>
      <c r="Z1438" s="2">
        <f t="shared" si="67"/>
        <v>305446.22400000005</v>
      </c>
      <c r="AA1438" s="2">
        <f t="shared" si="68"/>
        <v>537480.4800000001</v>
      </c>
    </row>
    <row r="1439" spans="1:27" ht="14.5" customHeight="1">
      <c r="A1439" s="7" t="s">
        <v>6809</v>
      </c>
      <c r="B1439" s="8" t="s">
        <v>2095</v>
      </c>
      <c r="C1439" s="27">
        <v>2909414</v>
      </c>
      <c r="D1439" s="27">
        <v>2616963</v>
      </c>
      <c r="E1439" s="69">
        <v>11.18</v>
      </c>
      <c r="F1439" s="27">
        <v>212970</v>
      </c>
      <c r="G1439" s="27">
        <v>216140</v>
      </c>
      <c r="H1439" s="27">
        <v>-46094</v>
      </c>
      <c r="I1439" s="27">
        <v>-15816</v>
      </c>
      <c r="J1439" s="27">
        <v>140708</v>
      </c>
      <c r="K1439" s="27">
        <v>164633</v>
      </c>
      <c r="L1439" s="69">
        <v>-14.53</v>
      </c>
      <c r="M1439" s="27">
        <v>1006378</v>
      </c>
      <c r="N1439" s="69">
        <v>1.4</v>
      </c>
      <c r="O1439" s="69">
        <v>1.64</v>
      </c>
      <c r="P1439" s="69">
        <v>14.97</v>
      </c>
      <c r="Q1439" s="27">
        <v>40</v>
      </c>
      <c r="R1439" s="69">
        <v>1.57</v>
      </c>
      <c r="S1439" s="69">
        <v>134.33000000000001</v>
      </c>
      <c r="X1439" s="2">
        <f t="shared" si="66"/>
        <v>0.6</v>
      </c>
      <c r="Y1439" s="2">
        <f>SUMIF(收盤價!A:A,A1439,收盤價!C:C)</f>
        <v>36.299999999999997</v>
      </c>
      <c r="Z1439" s="2">
        <f t="shared" si="67"/>
        <v>1506547.8659999999</v>
      </c>
      <c r="AA1439" s="2">
        <f t="shared" si="68"/>
        <v>3653152.1399999997</v>
      </c>
    </row>
    <row r="1440" spans="1:27" ht="14.5" customHeight="1">
      <c r="A1440" s="7" t="s">
        <v>6810</v>
      </c>
      <c r="B1440" s="8" t="s">
        <v>2115</v>
      </c>
      <c r="C1440" s="27">
        <v>321837</v>
      </c>
      <c r="D1440" s="27">
        <v>324091</v>
      </c>
      <c r="E1440" s="69">
        <v>-0.7</v>
      </c>
      <c r="F1440" s="27">
        <v>-189762</v>
      </c>
      <c r="G1440" s="27">
        <v>-52643</v>
      </c>
      <c r="H1440" s="27">
        <v>227545</v>
      </c>
      <c r="I1440" s="27">
        <v>2940</v>
      </c>
      <c r="J1440" s="27">
        <v>43696</v>
      </c>
      <c r="K1440" s="27">
        <v>-35852</v>
      </c>
      <c r="L1440" s="69">
        <v>221.88</v>
      </c>
      <c r="M1440" s="27">
        <v>571948</v>
      </c>
      <c r="N1440" s="69">
        <v>0.76</v>
      </c>
      <c r="O1440" s="69">
        <v>-0.63</v>
      </c>
      <c r="P1440" s="69">
        <v>6.01</v>
      </c>
      <c r="Q1440" s="27">
        <v>50</v>
      </c>
      <c r="R1440" s="69">
        <v>2.35</v>
      </c>
      <c r="S1440" s="69">
        <v>189.8</v>
      </c>
      <c r="X1440" s="2">
        <f t="shared" si="66"/>
        <v>0.5</v>
      </c>
      <c r="Y1440" s="2">
        <f>SUMIF(收盤價!A:A,A1440,收盤價!C:C)</f>
        <v>45.3</v>
      </c>
      <c r="Z1440" s="2">
        <f t="shared" si="67"/>
        <v>343740.74800000002</v>
      </c>
      <c r="AA1440" s="2">
        <f t="shared" si="68"/>
        <v>2590924.44</v>
      </c>
    </row>
    <row r="1441" spans="1:27" ht="14.5" customHeight="1">
      <c r="A1441" s="7" t="s">
        <v>6811</v>
      </c>
      <c r="B1441" s="8" t="s">
        <v>2117</v>
      </c>
      <c r="C1441" s="27">
        <v>3388453</v>
      </c>
      <c r="D1441" s="27">
        <v>3083279</v>
      </c>
      <c r="E1441" s="69">
        <v>9.9</v>
      </c>
      <c r="F1441" s="27">
        <v>64068</v>
      </c>
      <c r="G1441" s="27">
        <v>-7581</v>
      </c>
      <c r="H1441" s="27">
        <v>12513</v>
      </c>
      <c r="I1441" s="27">
        <v>28290</v>
      </c>
      <c r="J1441" s="27">
        <v>-42877</v>
      </c>
      <c r="K1441" s="27">
        <v>22055</v>
      </c>
      <c r="L1441" s="69">
        <v>-294.41000000000003</v>
      </c>
      <c r="M1441" s="27">
        <v>1171649</v>
      </c>
      <c r="N1441" s="69">
        <v>-0.4</v>
      </c>
      <c r="O1441" s="69">
        <v>0.22</v>
      </c>
      <c r="P1441" s="69">
        <v>10.5</v>
      </c>
      <c r="Q1441" s="27">
        <v>35</v>
      </c>
      <c r="R1441" s="69">
        <v>1.82</v>
      </c>
      <c r="S1441" s="69">
        <v>117.68</v>
      </c>
      <c r="X1441" s="2">
        <f t="shared" si="66"/>
        <v>0.65</v>
      </c>
      <c r="Y1441" s="2">
        <f>SUMIF(收盤價!A:A,A1441,收盤價!C:C)</f>
        <v>18.55</v>
      </c>
      <c r="Z1441" s="2">
        <f t="shared" si="67"/>
        <v>1230231.45</v>
      </c>
      <c r="AA1441" s="2">
        <f t="shared" si="68"/>
        <v>2173408.895</v>
      </c>
    </row>
    <row r="1442" spans="1:27" ht="14.5" customHeight="1">
      <c r="A1442" s="7" t="s">
        <v>6812</v>
      </c>
      <c r="B1442" s="8" t="s">
        <v>2121</v>
      </c>
      <c r="C1442" s="27">
        <v>3355818</v>
      </c>
      <c r="D1442" s="27">
        <v>2868690</v>
      </c>
      <c r="E1442" s="69">
        <v>16.98</v>
      </c>
      <c r="F1442" s="27">
        <v>184780</v>
      </c>
      <c r="G1442" s="27">
        <v>158644</v>
      </c>
      <c r="H1442" s="27">
        <v>42710</v>
      </c>
      <c r="I1442" s="27">
        <v>9843</v>
      </c>
      <c r="J1442" s="27">
        <v>169913</v>
      </c>
      <c r="K1442" s="27">
        <v>116296</v>
      </c>
      <c r="L1442" s="69">
        <v>46.1</v>
      </c>
      <c r="M1442" s="27">
        <v>539167</v>
      </c>
      <c r="N1442" s="69">
        <v>3.15</v>
      </c>
      <c r="O1442" s="69">
        <v>2.16</v>
      </c>
      <c r="P1442" s="69">
        <v>17.95</v>
      </c>
      <c r="Q1442" s="27">
        <v>47</v>
      </c>
      <c r="R1442" s="69">
        <v>1.59</v>
      </c>
      <c r="S1442" s="69">
        <v>124.94</v>
      </c>
      <c r="X1442" s="2">
        <f t="shared" si="66"/>
        <v>0.53</v>
      </c>
      <c r="Y1442" s="2">
        <f>SUMIF(收盤價!A:A,A1442,收盤價!C:C)</f>
        <v>33.65</v>
      </c>
      <c r="Z1442" s="2">
        <f t="shared" si="67"/>
        <v>967804.76500000001</v>
      </c>
      <c r="AA1442" s="2">
        <f t="shared" si="68"/>
        <v>1814296.9550000001</v>
      </c>
    </row>
    <row r="1443" spans="1:27" ht="14.5" customHeight="1">
      <c r="A1443" s="7" t="s">
        <v>6813</v>
      </c>
      <c r="B1443" s="8" t="s">
        <v>2123</v>
      </c>
      <c r="C1443" s="27">
        <v>806858</v>
      </c>
      <c r="D1443" s="27">
        <v>809116</v>
      </c>
      <c r="E1443" s="69">
        <v>-0.28000000000000003</v>
      </c>
      <c r="F1443" s="27">
        <v>3129</v>
      </c>
      <c r="G1443" s="27">
        <v>-81877</v>
      </c>
      <c r="H1443" s="27">
        <v>-1400</v>
      </c>
      <c r="I1443" s="27">
        <v>1215</v>
      </c>
      <c r="J1443" s="27">
        <v>6172</v>
      </c>
      <c r="K1443" s="27">
        <v>-82416</v>
      </c>
      <c r="L1443" s="69">
        <v>107.49</v>
      </c>
      <c r="M1443" s="27">
        <v>437704</v>
      </c>
      <c r="N1443" s="69">
        <v>0.15</v>
      </c>
      <c r="O1443" s="69">
        <v>-2.37</v>
      </c>
      <c r="P1443" s="69">
        <v>5.37</v>
      </c>
      <c r="Q1443" s="27">
        <v>46</v>
      </c>
      <c r="R1443" s="69">
        <v>1.27</v>
      </c>
      <c r="S1443" s="69">
        <v>95.66</v>
      </c>
      <c r="X1443" s="2">
        <f t="shared" si="66"/>
        <v>0.54</v>
      </c>
      <c r="Y1443" s="2">
        <f>SUMIF(收盤價!A:A,A1443,收盤價!C:C)</f>
        <v>13.1</v>
      </c>
      <c r="Z1443" s="2">
        <f t="shared" si="67"/>
        <v>235047.04800000001</v>
      </c>
      <c r="AA1443" s="2">
        <f t="shared" si="68"/>
        <v>573392.24</v>
      </c>
    </row>
    <row r="1444" spans="1:27" ht="14.5" customHeight="1">
      <c r="A1444" s="7" t="s">
        <v>6814</v>
      </c>
      <c r="B1444" s="8" t="s">
        <v>2129</v>
      </c>
      <c r="C1444" s="27">
        <v>2192577</v>
      </c>
      <c r="D1444" s="27">
        <v>1777799</v>
      </c>
      <c r="E1444" s="69">
        <v>23.33</v>
      </c>
      <c r="F1444" s="27">
        <v>540974</v>
      </c>
      <c r="G1444" s="27">
        <v>333005</v>
      </c>
      <c r="H1444" s="27">
        <v>21242</v>
      </c>
      <c r="I1444" s="27">
        <v>40870</v>
      </c>
      <c r="J1444" s="27">
        <v>438625</v>
      </c>
      <c r="K1444" s="27">
        <v>295644</v>
      </c>
      <c r="L1444" s="69">
        <v>48.36</v>
      </c>
      <c r="M1444" s="27">
        <v>821042</v>
      </c>
      <c r="N1444" s="69">
        <v>5.34</v>
      </c>
      <c r="O1444" s="69">
        <v>3.6</v>
      </c>
      <c r="P1444" s="69">
        <v>25.18</v>
      </c>
      <c r="Q1444" s="27">
        <v>71</v>
      </c>
      <c r="R1444" s="69">
        <v>2.2799999999999998</v>
      </c>
      <c r="S1444" s="69">
        <v>189.15</v>
      </c>
      <c r="X1444" s="2">
        <f t="shared" si="66"/>
        <v>0.28999999999999998</v>
      </c>
      <c r="Y1444" s="2">
        <f>SUMIF(收盤價!A:A,A1444,收盤價!C:C)</f>
        <v>67.599999999999994</v>
      </c>
      <c r="Z1444" s="2">
        <f t="shared" si="67"/>
        <v>2067383.7559999998</v>
      </c>
      <c r="AA1444" s="2">
        <f t="shared" si="68"/>
        <v>5550243.9199999999</v>
      </c>
    </row>
    <row r="1445" spans="1:27" ht="14.5" customHeight="1">
      <c r="A1445" s="7" t="s">
        <v>6815</v>
      </c>
      <c r="B1445" s="8" t="s">
        <v>2151</v>
      </c>
      <c r="C1445" s="27">
        <v>1816262</v>
      </c>
      <c r="D1445" s="27">
        <v>2516073</v>
      </c>
      <c r="E1445" s="69">
        <v>-27.81</v>
      </c>
      <c r="F1445" s="27">
        <v>103052</v>
      </c>
      <c r="G1445" s="27">
        <v>250355</v>
      </c>
      <c r="H1445" s="27">
        <v>-25452</v>
      </c>
      <c r="I1445" s="27">
        <v>-5106</v>
      </c>
      <c r="J1445" s="27">
        <v>42958</v>
      </c>
      <c r="K1445" s="27">
        <v>153245</v>
      </c>
      <c r="L1445" s="69">
        <v>-71.97</v>
      </c>
      <c r="M1445" s="27">
        <v>929209</v>
      </c>
      <c r="N1445" s="69">
        <v>0.46</v>
      </c>
      <c r="O1445" s="69">
        <v>1.65</v>
      </c>
      <c r="P1445" s="69">
        <v>13.93</v>
      </c>
      <c r="Q1445" s="27">
        <v>52</v>
      </c>
      <c r="R1445" s="69">
        <v>1.8</v>
      </c>
      <c r="S1445" s="69">
        <v>140.97999999999999</v>
      </c>
      <c r="X1445" s="2">
        <f t="shared" si="66"/>
        <v>0.48</v>
      </c>
      <c r="Y1445" s="2">
        <f>SUMIF(收盤價!A:A,A1445,收盤價!C:C)</f>
        <v>21.85</v>
      </c>
      <c r="Z1445" s="2">
        <f t="shared" si="67"/>
        <v>1294388.1369999999</v>
      </c>
      <c r="AA1445" s="2">
        <f t="shared" si="68"/>
        <v>2030321.6650000003</v>
      </c>
    </row>
    <row r="1446" spans="1:27" ht="14.5" customHeight="1">
      <c r="A1446" s="7" t="s">
        <v>6816</v>
      </c>
      <c r="B1446" s="8" t="s">
        <v>2167</v>
      </c>
      <c r="C1446" s="27">
        <v>785027</v>
      </c>
      <c r="D1446" s="27">
        <v>1575158</v>
      </c>
      <c r="E1446" s="69">
        <v>-50.16</v>
      </c>
      <c r="F1446" s="27">
        <v>-221506</v>
      </c>
      <c r="G1446" s="27">
        <v>-65452</v>
      </c>
      <c r="H1446" s="27">
        <v>77686</v>
      </c>
      <c r="I1446" s="27">
        <v>20830</v>
      </c>
      <c r="J1446" s="27">
        <v>-61711</v>
      </c>
      <c r="K1446" s="27">
        <v>-17852</v>
      </c>
      <c r="L1446" s="69">
        <v>-245.68</v>
      </c>
      <c r="M1446" s="27">
        <v>697127</v>
      </c>
      <c r="N1446" s="69">
        <v>-0.89</v>
      </c>
      <c r="O1446" s="69">
        <v>-0.26</v>
      </c>
      <c r="P1446" s="69">
        <v>9.25</v>
      </c>
      <c r="Q1446" s="27">
        <v>28</v>
      </c>
      <c r="R1446" s="69">
        <v>0.93</v>
      </c>
      <c r="S1446" s="69">
        <v>84.63</v>
      </c>
      <c r="X1446" s="2">
        <f t="shared" si="66"/>
        <v>0.72</v>
      </c>
      <c r="Y1446" s="2">
        <f>SUMIF(收盤價!A:A,A1446,收盤價!C:C)</f>
        <v>8.4600000000000009</v>
      </c>
      <c r="Z1446" s="2">
        <f t="shared" si="67"/>
        <v>644842.47499999998</v>
      </c>
      <c r="AA1446" s="2">
        <f t="shared" si="68"/>
        <v>589769.44200000004</v>
      </c>
    </row>
    <row r="1447" spans="1:27" ht="14.5" customHeight="1">
      <c r="A1447" s="7" t="s">
        <v>6817</v>
      </c>
      <c r="B1447" s="8" t="s">
        <v>2175</v>
      </c>
      <c r="C1447" s="27">
        <v>120209</v>
      </c>
      <c r="D1447" s="27">
        <v>168700</v>
      </c>
      <c r="E1447" s="69">
        <v>-28.74</v>
      </c>
      <c r="F1447" s="27">
        <v>-4003</v>
      </c>
      <c r="G1447" s="27">
        <v>-5017</v>
      </c>
      <c r="H1447" s="27">
        <v>8275</v>
      </c>
      <c r="I1447" s="27">
        <v>7814</v>
      </c>
      <c r="J1447" s="27">
        <v>4148</v>
      </c>
      <c r="K1447" s="27">
        <v>2978</v>
      </c>
      <c r="L1447" s="69">
        <v>39.29</v>
      </c>
      <c r="M1447" s="27">
        <v>226601</v>
      </c>
      <c r="N1447" s="69">
        <v>0.18</v>
      </c>
      <c r="O1447" s="69">
        <v>0.13</v>
      </c>
      <c r="P1447" s="69">
        <v>6.09</v>
      </c>
      <c r="Q1447" s="27">
        <v>45</v>
      </c>
      <c r="R1447" s="69">
        <v>2.35</v>
      </c>
      <c r="S1447" s="69">
        <v>48.22</v>
      </c>
      <c r="X1447" s="2">
        <f t="shared" si="66"/>
        <v>0.55000000000000004</v>
      </c>
      <c r="Y1447" s="2">
        <f>SUMIF(收盤價!A:A,A1447,收盤價!C:C)</f>
        <v>10.65</v>
      </c>
      <c r="Z1447" s="2">
        <f t="shared" si="67"/>
        <v>138000.00900000002</v>
      </c>
      <c r="AA1447" s="2">
        <f t="shared" si="68"/>
        <v>241330.065</v>
      </c>
    </row>
    <row r="1448" spans="1:27" ht="14.5" customHeight="1">
      <c r="A1448" s="7" t="s">
        <v>6818</v>
      </c>
      <c r="B1448" s="8" t="s">
        <v>2179</v>
      </c>
      <c r="C1448" s="27">
        <v>2357746</v>
      </c>
      <c r="D1448" s="27">
        <v>2696005</v>
      </c>
      <c r="E1448" s="69">
        <v>-12.55</v>
      </c>
      <c r="F1448" s="27">
        <v>81993</v>
      </c>
      <c r="G1448" s="27">
        <v>154526</v>
      </c>
      <c r="H1448" s="27">
        <v>-30130</v>
      </c>
      <c r="I1448" s="27">
        <v>46148</v>
      </c>
      <c r="J1448" s="27">
        <v>17324</v>
      </c>
      <c r="K1448" s="27">
        <v>166103</v>
      </c>
      <c r="L1448" s="69">
        <v>-89.57</v>
      </c>
      <c r="M1448" s="27">
        <v>995489</v>
      </c>
      <c r="N1448" s="69">
        <v>0.17</v>
      </c>
      <c r="O1448" s="69">
        <v>1.67</v>
      </c>
      <c r="P1448" s="69">
        <v>13.87</v>
      </c>
      <c r="Q1448" s="27">
        <v>51</v>
      </c>
      <c r="R1448" s="69">
        <v>1.47</v>
      </c>
      <c r="S1448" s="69">
        <v>124.06</v>
      </c>
      <c r="X1448" s="2">
        <f t="shared" si="66"/>
        <v>0.49</v>
      </c>
      <c r="Y1448" s="2">
        <f>SUMIF(收盤價!A:A,A1448,收盤價!C:C)</f>
        <v>16.600000000000001</v>
      </c>
      <c r="Z1448" s="2">
        <f t="shared" si="67"/>
        <v>1380743.243</v>
      </c>
      <c r="AA1448" s="2">
        <f t="shared" si="68"/>
        <v>1652511.7400000002</v>
      </c>
    </row>
    <row r="1449" spans="1:27" ht="14.5" customHeight="1">
      <c r="A1449" s="7" t="s">
        <v>6819</v>
      </c>
      <c r="B1449" s="8" t="s">
        <v>2183</v>
      </c>
      <c r="C1449" s="27">
        <v>5000238</v>
      </c>
      <c r="D1449" s="27">
        <v>4825632</v>
      </c>
      <c r="E1449" s="69">
        <v>3.62</v>
      </c>
      <c r="F1449" s="27">
        <v>56714</v>
      </c>
      <c r="G1449" s="27">
        <v>-2273</v>
      </c>
      <c r="H1449" s="27">
        <v>45979</v>
      </c>
      <c r="I1449" s="27">
        <v>48150</v>
      </c>
      <c r="J1449" s="27">
        <v>30532</v>
      </c>
      <c r="K1449" s="27">
        <v>793</v>
      </c>
      <c r="L1449" s="28" t="s">
        <v>6378</v>
      </c>
      <c r="M1449" s="27">
        <v>1320159</v>
      </c>
      <c r="N1449" s="69">
        <v>0.23</v>
      </c>
      <c r="O1449" s="69">
        <v>0.01</v>
      </c>
      <c r="P1449" s="69">
        <v>17.71</v>
      </c>
      <c r="Q1449" s="27">
        <v>45</v>
      </c>
      <c r="R1449" s="69">
        <v>1.69</v>
      </c>
      <c r="S1449" s="69">
        <v>149.84</v>
      </c>
      <c r="X1449" s="2">
        <f t="shared" si="66"/>
        <v>0.55000000000000004</v>
      </c>
      <c r="Y1449" s="2">
        <f>SUMIF(收盤價!A:A,A1449,收盤價!C:C)</f>
        <v>17.899999999999999</v>
      </c>
      <c r="Z1449" s="2">
        <f t="shared" si="67"/>
        <v>2338001.5890000002</v>
      </c>
      <c r="AA1449" s="2">
        <f t="shared" si="68"/>
        <v>2363084.61</v>
      </c>
    </row>
    <row r="1450" spans="1:27" ht="14.5" customHeight="1">
      <c r="A1450" s="7" t="s">
        <v>6820</v>
      </c>
      <c r="B1450" s="8" t="s">
        <v>2191</v>
      </c>
      <c r="C1450" s="27">
        <v>1771491</v>
      </c>
      <c r="D1450" s="27">
        <v>2741833</v>
      </c>
      <c r="E1450" s="69">
        <v>-35.39</v>
      </c>
      <c r="F1450" s="27">
        <v>273290</v>
      </c>
      <c r="G1450" s="27">
        <v>318282</v>
      </c>
      <c r="H1450" s="27">
        <v>-22117</v>
      </c>
      <c r="I1450" s="27">
        <v>-18252</v>
      </c>
      <c r="J1450" s="27">
        <v>203770</v>
      </c>
      <c r="K1450" s="27">
        <v>271711</v>
      </c>
      <c r="L1450" s="69">
        <v>-25</v>
      </c>
      <c r="M1450" s="27">
        <v>502253</v>
      </c>
      <c r="N1450" s="69">
        <v>4.0599999999999996</v>
      </c>
      <c r="O1450" s="69">
        <v>4.6399999999999997</v>
      </c>
      <c r="P1450" s="69">
        <v>25.26</v>
      </c>
      <c r="Q1450" s="27">
        <v>42</v>
      </c>
      <c r="R1450" s="69">
        <v>1.59</v>
      </c>
      <c r="S1450" s="69">
        <v>58.22</v>
      </c>
      <c r="X1450" s="2">
        <f t="shared" si="66"/>
        <v>0.57999999999999996</v>
      </c>
      <c r="Y1450" s="2">
        <f>SUMIF(收盤價!A:A,A1450,收盤價!C:C)</f>
        <v>35.950000000000003</v>
      </c>
      <c r="Z1450" s="2">
        <f t="shared" si="67"/>
        <v>1268691.0780000002</v>
      </c>
      <c r="AA1450" s="2">
        <f t="shared" si="68"/>
        <v>1805599.5350000001</v>
      </c>
    </row>
    <row r="1451" spans="1:27" ht="14.5" customHeight="1">
      <c r="A1451" s="7" t="s">
        <v>6821</v>
      </c>
      <c r="B1451" s="8" t="s">
        <v>2193</v>
      </c>
      <c r="C1451" s="27">
        <v>254719</v>
      </c>
      <c r="D1451" s="27">
        <v>238930</v>
      </c>
      <c r="E1451" s="69">
        <v>6.61</v>
      </c>
      <c r="F1451" s="27">
        <v>-23580</v>
      </c>
      <c r="G1451" s="27">
        <v>-136793</v>
      </c>
      <c r="H1451" s="27">
        <v>7653</v>
      </c>
      <c r="I1451" s="27">
        <v>113151</v>
      </c>
      <c r="J1451" s="27">
        <v>-12087</v>
      </c>
      <c r="K1451" s="27">
        <v>-27688</v>
      </c>
      <c r="L1451" s="69">
        <v>56.35</v>
      </c>
      <c r="M1451" s="27">
        <v>837708</v>
      </c>
      <c r="N1451" s="69">
        <v>-0.14000000000000001</v>
      </c>
      <c r="O1451" s="69">
        <v>-0.33</v>
      </c>
      <c r="P1451" s="69">
        <v>9.89</v>
      </c>
      <c r="Q1451" s="27">
        <v>97</v>
      </c>
      <c r="R1451" s="69">
        <v>151.55000000000001</v>
      </c>
      <c r="S1451" s="69">
        <v>14982.7</v>
      </c>
      <c r="X1451" s="2">
        <f t="shared" si="66"/>
        <v>0.03</v>
      </c>
      <c r="Y1451" s="2">
        <f>SUMIF(收盤價!A:A,A1451,收盤價!C:C)</f>
        <v>18.3</v>
      </c>
      <c r="Z1451" s="2">
        <f t="shared" si="67"/>
        <v>828493.21200000006</v>
      </c>
      <c r="AA1451" s="2">
        <f t="shared" si="68"/>
        <v>1533005.6400000001</v>
      </c>
    </row>
    <row r="1452" spans="1:27" ht="14.5" customHeight="1">
      <c r="A1452" s="7" t="s">
        <v>6822</v>
      </c>
      <c r="B1452" s="8" t="s">
        <v>2197</v>
      </c>
      <c r="C1452" s="27">
        <v>2617274</v>
      </c>
      <c r="D1452" s="27">
        <v>2640275</v>
      </c>
      <c r="E1452" s="69">
        <v>-0.87</v>
      </c>
      <c r="F1452" s="27">
        <v>-54474</v>
      </c>
      <c r="G1452" s="27">
        <v>-84992</v>
      </c>
      <c r="H1452" s="27">
        <v>1449</v>
      </c>
      <c r="I1452" s="27">
        <v>432107</v>
      </c>
      <c r="J1452" s="27">
        <v>-83342</v>
      </c>
      <c r="K1452" s="27">
        <v>318184</v>
      </c>
      <c r="L1452" s="69">
        <v>-126.19</v>
      </c>
      <c r="M1452" s="27">
        <v>966515</v>
      </c>
      <c r="N1452" s="69">
        <v>-0.88</v>
      </c>
      <c r="O1452" s="69">
        <v>3.68</v>
      </c>
      <c r="P1452" s="69">
        <v>10.37</v>
      </c>
      <c r="Q1452" s="27">
        <v>40</v>
      </c>
      <c r="R1452" s="69">
        <v>1.83</v>
      </c>
      <c r="S1452" s="69">
        <v>156.59</v>
      </c>
      <c r="X1452" s="2">
        <f t="shared" si="66"/>
        <v>0.6</v>
      </c>
      <c r="Y1452" s="2">
        <f>SUMIF(收盤價!A:A,A1452,收盤價!C:C)</f>
        <v>8.19</v>
      </c>
      <c r="Z1452" s="2">
        <f t="shared" si="67"/>
        <v>1002276.0549999999</v>
      </c>
      <c r="AA1452" s="2">
        <f t="shared" si="68"/>
        <v>791575.78499999992</v>
      </c>
    </row>
    <row r="1453" spans="1:27" ht="14.5" customHeight="1">
      <c r="A1453" s="7" t="s">
        <v>6823</v>
      </c>
      <c r="B1453" s="8" t="s">
        <v>2205</v>
      </c>
      <c r="C1453" s="27">
        <v>1080258</v>
      </c>
      <c r="D1453" s="27">
        <v>1182567</v>
      </c>
      <c r="E1453" s="69">
        <v>-8.65</v>
      </c>
      <c r="F1453" s="27">
        <v>102052</v>
      </c>
      <c r="G1453" s="27">
        <v>150057</v>
      </c>
      <c r="H1453" s="27">
        <v>10563</v>
      </c>
      <c r="I1453" s="27">
        <v>14431</v>
      </c>
      <c r="J1453" s="27">
        <v>89349</v>
      </c>
      <c r="K1453" s="27">
        <v>131313</v>
      </c>
      <c r="L1453" s="69">
        <v>-31.96</v>
      </c>
      <c r="M1453" s="27">
        <v>481042</v>
      </c>
      <c r="N1453" s="69">
        <v>1.86</v>
      </c>
      <c r="O1453" s="69">
        <v>2.73</v>
      </c>
      <c r="P1453" s="69">
        <v>27.49</v>
      </c>
      <c r="Q1453" s="27">
        <v>86</v>
      </c>
      <c r="R1453" s="69">
        <v>6.32</v>
      </c>
      <c r="S1453" s="69">
        <v>501.61</v>
      </c>
      <c r="X1453" s="2">
        <f t="shared" si="66"/>
        <v>0.14000000000000001</v>
      </c>
      <c r="Y1453" s="2">
        <f>SUMIF(收盤價!A:A,A1453,收盤價!C:C)</f>
        <v>0</v>
      </c>
      <c r="Z1453" s="2">
        <f t="shared" si="67"/>
        <v>1322384.4580000001</v>
      </c>
      <c r="AA1453" s="2">
        <f t="shared" si="68"/>
        <v>0</v>
      </c>
    </row>
    <row r="1454" spans="1:27" ht="14.5" customHeight="1">
      <c r="A1454" s="7" t="s">
        <v>6824</v>
      </c>
      <c r="B1454" s="8" t="s">
        <v>2209</v>
      </c>
      <c r="C1454" s="27">
        <v>439616</v>
      </c>
      <c r="D1454" s="27">
        <v>495577</v>
      </c>
      <c r="E1454" s="69">
        <v>-11.29</v>
      </c>
      <c r="F1454" s="27">
        <v>35409</v>
      </c>
      <c r="G1454" s="27">
        <v>48484</v>
      </c>
      <c r="H1454" s="27">
        <v>7291</v>
      </c>
      <c r="I1454" s="27">
        <v>48365</v>
      </c>
      <c r="J1454" s="27">
        <v>35226</v>
      </c>
      <c r="K1454" s="27">
        <v>75952</v>
      </c>
      <c r="L1454" s="69">
        <v>-53.62</v>
      </c>
      <c r="M1454" s="27">
        <v>701124</v>
      </c>
      <c r="N1454" s="69">
        <v>0.5</v>
      </c>
      <c r="O1454" s="69">
        <v>1.0900000000000001</v>
      </c>
      <c r="P1454" s="69">
        <v>17</v>
      </c>
      <c r="Q1454" s="27">
        <v>71</v>
      </c>
      <c r="R1454" s="69">
        <v>2.67</v>
      </c>
      <c r="S1454" s="69">
        <v>245.94</v>
      </c>
      <c r="X1454" s="2">
        <f t="shared" si="66"/>
        <v>0.28999999999999998</v>
      </c>
      <c r="Y1454" s="2">
        <f>SUMIF(收盤價!A:A,A1454,收盤價!C:C)</f>
        <v>16.2</v>
      </c>
      <c r="Z1454" s="2">
        <f t="shared" si="67"/>
        <v>1191910.8</v>
      </c>
      <c r="AA1454" s="2">
        <f t="shared" si="68"/>
        <v>1135820.8799999999</v>
      </c>
    </row>
    <row r="1455" spans="1:27" ht="14.5" customHeight="1">
      <c r="A1455" s="7" t="s">
        <v>6825</v>
      </c>
      <c r="B1455" s="8" t="s">
        <v>2225</v>
      </c>
      <c r="C1455" s="27">
        <v>7772334</v>
      </c>
      <c r="D1455" s="27">
        <v>8544667</v>
      </c>
      <c r="E1455" s="69">
        <v>-9.0399999999999991</v>
      </c>
      <c r="F1455" s="27">
        <v>500007</v>
      </c>
      <c r="G1455" s="27">
        <v>645916</v>
      </c>
      <c r="H1455" s="27">
        <v>-4468</v>
      </c>
      <c r="I1455" s="27">
        <v>7443</v>
      </c>
      <c r="J1455" s="27">
        <v>375795</v>
      </c>
      <c r="K1455" s="27">
        <v>463242</v>
      </c>
      <c r="L1455" s="69">
        <v>-18.88</v>
      </c>
      <c r="M1455" s="27">
        <v>740610</v>
      </c>
      <c r="N1455" s="69">
        <v>5.0999999999999996</v>
      </c>
      <c r="O1455" s="69">
        <v>7.41</v>
      </c>
      <c r="P1455" s="69">
        <v>51.18</v>
      </c>
      <c r="Q1455" s="27">
        <v>70</v>
      </c>
      <c r="R1455" s="69">
        <v>3.67</v>
      </c>
      <c r="S1455" s="69">
        <v>292.8</v>
      </c>
      <c r="X1455" s="2">
        <f t="shared" si="66"/>
        <v>0.3</v>
      </c>
      <c r="Y1455" s="2">
        <f>SUMIF(收盤價!A:A,A1455,收盤價!C:C)</f>
        <v>69.8</v>
      </c>
      <c r="Z1455" s="2">
        <f t="shared" si="67"/>
        <v>3790441.9799999995</v>
      </c>
      <c r="AA1455" s="2">
        <f t="shared" si="68"/>
        <v>5169457.8</v>
      </c>
    </row>
    <row r="1456" spans="1:27" ht="14.5" customHeight="1">
      <c r="A1456" s="7" t="s">
        <v>6826</v>
      </c>
      <c r="B1456" s="8" t="s">
        <v>2227</v>
      </c>
      <c r="C1456" s="27">
        <v>717603</v>
      </c>
      <c r="D1456" s="27">
        <v>1080455</v>
      </c>
      <c r="E1456" s="69">
        <v>-33.58</v>
      </c>
      <c r="F1456" s="27">
        <v>-57255</v>
      </c>
      <c r="G1456" s="27">
        <v>28025</v>
      </c>
      <c r="H1456" s="27">
        <v>3876</v>
      </c>
      <c r="I1456" s="27">
        <v>57398</v>
      </c>
      <c r="J1456" s="27">
        <v>-42515</v>
      </c>
      <c r="K1456" s="27">
        <v>81956</v>
      </c>
      <c r="L1456" s="69">
        <v>-151.88</v>
      </c>
      <c r="M1456" s="27">
        <v>675051</v>
      </c>
      <c r="N1456" s="69">
        <v>-0.63</v>
      </c>
      <c r="O1456" s="69">
        <v>1.22</v>
      </c>
      <c r="P1456" s="69">
        <v>17.3</v>
      </c>
      <c r="Q1456" s="27">
        <v>59</v>
      </c>
      <c r="R1456" s="69">
        <v>2.14</v>
      </c>
      <c r="S1456" s="69">
        <v>190.65</v>
      </c>
      <c r="X1456" s="2">
        <f t="shared" si="66"/>
        <v>0.41</v>
      </c>
      <c r="Y1456" s="2">
        <f>SUMIF(收盤價!A:A,A1456,收盤價!C:C)</f>
        <v>23.2</v>
      </c>
      <c r="Z1456" s="2">
        <f t="shared" si="67"/>
        <v>1167838.23</v>
      </c>
      <c r="AA1456" s="2">
        <f t="shared" si="68"/>
        <v>1566118.3199999998</v>
      </c>
    </row>
    <row r="1457" spans="1:27" ht="14.5" customHeight="1">
      <c r="A1457" s="7" t="s">
        <v>6827</v>
      </c>
      <c r="B1457" s="8" t="s">
        <v>2243</v>
      </c>
      <c r="C1457" s="27">
        <v>4912</v>
      </c>
      <c r="D1457" s="27">
        <v>11600</v>
      </c>
      <c r="E1457" s="69">
        <v>-57.66</v>
      </c>
      <c r="F1457" s="27">
        <v>-22184</v>
      </c>
      <c r="G1457" s="27">
        <v>-17561</v>
      </c>
      <c r="H1457" s="27">
        <v>-18169</v>
      </c>
      <c r="I1457" s="27">
        <v>-1517</v>
      </c>
      <c r="J1457" s="27">
        <v>-38252</v>
      </c>
      <c r="K1457" s="27">
        <v>-19218</v>
      </c>
      <c r="L1457" s="69">
        <v>-99.04</v>
      </c>
      <c r="M1457" s="27">
        <v>211603</v>
      </c>
      <c r="N1457" s="69">
        <v>-1.81</v>
      </c>
      <c r="O1457" s="69">
        <v>-1.26</v>
      </c>
      <c r="P1457" s="69">
        <v>2.35</v>
      </c>
      <c r="Q1457" s="27">
        <v>92</v>
      </c>
      <c r="R1457" s="69">
        <v>13.32</v>
      </c>
      <c r="S1457" s="69">
        <v>1261.6099999999999</v>
      </c>
      <c r="X1457" s="2">
        <f t="shared" si="66"/>
        <v>0.08</v>
      </c>
      <c r="Y1457" s="2">
        <f>SUMIF(收盤價!A:A,A1457,收盤價!C:C)</f>
        <v>34</v>
      </c>
      <c r="Z1457" s="2">
        <f t="shared" si="67"/>
        <v>49726.705000000002</v>
      </c>
      <c r="AA1457" s="2">
        <f t="shared" si="68"/>
        <v>719450.2</v>
      </c>
    </row>
    <row r="1458" spans="1:27" ht="14.5" customHeight="1">
      <c r="A1458" s="7" t="s">
        <v>6828</v>
      </c>
      <c r="B1458" s="8" t="s">
        <v>2251</v>
      </c>
      <c r="C1458" s="27">
        <v>4245968</v>
      </c>
      <c r="D1458" s="27">
        <v>3943954</v>
      </c>
      <c r="E1458" s="69">
        <v>7.66</v>
      </c>
      <c r="F1458" s="27">
        <v>194917</v>
      </c>
      <c r="G1458" s="27">
        <v>148817</v>
      </c>
      <c r="H1458" s="27">
        <v>-14478</v>
      </c>
      <c r="I1458" s="27">
        <v>-5039</v>
      </c>
      <c r="J1458" s="27">
        <v>153788</v>
      </c>
      <c r="K1458" s="27">
        <v>124441</v>
      </c>
      <c r="L1458" s="69">
        <v>23.58</v>
      </c>
      <c r="M1458" s="27">
        <v>697365</v>
      </c>
      <c r="N1458" s="69">
        <v>2.21</v>
      </c>
      <c r="O1458" s="69">
        <v>1.78</v>
      </c>
      <c r="P1458" s="69">
        <v>25.04</v>
      </c>
      <c r="Q1458" s="27">
        <v>46</v>
      </c>
      <c r="R1458" s="69">
        <v>1.72</v>
      </c>
      <c r="S1458" s="69">
        <v>112.14</v>
      </c>
      <c r="X1458" s="2">
        <f t="shared" si="66"/>
        <v>0.54</v>
      </c>
      <c r="Y1458" s="2">
        <f>SUMIF(收盤價!A:A,A1458,收盤價!C:C)</f>
        <v>30.5</v>
      </c>
      <c r="Z1458" s="2">
        <f t="shared" si="67"/>
        <v>1746201.9599999997</v>
      </c>
      <c r="AA1458" s="2">
        <f t="shared" si="68"/>
        <v>2126963.25</v>
      </c>
    </row>
    <row r="1459" spans="1:27" ht="14.5" customHeight="1">
      <c r="A1459" s="7" t="s">
        <v>6829</v>
      </c>
      <c r="B1459" s="8" t="s">
        <v>2259</v>
      </c>
      <c r="C1459" s="27">
        <v>755626</v>
      </c>
      <c r="D1459" s="27">
        <v>808246</v>
      </c>
      <c r="E1459" s="69">
        <v>-6.51</v>
      </c>
      <c r="F1459" s="27">
        <v>38351</v>
      </c>
      <c r="G1459" s="27">
        <v>43523</v>
      </c>
      <c r="H1459" s="27">
        <v>15539</v>
      </c>
      <c r="I1459" s="27">
        <v>43519</v>
      </c>
      <c r="J1459" s="27">
        <v>42569</v>
      </c>
      <c r="K1459" s="27">
        <v>65003</v>
      </c>
      <c r="L1459" s="69">
        <v>-34.51</v>
      </c>
      <c r="M1459" s="27">
        <v>355316</v>
      </c>
      <c r="N1459" s="69">
        <v>1.2</v>
      </c>
      <c r="O1459" s="69">
        <v>1.83</v>
      </c>
      <c r="P1459" s="69">
        <v>15.3</v>
      </c>
      <c r="Q1459" s="27">
        <v>61</v>
      </c>
      <c r="R1459" s="69">
        <v>2.08</v>
      </c>
      <c r="S1459" s="69">
        <v>175.6</v>
      </c>
      <c r="X1459" s="2">
        <f t="shared" si="66"/>
        <v>0.39</v>
      </c>
      <c r="Y1459" s="2">
        <f>SUMIF(收盤價!A:A,A1459,收盤價!C:C)</f>
        <v>18.25</v>
      </c>
      <c r="Z1459" s="2">
        <f t="shared" si="67"/>
        <v>543633.48</v>
      </c>
      <c r="AA1459" s="2">
        <f t="shared" si="68"/>
        <v>648451.69999999995</v>
      </c>
    </row>
    <row r="1460" spans="1:27" ht="14.5" customHeight="1">
      <c r="A1460" s="7" t="s">
        <v>6830</v>
      </c>
      <c r="B1460" s="8" t="s">
        <v>2267</v>
      </c>
      <c r="C1460" s="27">
        <v>1355354</v>
      </c>
      <c r="D1460" s="27">
        <v>1182126</v>
      </c>
      <c r="E1460" s="69">
        <v>14.65</v>
      </c>
      <c r="F1460" s="27">
        <v>224126</v>
      </c>
      <c r="G1460" s="27">
        <v>62876</v>
      </c>
      <c r="H1460" s="27">
        <v>-19899</v>
      </c>
      <c r="I1460" s="27">
        <v>5630</v>
      </c>
      <c r="J1460" s="27">
        <v>152371</v>
      </c>
      <c r="K1460" s="27">
        <v>58201</v>
      </c>
      <c r="L1460" s="69">
        <v>161.80000000000001</v>
      </c>
      <c r="M1460" s="27">
        <v>499729</v>
      </c>
      <c r="N1460" s="69">
        <v>3.3</v>
      </c>
      <c r="O1460" s="69">
        <v>1.31</v>
      </c>
      <c r="P1460" s="69">
        <v>16.47</v>
      </c>
      <c r="Q1460" s="27">
        <v>67</v>
      </c>
      <c r="R1460" s="69">
        <v>2.5499999999999998</v>
      </c>
      <c r="S1460" s="69">
        <v>222.96</v>
      </c>
      <c r="X1460" s="2">
        <f t="shared" si="66"/>
        <v>0.33</v>
      </c>
      <c r="Y1460" s="2">
        <f>SUMIF(收盤價!A:A,A1460,收盤價!C:C)</f>
        <v>41.7</v>
      </c>
      <c r="Z1460" s="2">
        <f t="shared" si="67"/>
        <v>823053.66299999994</v>
      </c>
      <c r="AA1460" s="2">
        <f t="shared" si="68"/>
        <v>2083869.9300000002</v>
      </c>
    </row>
    <row r="1461" spans="1:27" ht="14.5" customHeight="1">
      <c r="A1461" s="7" t="s">
        <v>6831</v>
      </c>
      <c r="B1461" s="8" t="s">
        <v>2269</v>
      </c>
      <c r="C1461" s="27">
        <v>1320842</v>
      </c>
      <c r="D1461" s="27">
        <v>1079480</v>
      </c>
      <c r="E1461" s="69">
        <v>22.36</v>
      </c>
      <c r="F1461" s="27">
        <v>18795</v>
      </c>
      <c r="G1461" s="27">
        <v>-33321</v>
      </c>
      <c r="H1461" s="27">
        <v>3775</v>
      </c>
      <c r="I1461" s="27">
        <v>-2216</v>
      </c>
      <c r="J1461" s="27">
        <v>22570</v>
      </c>
      <c r="K1461" s="27">
        <v>-35537</v>
      </c>
      <c r="L1461" s="69">
        <v>163.51</v>
      </c>
      <c r="M1461" s="27">
        <v>710000</v>
      </c>
      <c r="N1461" s="69">
        <v>0.32</v>
      </c>
      <c r="O1461" s="69">
        <v>-0.52</v>
      </c>
      <c r="P1461" s="69">
        <v>13.9</v>
      </c>
      <c r="Q1461" s="27">
        <v>23</v>
      </c>
      <c r="R1461" s="69">
        <v>1.25</v>
      </c>
      <c r="S1461" s="69">
        <v>28.17</v>
      </c>
      <c r="X1461" s="2">
        <f t="shared" si="66"/>
        <v>0.77</v>
      </c>
      <c r="Y1461" s="2">
        <f>SUMIF(收盤價!A:A,A1461,收盤價!C:C)</f>
        <v>31</v>
      </c>
      <c r="Z1461" s="2">
        <f t="shared" si="67"/>
        <v>986900</v>
      </c>
      <c r="AA1461" s="2">
        <f t="shared" si="68"/>
        <v>2201000</v>
      </c>
    </row>
    <row r="1462" spans="1:27" ht="14.5" customHeight="1">
      <c r="A1462" s="7" t="s">
        <v>6832</v>
      </c>
      <c r="B1462" s="8" t="s">
        <v>2273</v>
      </c>
      <c r="C1462" s="27">
        <v>838193</v>
      </c>
      <c r="D1462" s="27">
        <v>867753</v>
      </c>
      <c r="E1462" s="69">
        <v>-3.41</v>
      </c>
      <c r="F1462" s="27">
        <v>24368</v>
      </c>
      <c r="G1462" s="27">
        <v>1179</v>
      </c>
      <c r="H1462" s="27">
        <v>3205</v>
      </c>
      <c r="I1462" s="27">
        <v>9339</v>
      </c>
      <c r="J1462" s="27">
        <v>17064</v>
      </c>
      <c r="K1462" s="27">
        <v>793</v>
      </c>
      <c r="L1462" s="28" t="s">
        <v>6378</v>
      </c>
      <c r="M1462" s="27">
        <v>388468</v>
      </c>
      <c r="N1462" s="69">
        <v>0.44</v>
      </c>
      <c r="O1462" s="69">
        <v>0.03</v>
      </c>
      <c r="P1462" s="69">
        <v>9.09</v>
      </c>
      <c r="Q1462" s="27">
        <v>46</v>
      </c>
      <c r="R1462" s="69">
        <v>2.34</v>
      </c>
      <c r="S1462" s="69">
        <v>191.05</v>
      </c>
      <c r="X1462" s="2">
        <f t="shared" si="66"/>
        <v>0.54</v>
      </c>
      <c r="Y1462" s="2">
        <f>SUMIF(收盤價!A:A,A1462,收盤價!C:C)</f>
        <v>12.2</v>
      </c>
      <c r="Z1462" s="2">
        <f t="shared" si="67"/>
        <v>353117.41200000001</v>
      </c>
      <c r="AA1462" s="2">
        <f t="shared" si="68"/>
        <v>473930.95999999996</v>
      </c>
    </row>
    <row r="1463" spans="1:27" ht="14.5" customHeight="1">
      <c r="A1463" s="7" t="s">
        <v>6833</v>
      </c>
      <c r="B1463" s="8" t="s">
        <v>2281</v>
      </c>
      <c r="C1463" s="27">
        <v>1979761</v>
      </c>
      <c r="D1463" s="27">
        <v>1954564</v>
      </c>
      <c r="E1463" s="69">
        <v>1.29</v>
      </c>
      <c r="F1463" s="27">
        <v>433362</v>
      </c>
      <c r="G1463" s="27">
        <v>364762</v>
      </c>
      <c r="H1463" s="27">
        <v>32647</v>
      </c>
      <c r="I1463" s="27">
        <v>52849</v>
      </c>
      <c r="J1463" s="27">
        <v>394400</v>
      </c>
      <c r="K1463" s="27">
        <v>341422</v>
      </c>
      <c r="L1463" s="69">
        <v>15.52</v>
      </c>
      <c r="M1463" s="27">
        <v>652971</v>
      </c>
      <c r="N1463" s="69">
        <v>6.13</v>
      </c>
      <c r="O1463" s="69">
        <v>5.23</v>
      </c>
      <c r="P1463" s="69">
        <v>24.58</v>
      </c>
      <c r="Q1463" s="27">
        <v>50</v>
      </c>
      <c r="R1463" s="69">
        <v>2.2799999999999998</v>
      </c>
      <c r="S1463" s="69">
        <v>215.32</v>
      </c>
      <c r="X1463" s="2">
        <f t="shared" si="66"/>
        <v>0.5</v>
      </c>
      <c r="Y1463" s="2">
        <f>SUMIF(收盤價!A:A,A1463,收盤價!C:C)</f>
        <v>80.7</v>
      </c>
      <c r="Z1463" s="2">
        <f t="shared" si="67"/>
        <v>1605002.7179999999</v>
      </c>
      <c r="AA1463" s="2">
        <f t="shared" si="68"/>
        <v>5269475.9700000007</v>
      </c>
    </row>
    <row r="1464" spans="1:27" ht="14.5" customHeight="1">
      <c r="A1464" s="7" t="s">
        <v>6834</v>
      </c>
      <c r="B1464" s="8" t="s">
        <v>2289</v>
      </c>
      <c r="C1464" s="27">
        <v>2725185</v>
      </c>
      <c r="D1464" s="27">
        <v>2612900</v>
      </c>
      <c r="E1464" s="69">
        <v>4.3</v>
      </c>
      <c r="F1464" s="27">
        <v>209798</v>
      </c>
      <c r="G1464" s="27">
        <v>173306</v>
      </c>
      <c r="H1464" s="27">
        <v>-20749</v>
      </c>
      <c r="I1464" s="27">
        <v>10708</v>
      </c>
      <c r="J1464" s="27">
        <v>149363</v>
      </c>
      <c r="K1464" s="27">
        <v>142951</v>
      </c>
      <c r="L1464" s="69">
        <v>4.49</v>
      </c>
      <c r="M1464" s="27">
        <v>486952</v>
      </c>
      <c r="N1464" s="69">
        <v>3.07</v>
      </c>
      <c r="O1464" s="69">
        <v>2.94</v>
      </c>
      <c r="P1464" s="69">
        <v>19.03</v>
      </c>
      <c r="Q1464" s="27">
        <v>58</v>
      </c>
      <c r="R1464" s="69">
        <v>2.3199999999999998</v>
      </c>
      <c r="S1464" s="69">
        <v>180.1</v>
      </c>
      <c r="X1464" s="2">
        <f t="shared" si="66"/>
        <v>0.42</v>
      </c>
      <c r="Y1464" s="2">
        <f>SUMIF(收盤價!A:A,A1464,收盤價!C:C)</f>
        <v>33</v>
      </c>
      <c r="Z1464" s="2">
        <f t="shared" si="67"/>
        <v>926669.65600000008</v>
      </c>
      <c r="AA1464" s="2">
        <f t="shared" si="68"/>
        <v>1606941.6</v>
      </c>
    </row>
    <row r="1465" spans="1:27" ht="14.5" customHeight="1">
      <c r="A1465" s="7" t="s">
        <v>6835</v>
      </c>
      <c r="B1465" s="8" t="s">
        <v>2297</v>
      </c>
      <c r="C1465" s="27">
        <v>5763574</v>
      </c>
      <c r="D1465" s="27">
        <v>5775584</v>
      </c>
      <c r="E1465" s="69">
        <v>-0.21</v>
      </c>
      <c r="F1465" s="27">
        <v>516313</v>
      </c>
      <c r="G1465" s="27">
        <v>434580</v>
      </c>
      <c r="H1465" s="27">
        <v>100906</v>
      </c>
      <c r="I1465" s="27">
        <v>193215</v>
      </c>
      <c r="J1465" s="27">
        <v>464690</v>
      </c>
      <c r="K1465" s="27">
        <v>447413</v>
      </c>
      <c r="L1465" s="69">
        <v>3.86</v>
      </c>
      <c r="M1465" s="27">
        <v>601214</v>
      </c>
      <c r="N1465" s="69">
        <v>7.73</v>
      </c>
      <c r="O1465" s="69">
        <v>7.44</v>
      </c>
      <c r="P1465" s="69">
        <v>64.989999999999995</v>
      </c>
      <c r="Q1465" s="27">
        <v>58</v>
      </c>
      <c r="R1465" s="69">
        <v>1.96</v>
      </c>
      <c r="S1465" s="69">
        <v>163.75</v>
      </c>
      <c r="X1465" s="2">
        <f t="shared" si="66"/>
        <v>0.42</v>
      </c>
      <c r="Y1465" s="2">
        <f>SUMIF(收盤價!A:A,A1465,收盤價!C:C)</f>
        <v>95.3</v>
      </c>
      <c r="Z1465" s="2">
        <f t="shared" si="67"/>
        <v>3907289.7859999998</v>
      </c>
      <c r="AA1465" s="2">
        <f t="shared" si="68"/>
        <v>5729569.4199999999</v>
      </c>
    </row>
    <row r="1466" spans="1:27" ht="14.5" customHeight="1">
      <c r="A1466" s="7" t="s">
        <v>6028</v>
      </c>
      <c r="B1466" s="8" t="s">
        <v>2325</v>
      </c>
      <c r="C1466" s="27">
        <v>778372</v>
      </c>
      <c r="D1466" s="27">
        <v>781701</v>
      </c>
      <c r="E1466" s="69">
        <v>-0.43</v>
      </c>
      <c r="F1466" s="27">
        <v>35757</v>
      </c>
      <c r="G1466" s="27">
        <v>55413</v>
      </c>
      <c r="H1466" s="27">
        <v>11316</v>
      </c>
      <c r="I1466" s="27">
        <v>15956</v>
      </c>
      <c r="J1466" s="27">
        <v>32060</v>
      </c>
      <c r="K1466" s="27">
        <v>45897</v>
      </c>
      <c r="L1466" s="69">
        <v>-30.15</v>
      </c>
      <c r="M1466" s="27">
        <v>310112</v>
      </c>
      <c r="N1466" s="69">
        <v>1.05</v>
      </c>
      <c r="O1466" s="69">
        <v>1.51</v>
      </c>
      <c r="P1466" s="69">
        <v>13.02</v>
      </c>
      <c r="Q1466" s="27">
        <v>41</v>
      </c>
      <c r="R1466" s="69">
        <v>1.42</v>
      </c>
      <c r="S1466" s="69">
        <v>121.15</v>
      </c>
      <c r="X1466" s="2">
        <f t="shared" si="66"/>
        <v>0.59</v>
      </c>
      <c r="Y1466" s="2">
        <f>SUMIF(收盤價!A:A,A1466,收盤價!C:C)</f>
        <v>22.62</v>
      </c>
      <c r="Z1466" s="2">
        <f t="shared" si="67"/>
        <v>403765.82399999996</v>
      </c>
      <c r="AA1466" s="2">
        <f t="shared" si="68"/>
        <v>701473.34400000004</v>
      </c>
    </row>
    <row r="1467" spans="1:27" ht="14.5" customHeight="1">
      <c r="A1467" s="7" t="s">
        <v>6836</v>
      </c>
      <c r="B1467" s="8" t="s">
        <v>2327</v>
      </c>
      <c r="C1467" s="27">
        <v>573063</v>
      </c>
      <c r="D1467" s="27">
        <v>610007</v>
      </c>
      <c r="E1467" s="69">
        <v>-6.06</v>
      </c>
      <c r="F1467" s="27">
        <v>1962</v>
      </c>
      <c r="G1467" s="27">
        <v>9981</v>
      </c>
      <c r="H1467" s="27">
        <v>3231</v>
      </c>
      <c r="I1467" s="27">
        <v>14323</v>
      </c>
      <c r="J1467" s="27">
        <v>889</v>
      </c>
      <c r="K1467" s="27">
        <v>21895</v>
      </c>
      <c r="L1467" s="69">
        <v>-95.94</v>
      </c>
      <c r="M1467" s="27">
        <v>303394</v>
      </c>
      <c r="N1467" s="69">
        <v>0.03</v>
      </c>
      <c r="O1467" s="69">
        <v>0.72</v>
      </c>
      <c r="P1467" s="69">
        <v>16.29</v>
      </c>
      <c r="Q1467" s="27">
        <v>68</v>
      </c>
      <c r="R1467" s="69">
        <v>2.04</v>
      </c>
      <c r="S1467" s="69">
        <v>169.51</v>
      </c>
      <c r="X1467" s="2">
        <f t="shared" si="66"/>
        <v>0.32</v>
      </c>
      <c r="Y1467" s="2">
        <f>SUMIF(收盤價!A:A,A1467,收盤價!C:C)</f>
        <v>18.850000000000001</v>
      </c>
      <c r="Z1467" s="2">
        <f t="shared" si="67"/>
        <v>494228.826</v>
      </c>
      <c r="AA1467" s="2">
        <f t="shared" si="68"/>
        <v>571897.69000000006</v>
      </c>
    </row>
    <row r="1468" spans="1:27" ht="14.5" customHeight="1">
      <c r="A1468" s="7" t="s">
        <v>6837</v>
      </c>
      <c r="B1468" s="8" t="s">
        <v>2335</v>
      </c>
      <c r="C1468" s="27">
        <v>2144527</v>
      </c>
      <c r="D1468" s="27">
        <v>2653960</v>
      </c>
      <c r="E1468" s="69">
        <v>-19.2</v>
      </c>
      <c r="F1468" s="27">
        <v>177322</v>
      </c>
      <c r="G1468" s="27">
        <v>500441</v>
      </c>
      <c r="H1468" s="27">
        <v>2578</v>
      </c>
      <c r="I1468" s="27">
        <v>-157592</v>
      </c>
      <c r="J1468" s="27">
        <v>143714</v>
      </c>
      <c r="K1468" s="27">
        <v>276376</v>
      </c>
      <c r="L1468" s="69">
        <v>-48</v>
      </c>
      <c r="M1468" s="27">
        <v>1173408</v>
      </c>
      <c r="N1468" s="69">
        <v>1.22</v>
      </c>
      <c r="O1468" s="69">
        <v>2.36</v>
      </c>
      <c r="P1468" s="69">
        <v>21.5</v>
      </c>
      <c r="Q1468" s="27">
        <v>81</v>
      </c>
      <c r="R1468" s="69">
        <v>4.32</v>
      </c>
      <c r="S1468" s="69">
        <v>293.18</v>
      </c>
      <c r="X1468" s="2">
        <f t="shared" si="66"/>
        <v>0.19</v>
      </c>
      <c r="Y1468" s="2">
        <f>SUMIF(收盤價!A:A,A1468,收盤價!C:C)</f>
        <v>28.1</v>
      </c>
      <c r="Z1468" s="2">
        <f t="shared" si="67"/>
        <v>2522827.2000000002</v>
      </c>
      <c r="AA1468" s="2">
        <f t="shared" si="68"/>
        <v>3297276.48</v>
      </c>
    </row>
    <row r="1469" spans="1:27" ht="14.5" customHeight="1">
      <c r="A1469" s="7" t="s">
        <v>6838</v>
      </c>
      <c r="B1469" s="8" t="s">
        <v>2345</v>
      </c>
      <c r="C1469" s="27">
        <v>560193</v>
      </c>
      <c r="D1469" s="27">
        <v>1547768</v>
      </c>
      <c r="E1469" s="69">
        <v>-63.81</v>
      </c>
      <c r="F1469" s="27">
        <v>-37345</v>
      </c>
      <c r="G1469" s="27">
        <v>-25446</v>
      </c>
      <c r="H1469" s="27">
        <v>11706</v>
      </c>
      <c r="I1469" s="27">
        <v>33524</v>
      </c>
      <c r="J1469" s="27">
        <v>-21723</v>
      </c>
      <c r="K1469" s="27">
        <v>-16988</v>
      </c>
      <c r="L1469" s="69">
        <v>-27.87</v>
      </c>
      <c r="M1469" s="27">
        <v>799209</v>
      </c>
      <c r="N1469" s="69">
        <v>-0.27</v>
      </c>
      <c r="O1469" s="69">
        <v>-0.21</v>
      </c>
      <c r="P1469" s="69">
        <v>14.28</v>
      </c>
      <c r="Q1469" s="27">
        <v>57</v>
      </c>
      <c r="R1469" s="69">
        <v>2.57</v>
      </c>
      <c r="S1469" s="69">
        <v>211.5</v>
      </c>
      <c r="X1469" s="2">
        <f t="shared" si="66"/>
        <v>0.43</v>
      </c>
      <c r="Y1469" s="2">
        <f>SUMIF(收盤價!A:A,A1469,收盤價!C:C)</f>
        <v>53</v>
      </c>
      <c r="Z1469" s="2">
        <f t="shared" si="67"/>
        <v>1141270.452</v>
      </c>
      <c r="AA1469" s="2">
        <f t="shared" si="68"/>
        <v>4235807.7</v>
      </c>
    </row>
    <row r="1470" spans="1:27" ht="14.5" customHeight="1">
      <c r="A1470" s="7" t="s">
        <v>6839</v>
      </c>
      <c r="B1470" s="8" t="s">
        <v>2351</v>
      </c>
      <c r="C1470" s="27">
        <v>543345</v>
      </c>
      <c r="D1470" s="27">
        <v>530431</v>
      </c>
      <c r="E1470" s="69">
        <v>2.4300000000000002</v>
      </c>
      <c r="F1470" s="27">
        <v>41350</v>
      </c>
      <c r="G1470" s="27">
        <v>39714</v>
      </c>
      <c r="H1470" s="27">
        <v>3659</v>
      </c>
      <c r="I1470" s="27">
        <v>16849</v>
      </c>
      <c r="J1470" s="27">
        <v>44218</v>
      </c>
      <c r="K1470" s="27">
        <v>48122</v>
      </c>
      <c r="L1470" s="69">
        <v>-8.11</v>
      </c>
      <c r="M1470" s="27">
        <v>392974</v>
      </c>
      <c r="N1470" s="69">
        <v>1.1299999999999999</v>
      </c>
      <c r="O1470" s="69">
        <v>1.23</v>
      </c>
      <c r="P1470" s="69">
        <v>11.87</v>
      </c>
      <c r="Q1470" s="27">
        <v>69</v>
      </c>
      <c r="R1470" s="69">
        <v>2.74</v>
      </c>
      <c r="S1470" s="69">
        <v>193.63</v>
      </c>
      <c r="X1470" s="2">
        <f t="shared" si="66"/>
        <v>0.31</v>
      </c>
      <c r="Y1470" s="2">
        <f>SUMIF(收盤價!A:A,A1470,收盤價!C:C)</f>
        <v>17.05</v>
      </c>
      <c r="Z1470" s="2">
        <f t="shared" si="67"/>
        <v>466460.13799999998</v>
      </c>
      <c r="AA1470" s="2">
        <f t="shared" si="68"/>
        <v>670020.67000000004</v>
      </c>
    </row>
    <row r="1471" spans="1:27" ht="14.5" customHeight="1">
      <c r="A1471" s="7" t="s">
        <v>6840</v>
      </c>
      <c r="B1471" s="8" t="s">
        <v>2373</v>
      </c>
      <c r="C1471" s="27">
        <v>4657720</v>
      </c>
      <c r="D1471" s="27">
        <v>4477826</v>
      </c>
      <c r="E1471" s="69">
        <v>4.0199999999999996</v>
      </c>
      <c r="F1471" s="27">
        <v>-2622</v>
      </c>
      <c r="G1471" s="27">
        <v>64561</v>
      </c>
      <c r="H1471" s="27">
        <v>29654</v>
      </c>
      <c r="I1471" s="27">
        <v>36019</v>
      </c>
      <c r="J1471" s="27">
        <v>53368</v>
      </c>
      <c r="K1471" s="27">
        <v>120188</v>
      </c>
      <c r="L1471" s="69">
        <v>-55.6</v>
      </c>
      <c r="M1471" s="27">
        <v>696758</v>
      </c>
      <c r="N1471" s="69">
        <v>0.77</v>
      </c>
      <c r="O1471" s="69">
        <v>1.72</v>
      </c>
      <c r="P1471" s="69">
        <v>36.31</v>
      </c>
      <c r="Q1471" s="27">
        <v>46</v>
      </c>
      <c r="R1471" s="69">
        <v>1.36</v>
      </c>
      <c r="S1471" s="69">
        <v>91.66</v>
      </c>
      <c r="X1471" s="2">
        <f t="shared" si="66"/>
        <v>0.54</v>
      </c>
      <c r="Y1471" s="2">
        <f>SUMIF(收盤價!A:A,A1471,收盤價!C:C)</f>
        <v>26.8</v>
      </c>
      <c r="Z1471" s="2">
        <f t="shared" si="67"/>
        <v>2529928.298</v>
      </c>
      <c r="AA1471" s="2">
        <f t="shared" si="68"/>
        <v>1867311.4400000002</v>
      </c>
    </row>
    <row r="1472" spans="1:27" ht="14.5" customHeight="1">
      <c r="A1472" s="7" t="s">
        <v>6841</v>
      </c>
      <c r="B1472" s="8" t="s">
        <v>2383</v>
      </c>
      <c r="C1472" s="27">
        <v>7474369</v>
      </c>
      <c r="D1472" s="27">
        <v>6746945</v>
      </c>
      <c r="E1472" s="69">
        <v>10.78</v>
      </c>
      <c r="F1472" s="27">
        <v>-318484</v>
      </c>
      <c r="G1472" s="27">
        <v>-547265</v>
      </c>
      <c r="H1472" s="27">
        <v>56973</v>
      </c>
      <c r="I1472" s="27">
        <v>97190</v>
      </c>
      <c r="J1472" s="27">
        <v>-280230</v>
      </c>
      <c r="K1472" s="27">
        <v>-474096</v>
      </c>
      <c r="L1472" s="69">
        <v>40.89</v>
      </c>
      <c r="M1472" s="27">
        <v>2072907</v>
      </c>
      <c r="N1472" s="69">
        <v>-1.35</v>
      </c>
      <c r="O1472" s="69">
        <v>-2.29</v>
      </c>
      <c r="P1472" s="69">
        <v>10.1</v>
      </c>
      <c r="Q1472" s="27">
        <v>23</v>
      </c>
      <c r="R1472" s="69">
        <v>0.81</v>
      </c>
      <c r="S1472" s="69">
        <v>54.54</v>
      </c>
      <c r="X1472" s="2">
        <f t="shared" si="66"/>
        <v>0.77</v>
      </c>
      <c r="Y1472" s="2">
        <f>SUMIF(收盤價!A:A,A1472,收盤價!C:C)</f>
        <v>8.1300000000000008</v>
      </c>
      <c r="Z1472" s="2">
        <f t="shared" si="67"/>
        <v>2093636.0699999998</v>
      </c>
      <c r="AA1472" s="2">
        <f t="shared" si="68"/>
        <v>1685273.3910000001</v>
      </c>
    </row>
    <row r="1473" spans="1:27" ht="14.5" customHeight="1">
      <c r="A1473" s="7" t="s">
        <v>6842</v>
      </c>
      <c r="B1473" s="8" t="s">
        <v>2527</v>
      </c>
      <c r="C1473" s="27">
        <v>707667</v>
      </c>
      <c r="D1473" s="27">
        <v>606718</v>
      </c>
      <c r="E1473" s="69">
        <v>16.64</v>
      </c>
      <c r="F1473" s="27">
        <v>54380</v>
      </c>
      <c r="G1473" s="27">
        <v>43039</v>
      </c>
      <c r="H1473" s="27">
        <v>-2429</v>
      </c>
      <c r="I1473" s="27">
        <v>18389</v>
      </c>
      <c r="J1473" s="27">
        <v>45198</v>
      </c>
      <c r="K1473" s="27">
        <v>50884</v>
      </c>
      <c r="L1473" s="69">
        <v>-11.17</v>
      </c>
      <c r="M1473" s="27">
        <v>282854</v>
      </c>
      <c r="N1473" s="69">
        <v>1.61</v>
      </c>
      <c r="O1473" s="69">
        <v>1.8</v>
      </c>
      <c r="P1473" s="69">
        <v>20.18</v>
      </c>
      <c r="Q1473" s="27">
        <v>56</v>
      </c>
      <c r="R1473" s="69">
        <v>2.04</v>
      </c>
      <c r="S1473" s="69">
        <v>136.27000000000001</v>
      </c>
      <c r="X1473" s="2">
        <f t="shared" si="66"/>
        <v>0.44</v>
      </c>
      <c r="Y1473" s="2">
        <f>SUMIF(收盤價!A:A,A1473,收盤價!C:C)</f>
        <v>27.35</v>
      </c>
      <c r="Z1473" s="2">
        <f t="shared" si="67"/>
        <v>570799.37199999997</v>
      </c>
      <c r="AA1473" s="2">
        <f t="shared" si="68"/>
        <v>773605.69000000006</v>
      </c>
    </row>
    <row r="1474" spans="1:27" ht="14.5" customHeight="1">
      <c r="A1474" s="7" t="s">
        <v>6843</v>
      </c>
      <c r="B1474" s="8" t="s">
        <v>2615</v>
      </c>
      <c r="C1474" s="27">
        <v>1881813</v>
      </c>
      <c r="D1474" s="27">
        <v>1954316</v>
      </c>
      <c r="E1474" s="69">
        <v>-3.71</v>
      </c>
      <c r="F1474" s="27">
        <v>109569</v>
      </c>
      <c r="G1474" s="27">
        <v>213453</v>
      </c>
      <c r="H1474" s="27">
        <v>-61642</v>
      </c>
      <c r="I1474" s="27">
        <v>-33590</v>
      </c>
      <c r="J1474" s="27">
        <v>35598</v>
      </c>
      <c r="K1474" s="27">
        <v>111724</v>
      </c>
      <c r="L1474" s="69">
        <v>-68.14</v>
      </c>
      <c r="M1474" s="27">
        <v>982009</v>
      </c>
      <c r="N1474" s="69">
        <v>0.36</v>
      </c>
      <c r="O1474" s="69">
        <v>1.1399999999999999</v>
      </c>
      <c r="P1474" s="69">
        <v>14.32</v>
      </c>
      <c r="Q1474" s="27">
        <v>53</v>
      </c>
      <c r="R1474" s="69">
        <v>1.91</v>
      </c>
      <c r="S1474" s="69">
        <v>160.59</v>
      </c>
      <c r="X1474" s="2">
        <f t="shared" si="66"/>
        <v>0.47</v>
      </c>
      <c r="Y1474" s="2">
        <f>SUMIF(收盤價!A:A,A1474,收盤價!C:C)</f>
        <v>17.75</v>
      </c>
      <c r="Z1474" s="2">
        <f t="shared" si="67"/>
        <v>1406236.888</v>
      </c>
      <c r="AA1474" s="2">
        <f t="shared" si="68"/>
        <v>1743065.9750000001</v>
      </c>
    </row>
    <row r="1475" spans="1:27" ht="14.5" customHeight="1">
      <c r="A1475" s="7" t="s">
        <v>6844</v>
      </c>
      <c r="B1475" s="8" t="s">
        <v>2635</v>
      </c>
      <c r="C1475" s="27">
        <v>3808052</v>
      </c>
      <c r="D1475" s="27">
        <v>3674601</v>
      </c>
      <c r="E1475" s="69">
        <v>3.63</v>
      </c>
      <c r="F1475" s="27">
        <v>415620</v>
      </c>
      <c r="G1475" s="27">
        <v>343138</v>
      </c>
      <c r="H1475" s="27">
        <v>30504</v>
      </c>
      <c r="I1475" s="27">
        <v>80244</v>
      </c>
      <c r="J1475" s="27">
        <v>357844</v>
      </c>
      <c r="K1475" s="27">
        <v>337519</v>
      </c>
      <c r="L1475" s="69">
        <v>6.02</v>
      </c>
      <c r="M1475" s="27">
        <v>725001</v>
      </c>
      <c r="N1475" s="69">
        <v>4.9400000000000004</v>
      </c>
      <c r="O1475" s="69">
        <v>4.66</v>
      </c>
      <c r="P1475" s="69">
        <v>33.17</v>
      </c>
      <c r="Q1475" s="27">
        <v>75</v>
      </c>
      <c r="R1475" s="69">
        <v>3.93</v>
      </c>
      <c r="S1475" s="69">
        <v>335.36</v>
      </c>
      <c r="X1475" s="2">
        <f t="shared" si="66"/>
        <v>0.25</v>
      </c>
      <c r="Y1475" s="2">
        <f>SUMIF(收盤價!A:A,A1475,收盤價!C:C)</f>
        <v>60</v>
      </c>
      <c r="Z1475" s="2">
        <f t="shared" si="67"/>
        <v>2404828.3170000003</v>
      </c>
      <c r="AA1475" s="2">
        <f t="shared" si="68"/>
        <v>4350006</v>
      </c>
    </row>
    <row r="1476" spans="1:27" ht="14.5" customHeight="1">
      <c r="A1476" s="7" t="s">
        <v>6845</v>
      </c>
      <c r="B1476" s="8" t="s">
        <v>2705</v>
      </c>
      <c r="C1476" s="27">
        <v>1198940</v>
      </c>
      <c r="D1476" s="27">
        <v>1032984</v>
      </c>
      <c r="E1476" s="69">
        <v>16.07</v>
      </c>
      <c r="F1476" s="27">
        <v>101731</v>
      </c>
      <c r="G1476" s="27">
        <v>43313</v>
      </c>
      <c r="H1476" s="27">
        <v>-10652</v>
      </c>
      <c r="I1476" s="27">
        <v>8635</v>
      </c>
      <c r="J1476" s="27">
        <v>69121</v>
      </c>
      <c r="K1476" s="27">
        <v>39407</v>
      </c>
      <c r="L1476" s="69">
        <v>75.400000000000006</v>
      </c>
      <c r="M1476" s="27">
        <v>382428</v>
      </c>
      <c r="N1476" s="69">
        <v>2.04</v>
      </c>
      <c r="O1476" s="69">
        <v>1.2</v>
      </c>
      <c r="P1476" s="69">
        <v>21.06</v>
      </c>
      <c r="Q1476" s="27">
        <v>61</v>
      </c>
      <c r="R1476" s="69">
        <v>1.76</v>
      </c>
      <c r="S1476" s="69">
        <v>141.56</v>
      </c>
      <c r="X1476" s="2">
        <f t="shared" si="66"/>
        <v>0.39</v>
      </c>
      <c r="Y1476" s="2">
        <f>SUMIF(收盤價!A:A,A1476,收盤價!C:C)</f>
        <v>32</v>
      </c>
      <c r="Z1476" s="2">
        <f t="shared" si="67"/>
        <v>805393.36800000002</v>
      </c>
      <c r="AA1476" s="2">
        <f t="shared" si="68"/>
        <v>1223769.6000000001</v>
      </c>
    </row>
    <row r="1477" spans="1:27" ht="14.5" customHeight="1">
      <c r="A1477" s="7" t="s">
        <v>6846</v>
      </c>
      <c r="B1477" s="8" t="s">
        <v>2717</v>
      </c>
      <c r="C1477" s="27">
        <v>1042284</v>
      </c>
      <c r="D1477" s="27">
        <v>1458640</v>
      </c>
      <c r="E1477" s="69">
        <v>-28.54</v>
      </c>
      <c r="F1477" s="27">
        <v>-356582</v>
      </c>
      <c r="G1477" s="27">
        <v>-199358</v>
      </c>
      <c r="H1477" s="27">
        <v>2286</v>
      </c>
      <c r="I1477" s="27">
        <v>23031</v>
      </c>
      <c r="J1477" s="27">
        <v>-284759</v>
      </c>
      <c r="K1477" s="27">
        <v>-184805</v>
      </c>
      <c r="L1477" s="69">
        <v>-54.09</v>
      </c>
      <c r="M1477" s="27">
        <v>1511547</v>
      </c>
      <c r="N1477" s="69">
        <v>-1.88</v>
      </c>
      <c r="O1477" s="69">
        <v>-1.22</v>
      </c>
      <c r="P1477" s="69">
        <v>7.24</v>
      </c>
      <c r="Q1477" s="27">
        <v>64</v>
      </c>
      <c r="R1477" s="69">
        <v>2.04</v>
      </c>
      <c r="S1477" s="69">
        <v>179.43</v>
      </c>
      <c r="X1477" s="2">
        <f t="shared" ref="X1477:X1540" si="69">IF(W1477&lt;&gt;"",ROUND(W1477/U1477,2),(100-Q1477)/100)</f>
        <v>0.36</v>
      </c>
      <c r="Y1477" s="2">
        <f>SUMIF(收盤價!A:A,A1477,收盤價!C:C)</f>
        <v>17.850000000000001</v>
      </c>
      <c r="Z1477" s="2">
        <f t="shared" ref="Z1477:Z1540" si="70">IF(W1477&lt;&gt;"",U1477-W1477,M1477*P1477/10)</f>
        <v>1094360.0280000002</v>
      </c>
      <c r="AA1477" s="2">
        <f t="shared" ref="AA1477:AA1540" si="71">Y1477*M1477/10</f>
        <v>2698111.3950000005</v>
      </c>
    </row>
    <row r="1478" spans="1:27" ht="14.5" customHeight="1">
      <c r="A1478" s="7" t="s">
        <v>6847</v>
      </c>
      <c r="B1478" s="8" t="s">
        <v>2727</v>
      </c>
      <c r="C1478" s="27">
        <v>1366147</v>
      </c>
      <c r="D1478" s="27">
        <v>1015205</v>
      </c>
      <c r="E1478" s="69">
        <v>34.57</v>
      </c>
      <c r="F1478" s="27">
        <v>86068</v>
      </c>
      <c r="G1478" s="27">
        <v>61056</v>
      </c>
      <c r="H1478" s="27">
        <v>-17875</v>
      </c>
      <c r="I1478" s="27">
        <v>18910</v>
      </c>
      <c r="J1478" s="27">
        <v>43902</v>
      </c>
      <c r="K1478" s="27">
        <v>62305</v>
      </c>
      <c r="L1478" s="69">
        <v>-29.54</v>
      </c>
      <c r="M1478" s="27">
        <v>315732</v>
      </c>
      <c r="N1478" s="69">
        <v>1.47</v>
      </c>
      <c r="O1478" s="69">
        <v>2.16</v>
      </c>
      <c r="P1478" s="69">
        <v>14.7</v>
      </c>
      <c r="Q1478" s="27">
        <v>19</v>
      </c>
      <c r="R1478" s="69">
        <v>1.33</v>
      </c>
      <c r="S1478" s="69">
        <v>77.66</v>
      </c>
      <c r="X1478" s="2">
        <f t="shared" si="69"/>
        <v>0.81</v>
      </c>
      <c r="Y1478" s="2">
        <f>SUMIF(收盤價!A:A,A1478,收盤價!C:C)</f>
        <v>38.950000000000003</v>
      </c>
      <c r="Z1478" s="2">
        <f t="shared" si="70"/>
        <v>464126.03999999992</v>
      </c>
      <c r="AA1478" s="2">
        <f t="shared" si="71"/>
        <v>1229776.1400000001</v>
      </c>
    </row>
    <row r="1479" spans="1:27" ht="14.5" customHeight="1">
      <c r="A1479" s="7" t="s">
        <v>6848</v>
      </c>
      <c r="B1479" s="8" t="s">
        <v>2731</v>
      </c>
      <c r="C1479" s="27">
        <v>765059</v>
      </c>
      <c r="D1479" s="27">
        <v>827223</v>
      </c>
      <c r="E1479" s="69">
        <v>-7.51</v>
      </c>
      <c r="F1479" s="27">
        <v>-38121</v>
      </c>
      <c r="G1479" s="27">
        <v>-16759</v>
      </c>
      <c r="H1479" s="27">
        <v>8798</v>
      </c>
      <c r="I1479" s="27">
        <v>29175</v>
      </c>
      <c r="J1479" s="27">
        <v>-25086</v>
      </c>
      <c r="K1479" s="27">
        <v>10001</v>
      </c>
      <c r="L1479" s="69">
        <v>-350.83</v>
      </c>
      <c r="M1479" s="27">
        <v>1727107</v>
      </c>
      <c r="N1479" s="69">
        <v>-0.15</v>
      </c>
      <c r="O1479" s="69">
        <v>0.06</v>
      </c>
      <c r="P1479" s="69">
        <v>9.24</v>
      </c>
      <c r="Q1479" s="27">
        <v>71</v>
      </c>
      <c r="R1479" s="69">
        <v>2.5499999999999998</v>
      </c>
      <c r="S1479" s="69">
        <v>233.42</v>
      </c>
      <c r="X1479" s="2">
        <f t="shared" si="69"/>
        <v>0.28999999999999998</v>
      </c>
      <c r="Y1479" s="2">
        <f>SUMIF(收盤價!A:A,A1479,收盤價!C:C)</f>
        <v>10.55</v>
      </c>
      <c r="Z1479" s="2">
        <f t="shared" si="70"/>
        <v>1595846.868</v>
      </c>
      <c r="AA1479" s="2">
        <f t="shared" si="71"/>
        <v>1822097.8850000002</v>
      </c>
    </row>
    <row r="1480" spans="1:27" ht="14.5" customHeight="1">
      <c r="A1480" s="7" t="s">
        <v>6849</v>
      </c>
      <c r="B1480" s="8" t="s">
        <v>2733</v>
      </c>
      <c r="C1480" s="27">
        <v>1479692</v>
      </c>
      <c r="D1480" s="27">
        <v>1625912</v>
      </c>
      <c r="E1480" s="69">
        <v>-8.99</v>
      </c>
      <c r="F1480" s="27">
        <v>105529</v>
      </c>
      <c r="G1480" s="27">
        <v>150724</v>
      </c>
      <c r="H1480" s="27">
        <v>-4537</v>
      </c>
      <c r="I1480" s="27">
        <v>18134</v>
      </c>
      <c r="J1480" s="27">
        <v>113810</v>
      </c>
      <c r="K1480" s="27">
        <v>168003</v>
      </c>
      <c r="L1480" s="69">
        <v>-32.26</v>
      </c>
      <c r="M1480" s="27">
        <v>1948940</v>
      </c>
      <c r="N1480" s="69">
        <v>0.57999999999999996</v>
      </c>
      <c r="O1480" s="69">
        <v>0.86</v>
      </c>
      <c r="P1480" s="69">
        <v>8.58</v>
      </c>
      <c r="Q1480" s="27">
        <v>83</v>
      </c>
      <c r="R1480" s="69">
        <v>3.29</v>
      </c>
      <c r="S1480" s="69">
        <v>204.88</v>
      </c>
      <c r="X1480" s="2">
        <f t="shared" si="69"/>
        <v>0.17</v>
      </c>
      <c r="Y1480" s="2">
        <f>SUMIF(收盤價!A:A,A1480,收盤價!C:C)</f>
        <v>53.8</v>
      </c>
      <c r="Z1480" s="2">
        <f t="shared" si="70"/>
        <v>1672190.52</v>
      </c>
      <c r="AA1480" s="2">
        <f t="shared" si="71"/>
        <v>10485297.199999999</v>
      </c>
    </row>
    <row r="1481" spans="1:27" ht="14.5" customHeight="1">
      <c r="A1481" s="7" t="s">
        <v>6850</v>
      </c>
      <c r="B1481" s="8" t="s">
        <v>2737</v>
      </c>
      <c r="C1481" s="27">
        <v>1790</v>
      </c>
      <c r="D1481" s="27">
        <v>18418</v>
      </c>
      <c r="E1481" s="69">
        <v>-90.28</v>
      </c>
      <c r="F1481" s="27">
        <v>-138453</v>
      </c>
      <c r="G1481" s="27">
        <v>-83010</v>
      </c>
      <c r="H1481" s="27">
        <v>-22500</v>
      </c>
      <c r="I1481" s="27">
        <v>3480</v>
      </c>
      <c r="J1481" s="27">
        <v>-164936</v>
      </c>
      <c r="K1481" s="27">
        <v>-78124</v>
      </c>
      <c r="L1481" s="69">
        <v>-111.12</v>
      </c>
      <c r="M1481" s="27">
        <v>408000</v>
      </c>
      <c r="N1481" s="69">
        <v>-5.5</v>
      </c>
      <c r="O1481" s="69">
        <v>-2.6</v>
      </c>
      <c r="P1481" s="69">
        <v>5.14</v>
      </c>
      <c r="Q1481" s="27">
        <v>85</v>
      </c>
      <c r="R1481" s="69">
        <v>6.58</v>
      </c>
      <c r="S1481" s="69">
        <v>587.52</v>
      </c>
      <c r="X1481" s="2">
        <f t="shared" si="69"/>
        <v>0.15</v>
      </c>
      <c r="Y1481" s="2">
        <f>SUMIF(收盤價!A:A,A1481,收盤價!C:C)</f>
        <v>5.59</v>
      </c>
      <c r="Z1481" s="2">
        <f t="shared" si="70"/>
        <v>209711.99999999997</v>
      </c>
      <c r="AA1481" s="2">
        <f t="shared" si="71"/>
        <v>228072</v>
      </c>
    </row>
    <row r="1482" spans="1:27" ht="14.5" customHeight="1">
      <c r="A1482" s="7" t="s">
        <v>6851</v>
      </c>
      <c r="B1482" s="8" t="s">
        <v>2743</v>
      </c>
      <c r="C1482" s="27">
        <v>7458947</v>
      </c>
      <c r="D1482" s="27">
        <v>7616849</v>
      </c>
      <c r="E1482" s="69">
        <v>-2.0699999999999998</v>
      </c>
      <c r="F1482" s="27">
        <v>-353958</v>
      </c>
      <c r="G1482" s="27">
        <v>188595</v>
      </c>
      <c r="H1482" s="27">
        <v>-97499</v>
      </c>
      <c r="I1482" s="27">
        <v>48062</v>
      </c>
      <c r="J1482" s="27">
        <v>-391668</v>
      </c>
      <c r="K1482" s="27">
        <v>164933</v>
      </c>
      <c r="L1482" s="69">
        <v>-337.47</v>
      </c>
      <c r="M1482" s="27">
        <v>2240963</v>
      </c>
      <c r="N1482" s="69">
        <v>-1.83</v>
      </c>
      <c r="O1482" s="69">
        <v>0.77</v>
      </c>
      <c r="P1482" s="69">
        <v>13.64</v>
      </c>
      <c r="Q1482" s="27">
        <v>35</v>
      </c>
      <c r="R1482" s="69">
        <v>0.9</v>
      </c>
      <c r="S1482" s="69">
        <v>67.17</v>
      </c>
      <c r="X1482" s="2">
        <f t="shared" si="69"/>
        <v>0.65</v>
      </c>
      <c r="Y1482" s="2">
        <f>SUMIF(收盤價!A:A,A1482,收盤價!C:C)</f>
        <v>25.2</v>
      </c>
      <c r="Z1482" s="2">
        <f t="shared" si="70"/>
        <v>3056673.5320000001</v>
      </c>
      <c r="AA1482" s="2">
        <f t="shared" si="71"/>
        <v>5647226.7599999998</v>
      </c>
    </row>
    <row r="1483" spans="1:27" ht="14.5" customHeight="1">
      <c r="A1483" s="7" t="s">
        <v>6852</v>
      </c>
      <c r="B1483" s="8" t="s">
        <v>2749</v>
      </c>
      <c r="C1483" s="27">
        <v>889299</v>
      </c>
      <c r="D1483" s="27">
        <v>1043651</v>
      </c>
      <c r="E1483" s="69">
        <v>-14.79</v>
      </c>
      <c r="F1483" s="27">
        <v>-146154</v>
      </c>
      <c r="G1483" s="27">
        <v>-147438</v>
      </c>
      <c r="H1483" s="27">
        <v>-11018</v>
      </c>
      <c r="I1483" s="27">
        <v>27545</v>
      </c>
      <c r="J1483" s="27">
        <v>-140138</v>
      </c>
      <c r="K1483" s="27">
        <v>-100068</v>
      </c>
      <c r="L1483" s="69">
        <v>-40.04</v>
      </c>
      <c r="M1483" s="27">
        <v>1661228</v>
      </c>
      <c r="N1483" s="69">
        <v>-0.84</v>
      </c>
      <c r="O1483" s="69">
        <v>-0.6</v>
      </c>
      <c r="P1483" s="69">
        <v>8.6300000000000008</v>
      </c>
      <c r="Q1483" s="27">
        <v>65</v>
      </c>
      <c r="R1483" s="69">
        <v>4.3499999999999996</v>
      </c>
      <c r="S1483" s="69">
        <v>396.68</v>
      </c>
      <c r="X1483" s="2">
        <f t="shared" si="69"/>
        <v>0.35</v>
      </c>
      <c r="Y1483" s="2">
        <f>SUMIF(收盤價!A:A,A1483,收盤價!C:C)</f>
        <v>4.99</v>
      </c>
      <c r="Z1483" s="2">
        <f t="shared" si="70"/>
        <v>1433639.764</v>
      </c>
      <c r="AA1483" s="2">
        <f t="shared" si="71"/>
        <v>828952.77200000011</v>
      </c>
    </row>
    <row r="1484" spans="1:27" ht="14.5" customHeight="1">
      <c r="A1484" s="7" t="s">
        <v>6853</v>
      </c>
      <c r="B1484" s="8" t="s">
        <v>2757</v>
      </c>
      <c r="C1484" s="27">
        <v>385890</v>
      </c>
      <c r="D1484" s="27">
        <v>418736</v>
      </c>
      <c r="E1484" s="69">
        <v>-7.84</v>
      </c>
      <c r="F1484" s="27">
        <v>-12664</v>
      </c>
      <c r="G1484" s="27">
        <v>1275</v>
      </c>
      <c r="H1484" s="27">
        <v>1456</v>
      </c>
      <c r="I1484" s="27">
        <v>-42066</v>
      </c>
      <c r="J1484" s="27">
        <v>-9794</v>
      </c>
      <c r="K1484" s="27">
        <v>-33147</v>
      </c>
      <c r="L1484" s="69">
        <v>70.45</v>
      </c>
      <c r="M1484" s="27">
        <v>1801568</v>
      </c>
      <c r="N1484" s="69">
        <v>-0.05</v>
      </c>
      <c r="O1484" s="69">
        <v>-0.18</v>
      </c>
      <c r="P1484" s="69">
        <v>3.78</v>
      </c>
      <c r="Q1484" s="27">
        <v>93</v>
      </c>
      <c r="R1484" s="69">
        <v>18.16</v>
      </c>
      <c r="S1484" s="69">
        <v>1620.95</v>
      </c>
      <c r="X1484" s="2">
        <f t="shared" si="69"/>
        <v>7.0000000000000007E-2</v>
      </c>
      <c r="Y1484" s="2">
        <f>SUMIF(收盤價!A:A,A1484,收盤價!C:C)</f>
        <v>3.8</v>
      </c>
      <c r="Z1484" s="2">
        <f t="shared" si="70"/>
        <v>680992.70400000003</v>
      </c>
      <c r="AA1484" s="2">
        <f t="shared" si="71"/>
        <v>684595.84</v>
      </c>
    </row>
    <row r="1485" spans="1:27" ht="14.5" customHeight="1">
      <c r="A1485" s="7" t="s">
        <v>6854</v>
      </c>
      <c r="B1485" s="8" t="s">
        <v>2779</v>
      </c>
      <c r="C1485" s="27">
        <v>2192385</v>
      </c>
      <c r="D1485" s="27">
        <v>2295148</v>
      </c>
      <c r="E1485" s="69">
        <v>-4.4800000000000004</v>
      </c>
      <c r="F1485" s="27">
        <v>284522</v>
      </c>
      <c r="G1485" s="27">
        <v>325581</v>
      </c>
      <c r="H1485" s="27">
        <v>-1680</v>
      </c>
      <c r="I1485" s="27">
        <v>36938</v>
      </c>
      <c r="J1485" s="27">
        <v>221397</v>
      </c>
      <c r="K1485" s="27">
        <v>292766</v>
      </c>
      <c r="L1485" s="69">
        <v>-24.38</v>
      </c>
      <c r="M1485" s="27">
        <v>859757</v>
      </c>
      <c r="N1485" s="69">
        <v>2.58</v>
      </c>
      <c r="O1485" s="69">
        <v>3.41</v>
      </c>
      <c r="P1485" s="69">
        <v>19.2</v>
      </c>
      <c r="Q1485" s="27">
        <v>69</v>
      </c>
      <c r="R1485" s="69">
        <v>2.2200000000000002</v>
      </c>
      <c r="S1485" s="69">
        <v>181.83</v>
      </c>
      <c r="X1485" s="2">
        <f t="shared" si="69"/>
        <v>0.31</v>
      </c>
      <c r="Y1485" s="2">
        <f>SUMIF(收盤價!A:A,A1485,收盤價!C:C)</f>
        <v>40.9</v>
      </c>
      <c r="Z1485" s="2">
        <f t="shared" si="70"/>
        <v>1650733.44</v>
      </c>
      <c r="AA1485" s="2">
        <f t="shared" si="71"/>
        <v>3516406.13</v>
      </c>
    </row>
    <row r="1486" spans="1:27" ht="14.5" customHeight="1">
      <c r="A1486" s="7" t="s">
        <v>6855</v>
      </c>
      <c r="B1486" s="8" t="s">
        <v>2789</v>
      </c>
      <c r="C1486" s="27">
        <v>11260075</v>
      </c>
      <c r="D1486" s="27">
        <v>5133422</v>
      </c>
      <c r="E1486" s="69">
        <v>119.35</v>
      </c>
      <c r="F1486" s="27">
        <v>847765</v>
      </c>
      <c r="G1486" s="27">
        <v>322982</v>
      </c>
      <c r="H1486" s="27">
        <v>22000</v>
      </c>
      <c r="I1486" s="27">
        <v>110861</v>
      </c>
      <c r="J1486" s="27">
        <v>366750</v>
      </c>
      <c r="K1486" s="27">
        <v>168496</v>
      </c>
      <c r="L1486" s="69">
        <v>117.66</v>
      </c>
      <c r="M1486" s="27">
        <v>1696450</v>
      </c>
      <c r="N1486" s="69">
        <v>2.19</v>
      </c>
      <c r="O1486" s="69">
        <v>1</v>
      </c>
      <c r="P1486" s="69">
        <v>14.18</v>
      </c>
      <c r="Q1486" s="27">
        <v>23</v>
      </c>
      <c r="R1486" s="69">
        <v>1.1200000000000001</v>
      </c>
      <c r="S1486" s="69">
        <v>101.37</v>
      </c>
      <c r="X1486" s="2">
        <f t="shared" si="69"/>
        <v>0.77</v>
      </c>
      <c r="Y1486" s="2">
        <f>SUMIF(收盤價!A:A,A1486,收盤價!C:C)</f>
        <v>88.5</v>
      </c>
      <c r="Z1486" s="2">
        <f t="shared" si="70"/>
        <v>2405566.1</v>
      </c>
      <c r="AA1486" s="2">
        <f t="shared" si="71"/>
        <v>15013582.5</v>
      </c>
    </row>
    <row r="1487" spans="1:27" ht="14.5" customHeight="1">
      <c r="A1487" s="7" t="s">
        <v>6856</v>
      </c>
      <c r="B1487" s="8" t="s">
        <v>2791</v>
      </c>
      <c r="C1487" s="27">
        <v>825362</v>
      </c>
      <c r="D1487" s="27">
        <v>863792</v>
      </c>
      <c r="E1487" s="69">
        <v>-4.45</v>
      </c>
      <c r="F1487" s="27">
        <v>74785</v>
      </c>
      <c r="G1487" s="27">
        <v>36612</v>
      </c>
      <c r="H1487" s="27">
        <v>1732</v>
      </c>
      <c r="I1487" s="27">
        <v>3942</v>
      </c>
      <c r="J1487" s="27">
        <v>49092</v>
      </c>
      <c r="K1487" s="27">
        <v>21532</v>
      </c>
      <c r="L1487" s="69">
        <v>128</v>
      </c>
      <c r="M1487" s="27">
        <v>612272</v>
      </c>
      <c r="N1487" s="69">
        <v>0.72</v>
      </c>
      <c r="O1487" s="69">
        <v>0.3</v>
      </c>
      <c r="P1487" s="69">
        <v>13.26</v>
      </c>
      <c r="Q1487" s="27">
        <v>78</v>
      </c>
      <c r="R1487" s="69">
        <v>3.85</v>
      </c>
      <c r="S1487" s="69">
        <v>303.99</v>
      </c>
      <c r="X1487" s="2">
        <f t="shared" si="69"/>
        <v>0.22</v>
      </c>
      <c r="Y1487" s="2">
        <f>SUMIF(收盤價!A:A,A1487,收盤價!C:C)</f>
        <v>12.1</v>
      </c>
      <c r="Z1487" s="2">
        <f t="shared" si="70"/>
        <v>811872.67200000002</v>
      </c>
      <c r="AA1487" s="2">
        <f t="shared" si="71"/>
        <v>740849.12</v>
      </c>
    </row>
    <row r="1488" spans="1:27" ht="14.5" customHeight="1">
      <c r="A1488" s="7" t="s">
        <v>6857</v>
      </c>
      <c r="B1488" s="8" t="s">
        <v>2793</v>
      </c>
      <c r="C1488" s="27">
        <v>1366995</v>
      </c>
      <c r="D1488" s="27">
        <v>1828671</v>
      </c>
      <c r="E1488" s="69">
        <v>-25.25</v>
      </c>
      <c r="F1488" s="27">
        <v>-29422</v>
      </c>
      <c r="G1488" s="27">
        <v>57599</v>
      </c>
      <c r="H1488" s="27">
        <v>20155</v>
      </c>
      <c r="I1488" s="27">
        <v>193371</v>
      </c>
      <c r="J1488" s="27">
        <v>-13024</v>
      </c>
      <c r="K1488" s="27">
        <v>204550</v>
      </c>
      <c r="L1488" s="69">
        <v>-106.37</v>
      </c>
      <c r="M1488" s="27">
        <v>710715</v>
      </c>
      <c r="N1488" s="69">
        <v>-0.18</v>
      </c>
      <c r="O1488" s="69">
        <v>2.88</v>
      </c>
      <c r="P1488" s="69">
        <v>16.03</v>
      </c>
      <c r="Q1488" s="27">
        <v>34</v>
      </c>
      <c r="R1488" s="69">
        <v>1.22</v>
      </c>
      <c r="S1488" s="69">
        <v>110.52</v>
      </c>
      <c r="X1488" s="2">
        <f t="shared" si="69"/>
        <v>0.66</v>
      </c>
      <c r="Y1488" s="2">
        <f>SUMIF(收盤價!A:A,A1488,收盤價!C:C)</f>
        <v>15</v>
      </c>
      <c r="Z1488" s="2">
        <f t="shared" si="70"/>
        <v>1139276.145</v>
      </c>
      <c r="AA1488" s="2">
        <f t="shared" si="71"/>
        <v>1066072.5</v>
      </c>
    </row>
    <row r="1489" spans="1:27" ht="14.5" customHeight="1">
      <c r="A1489" s="7" t="s">
        <v>6858</v>
      </c>
      <c r="B1489" s="8" t="s">
        <v>2801</v>
      </c>
      <c r="C1489" s="27">
        <v>1110253</v>
      </c>
      <c r="D1489" s="27">
        <v>2458631</v>
      </c>
      <c r="E1489" s="69">
        <v>-54.84</v>
      </c>
      <c r="F1489" s="27">
        <v>-335294</v>
      </c>
      <c r="G1489" s="27">
        <v>5229</v>
      </c>
      <c r="H1489" s="27">
        <v>-71662</v>
      </c>
      <c r="I1489" s="27">
        <v>-5014</v>
      </c>
      <c r="J1489" s="27">
        <v>-404011</v>
      </c>
      <c r="K1489" s="27">
        <v>-4547</v>
      </c>
      <c r="L1489" s="28" t="s">
        <v>6413</v>
      </c>
      <c r="M1489" s="27">
        <v>1816100</v>
      </c>
      <c r="N1489" s="69">
        <v>-2.3199999999999998</v>
      </c>
      <c r="O1489" s="69">
        <v>-0.03</v>
      </c>
      <c r="P1489" s="69">
        <v>3.46</v>
      </c>
      <c r="Q1489" s="27">
        <v>23</v>
      </c>
      <c r="R1489" s="69">
        <v>0.9</v>
      </c>
      <c r="S1489" s="69">
        <v>73.69</v>
      </c>
      <c r="X1489" s="2">
        <f t="shared" si="69"/>
        <v>0.77</v>
      </c>
      <c r="Y1489" s="2">
        <f>SUMIF(收盤價!A:A,A1489,收盤價!C:C)</f>
        <v>3.3</v>
      </c>
      <c r="Z1489" s="2">
        <f t="shared" si="70"/>
        <v>628370.6</v>
      </c>
      <c r="AA1489" s="2">
        <f t="shared" si="71"/>
        <v>599313</v>
      </c>
    </row>
    <row r="1490" spans="1:27" ht="14.5" customHeight="1">
      <c r="A1490" s="7" t="s">
        <v>6859</v>
      </c>
      <c r="B1490" s="8" t="s">
        <v>2805</v>
      </c>
      <c r="C1490" s="27">
        <v>107332</v>
      </c>
      <c r="D1490" s="27">
        <v>84634</v>
      </c>
      <c r="E1490" s="69">
        <v>26.82</v>
      </c>
      <c r="F1490" s="27">
        <v>-45585</v>
      </c>
      <c r="G1490" s="27">
        <v>-58944</v>
      </c>
      <c r="H1490" s="27">
        <v>-131511</v>
      </c>
      <c r="I1490" s="27">
        <v>349678</v>
      </c>
      <c r="J1490" s="27">
        <v>-183656</v>
      </c>
      <c r="K1490" s="27">
        <v>263058</v>
      </c>
      <c r="L1490" s="69">
        <v>-169.82</v>
      </c>
      <c r="M1490" s="27">
        <v>746939</v>
      </c>
      <c r="N1490" s="69">
        <v>-2.5299999999999998</v>
      </c>
      <c r="O1490" s="69">
        <v>2.97</v>
      </c>
      <c r="P1490" s="69">
        <v>11.9</v>
      </c>
      <c r="Q1490" s="27">
        <v>73</v>
      </c>
      <c r="R1490" s="69">
        <v>2.34</v>
      </c>
      <c r="S1490" s="69">
        <v>226.69</v>
      </c>
      <c r="X1490" s="2">
        <f t="shared" si="69"/>
        <v>0.27</v>
      </c>
      <c r="Y1490" s="2">
        <f>SUMIF(收盤價!A:A,A1490,收盤價!C:C)</f>
        <v>15.5</v>
      </c>
      <c r="Z1490" s="2">
        <f t="shared" si="70"/>
        <v>888857.40999999992</v>
      </c>
      <c r="AA1490" s="2">
        <f t="shared" si="71"/>
        <v>1157755.45</v>
      </c>
    </row>
    <row r="1491" spans="1:27" ht="14.5" customHeight="1">
      <c r="A1491" s="7" t="s">
        <v>6860</v>
      </c>
      <c r="B1491" s="8" t="s">
        <v>2811</v>
      </c>
      <c r="C1491" s="27">
        <v>1233734</v>
      </c>
      <c r="D1491" s="27">
        <v>1536533</v>
      </c>
      <c r="E1491" s="69">
        <v>-19.71</v>
      </c>
      <c r="F1491" s="27">
        <v>-43911</v>
      </c>
      <c r="G1491" s="27">
        <v>14444</v>
      </c>
      <c r="H1491" s="27">
        <v>20005</v>
      </c>
      <c r="I1491" s="27">
        <v>162816</v>
      </c>
      <c r="J1491" s="27">
        <v>-39307</v>
      </c>
      <c r="K1491" s="27">
        <v>168430</v>
      </c>
      <c r="L1491" s="69">
        <v>-123.34</v>
      </c>
      <c r="M1491" s="27">
        <v>915861</v>
      </c>
      <c r="N1491" s="69">
        <v>-0.43</v>
      </c>
      <c r="O1491" s="69">
        <v>1.84</v>
      </c>
      <c r="P1491" s="69">
        <v>9.4499999999999993</v>
      </c>
      <c r="Q1491" s="27">
        <v>66</v>
      </c>
      <c r="R1491" s="69">
        <v>3.22</v>
      </c>
      <c r="S1491" s="69">
        <v>265.67</v>
      </c>
      <c r="X1491" s="2">
        <f t="shared" si="69"/>
        <v>0.34</v>
      </c>
      <c r="Y1491" s="2">
        <f>SUMIF(收盤價!A:A,A1491,收盤價!C:C)</f>
        <v>7.34</v>
      </c>
      <c r="Z1491" s="2">
        <f t="shared" si="70"/>
        <v>865488.6449999999</v>
      </c>
      <c r="AA1491" s="2">
        <f t="shared" si="71"/>
        <v>672241.97400000005</v>
      </c>
    </row>
    <row r="1492" spans="1:27" ht="14.5" customHeight="1">
      <c r="A1492" s="7" t="s">
        <v>6861</v>
      </c>
      <c r="B1492" s="8" t="s">
        <v>2819</v>
      </c>
      <c r="C1492" s="27">
        <v>1255128</v>
      </c>
      <c r="D1492" s="27">
        <v>1216749</v>
      </c>
      <c r="E1492" s="69">
        <v>3.15</v>
      </c>
      <c r="F1492" s="27">
        <v>48343</v>
      </c>
      <c r="G1492" s="27">
        <v>32167</v>
      </c>
      <c r="H1492" s="27">
        <v>47369</v>
      </c>
      <c r="I1492" s="27">
        <v>24693</v>
      </c>
      <c r="J1492" s="27">
        <v>69514</v>
      </c>
      <c r="K1492" s="27">
        <v>36281</v>
      </c>
      <c r="L1492" s="69">
        <v>91.6</v>
      </c>
      <c r="M1492" s="27">
        <v>1648239</v>
      </c>
      <c r="N1492" s="69">
        <v>0.42</v>
      </c>
      <c r="O1492" s="69">
        <v>0.22</v>
      </c>
      <c r="P1492" s="69">
        <v>10.38</v>
      </c>
      <c r="Q1492" s="27">
        <v>56</v>
      </c>
      <c r="R1492" s="69">
        <v>2.08</v>
      </c>
      <c r="S1492" s="69">
        <v>147.47</v>
      </c>
      <c r="X1492" s="2">
        <f t="shared" si="69"/>
        <v>0.44</v>
      </c>
      <c r="Y1492" s="2">
        <f>SUMIF(收盤價!A:A,A1492,收盤價!C:C)</f>
        <v>12.7</v>
      </c>
      <c r="Z1492" s="2">
        <f t="shared" si="70"/>
        <v>1710872.0819999999</v>
      </c>
      <c r="AA1492" s="2">
        <f t="shared" si="71"/>
        <v>2093263.5299999998</v>
      </c>
    </row>
    <row r="1493" spans="1:27" ht="14.5" customHeight="1">
      <c r="A1493" s="7" t="s">
        <v>6862</v>
      </c>
      <c r="B1493" s="8" t="s">
        <v>2895</v>
      </c>
      <c r="C1493" s="27">
        <v>2150990</v>
      </c>
      <c r="D1493" s="27">
        <v>2455546</v>
      </c>
      <c r="E1493" s="69">
        <v>-12.4</v>
      </c>
      <c r="F1493" s="27">
        <v>236247</v>
      </c>
      <c r="G1493" s="27">
        <v>355748</v>
      </c>
      <c r="H1493" s="27">
        <v>3479</v>
      </c>
      <c r="I1493" s="27">
        <v>24888</v>
      </c>
      <c r="J1493" s="27">
        <v>182254</v>
      </c>
      <c r="K1493" s="27">
        <v>315374</v>
      </c>
      <c r="L1493" s="69">
        <v>-42.21</v>
      </c>
      <c r="M1493" s="27">
        <v>439119</v>
      </c>
      <c r="N1493" s="69">
        <v>4.1500000000000004</v>
      </c>
      <c r="O1493" s="69">
        <v>7.18</v>
      </c>
      <c r="P1493" s="69">
        <v>28.51</v>
      </c>
      <c r="Q1493" s="27">
        <v>57</v>
      </c>
      <c r="R1493" s="69">
        <v>2.06</v>
      </c>
      <c r="S1493" s="69">
        <v>188.83</v>
      </c>
      <c r="X1493" s="2">
        <f t="shared" si="69"/>
        <v>0.43</v>
      </c>
      <c r="Y1493" s="2">
        <f>SUMIF(收盤價!A:A,A1493,收盤價!C:C)</f>
        <v>33.25</v>
      </c>
      <c r="Z1493" s="2">
        <f t="shared" si="70"/>
        <v>1251928.2690000001</v>
      </c>
      <c r="AA1493" s="2">
        <f t="shared" si="71"/>
        <v>1460070.675</v>
      </c>
    </row>
    <row r="1494" spans="1:27" ht="14.5" customHeight="1">
      <c r="A1494" s="7" t="s">
        <v>6863</v>
      </c>
      <c r="B1494" s="8" t="s">
        <v>2905</v>
      </c>
      <c r="C1494" s="27">
        <v>2245683</v>
      </c>
      <c r="D1494" s="27">
        <v>1905226</v>
      </c>
      <c r="E1494" s="69">
        <v>17.87</v>
      </c>
      <c r="F1494" s="27">
        <v>254978</v>
      </c>
      <c r="G1494" s="27">
        <v>87927</v>
      </c>
      <c r="H1494" s="27">
        <v>10693</v>
      </c>
      <c r="I1494" s="27">
        <v>34589</v>
      </c>
      <c r="J1494" s="27">
        <v>222773</v>
      </c>
      <c r="K1494" s="27">
        <v>111399</v>
      </c>
      <c r="L1494" s="69">
        <v>99.98</v>
      </c>
      <c r="M1494" s="27">
        <v>1824799</v>
      </c>
      <c r="N1494" s="69">
        <v>1.22</v>
      </c>
      <c r="O1494" s="69">
        <v>0.61</v>
      </c>
      <c r="P1494" s="69">
        <v>15.86</v>
      </c>
      <c r="Q1494" s="27">
        <v>75</v>
      </c>
      <c r="R1494" s="69">
        <v>2.62</v>
      </c>
      <c r="S1494" s="69">
        <v>220.35</v>
      </c>
      <c r="X1494" s="2">
        <f t="shared" si="69"/>
        <v>0.25</v>
      </c>
      <c r="Y1494" s="2">
        <f>SUMIF(收盤價!A:A,A1494,收盤價!C:C)</f>
        <v>47.85</v>
      </c>
      <c r="Z1494" s="2">
        <f t="shared" si="70"/>
        <v>2894131.2140000002</v>
      </c>
      <c r="AA1494" s="2">
        <f t="shared" si="71"/>
        <v>8731663.2149999999</v>
      </c>
    </row>
    <row r="1495" spans="1:27" ht="14.5" customHeight="1">
      <c r="A1495" s="7" t="s">
        <v>6864</v>
      </c>
      <c r="B1495" s="8" t="s">
        <v>2909</v>
      </c>
      <c r="C1495" s="27">
        <v>3315294</v>
      </c>
      <c r="D1495" s="27">
        <v>3028874</v>
      </c>
      <c r="E1495" s="69">
        <v>9.4600000000000009</v>
      </c>
      <c r="F1495" s="27">
        <v>232984</v>
      </c>
      <c r="G1495" s="27">
        <v>148040</v>
      </c>
      <c r="H1495" s="27">
        <v>33617</v>
      </c>
      <c r="I1495" s="27">
        <v>2868</v>
      </c>
      <c r="J1495" s="27">
        <v>165410</v>
      </c>
      <c r="K1495" s="27">
        <v>52614</v>
      </c>
      <c r="L1495" s="69">
        <v>214.38</v>
      </c>
      <c r="M1495" s="27">
        <v>1359276</v>
      </c>
      <c r="N1495" s="69">
        <v>1.22</v>
      </c>
      <c r="O1495" s="69">
        <v>0.41</v>
      </c>
      <c r="P1495" s="69">
        <v>11.02</v>
      </c>
      <c r="Q1495" s="27">
        <v>41</v>
      </c>
      <c r="R1495" s="69">
        <v>1.74</v>
      </c>
      <c r="S1495" s="69">
        <v>141.68</v>
      </c>
      <c r="X1495" s="2">
        <f t="shared" si="69"/>
        <v>0.59</v>
      </c>
      <c r="Y1495" s="2">
        <f>SUMIF(收盤價!A:A,A1495,收盤價!C:C)</f>
        <v>14.3</v>
      </c>
      <c r="Z1495" s="2">
        <f t="shared" si="70"/>
        <v>1497922.152</v>
      </c>
      <c r="AA1495" s="2">
        <f t="shared" si="71"/>
        <v>1943764.6800000002</v>
      </c>
    </row>
    <row r="1496" spans="1:27" ht="14.5" customHeight="1">
      <c r="A1496" s="7" t="s">
        <v>6865</v>
      </c>
      <c r="B1496" s="8" t="s">
        <v>2911</v>
      </c>
      <c r="C1496" s="27">
        <v>731474</v>
      </c>
      <c r="D1496" s="27">
        <v>1022931</v>
      </c>
      <c r="E1496" s="69">
        <v>-28.49</v>
      </c>
      <c r="F1496" s="27">
        <v>-120021</v>
      </c>
      <c r="G1496" s="27">
        <v>58982</v>
      </c>
      <c r="H1496" s="27">
        <v>-56705</v>
      </c>
      <c r="I1496" s="27">
        <v>-41268</v>
      </c>
      <c r="J1496" s="27">
        <v>-169946</v>
      </c>
      <c r="K1496" s="27">
        <v>-25383</v>
      </c>
      <c r="L1496" s="69">
        <v>-569.53</v>
      </c>
      <c r="M1496" s="27">
        <v>1080798</v>
      </c>
      <c r="N1496" s="69">
        <v>-1.57</v>
      </c>
      <c r="O1496" s="69">
        <v>-0.24</v>
      </c>
      <c r="P1496" s="69">
        <v>11.05</v>
      </c>
      <c r="Q1496" s="27">
        <v>40</v>
      </c>
      <c r="R1496" s="69">
        <v>1.22</v>
      </c>
      <c r="S1496" s="69">
        <v>94.29</v>
      </c>
      <c r="X1496" s="2">
        <f t="shared" si="69"/>
        <v>0.6</v>
      </c>
      <c r="Y1496" s="2">
        <f>SUMIF(收盤價!A:A,A1496,收盤價!C:C)</f>
        <v>17.350000000000001</v>
      </c>
      <c r="Z1496" s="2">
        <f t="shared" si="70"/>
        <v>1194281.79</v>
      </c>
      <c r="AA1496" s="2">
        <f t="shared" si="71"/>
        <v>1875184.53</v>
      </c>
    </row>
    <row r="1497" spans="1:27" ht="14.5" customHeight="1">
      <c r="A1497" s="7" t="s">
        <v>6866</v>
      </c>
      <c r="B1497" s="8" t="s">
        <v>2917</v>
      </c>
      <c r="C1497" s="27">
        <v>1440783</v>
      </c>
      <c r="D1497" s="27">
        <v>1639519</v>
      </c>
      <c r="E1497" s="69">
        <v>-12.12</v>
      </c>
      <c r="F1497" s="27">
        <v>-64029</v>
      </c>
      <c r="G1497" s="27">
        <v>-3839</v>
      </c>
      <c r="H1497" s="27">
        <v>49431</v>
      </c>
      <c r="I1497" s="27">
        <v>-27275</v>
      </c>
      <c r="J1497" s="27">
        <v>7437</v>
      </c>
      <c r="K1497" s="27">
        <v>-22809</v>
      </c>
      <c r="L1497" s="69">
        <v>132.61000000000001</v>
      </c>
      <c r="M1497" s="27">
        <v>942706</v>
      </c>
      <c r="N1497" s="69">
        <v>0.08</v>
      </c>
      <c r="O1497" s="69">
        <v>-0.24</v>
      </c>
      <c r="P1497" s="69">
        <v>7.02</v>
      </c>
      <c r="Q1497" s="27">
        <v>44</v>
      </c>
      <c r="R1497" s="69">
        <v>1.77</v>
      </c>
      <c r="S1497" s="69">
        <v>137.57</v>
      </c>
      <c r="X1497" s="2">
        <f t="shared" si="69"/>
        <v>0.56000000000000005</v>
      </c>
      <c r="Y1497" s="2">
        <f>SUMIF(收盤價!A:A,A1497,收盤價!C:C)</f>
        <v>8.5</v>
      </c>
      <c r="Z1497" s="2">
        <f t="shared" si="70"/>
        <v>661779.61199999996</v>
      </c>
      <c r="AA1497" s="2">
        <f t="shared" si="71"/>
        <v>801300.1</v>
      </c>
    </row>
    <row r="1498" spans="1:27" ht="14.5" customHeight="1">
      <c r="A1498" s="7" t="s">
        <v>6867</v>
      </c>
      <c r="B1498" s="8" t="s">
        <v>2939</v>
      </c>
      <c r="C1498" s="27">
        <v>4121254</v>
      </c>
      <c r="D1498" s="27">
        <v>4695999</v>
      </c>
      <c r="E1498" s="69">
        <v>-12.24</v>
      </c>
      <c r="F1498" s="27">
        <v>100281</v>
      </c>
      <c r="G1498" s="27">
        <v>158513</v>
      </c>
      <c r="H1498" s="27">
        <v>-4085</v>
      </c>
      <c r="I1498" s="27">
        <v>55380</v>
      </c>
      <c r="J1498" s="27">
        <v>86413</v>
      </c>
      <c r="K1498" s="27">
        <v>134968</v>
      </c>
      <c r="L1498" s="69">
        <v>-35.979999999999997</v>
      </c>
      <c r="M1498" s="27">
        <v>815116</v>
      </c>
      <c r="N1498" s="69">
        <v>1.06</v>
      </c>
      <c r="O1498" s="69">
        <v>1.67</v>
      </c>
      <c r="P1498" s="69">
        <v>14.15</v>
      </c>
      <c r="Q1498" s="27">
        <v>32</v>
      </c>
      <c r="R1498" s="69">
        <v>1.65</v>
      </c>
      <c r="S1498" s="69">
        <v>137.69999999999999</v>
      </c>
      <c r="X1498" s="2">
        <f t="shared" si="69"/>
        <v>0.68</v>
      </c>
      <c r="Y1498" s="2">
        <f>SUMIF(收盤價!A:A,A1498,收盤價!C:C)</f>
        <v>14.45</v>
      </c>
      <c r="Z1498" s="2">
        <f t="shared" si="70"/>
        <v>1153389.1400000001</v>
      </c>
      <c r="AA1498" s="2">
        <f t="shared" si="71"/>
        <v>1177842.6199999999</v>
      </c>
    </row>
    <row r="1499" spans="1:27" ht="14.5" customHeight="1">
      <c r="A1499" s="7" t="s">
        <v>6868</v>
      </c>
      <c r="B1499" s="8" t="s">
        <v>2941</v>
      </c>
      <c r="C1499" s="27">
        <v>1568882</v>
      </c>
      <c r="D1499" s="27">
        <v>1730814</v>
      </c>
      <c r="E1499" s="69">
        <v>-9.36</v>
      </c>
      <c r="F1499" s="27">
        <v>-8927</v>
      </c>
      <c r="G1499" s="27">
        <v>75126</v>
      </c>
      <c r="H1499" s="27">
        <v>47584</v>
      </c>
      <c r="I1499" s="27">
        <v>363045</v>
      </c>
      <c r="J1499" s="27">
        <v>33951</v>
      </c>
      <c r="K1499" s="27">
        <v>386272</v>
      </c>
      <c r="L1499" s="69">
        <v>-91.21</v>
      </c>
      <c r="M1499" s="27">
        <v>526694</v>
      </c>
      <c r="N1499" s="69">
        <v>0.42</v>
      </c>
      <c r="O1499" s="69">
        <v>3.65</v>
      </c>
      <c r="P1499" s="69">
        <v>15.34</v>
      </c>
      <c r="Q1499" s="27">
        <v>40</v>
      </c>
      <c r="R1499" s="69">
        <v>1.1599999999999999</v>
      </c>
      <c r="S1499" s="69">
        <v>90.46</v>
      </c>
      <c r="X1499" s="2">
        <f t="shared" si="69"/>
        <v>0.6</v>
      </c>
      <c r="Y1499" s="2">
        <f>SUMIF(收盤價!A:A,A1499,收盤價!C:C)</f>
        <v>29.8</v>
      </c>
      <c r="Z1499" s="2">
        <f t="shared" si="70"/>
        <v>807948.59600000002</v>
      </c>
      <c r="AA1499" s="2">
        <f t="shared" si="71"/>
        <v>1569548.12</v>
      </c>
    </row>
    <row r="1500" spans="1:27" ht="14.5" customHeight="1">
      <c r="A1500" s="7" t="s">
        <v>6869</v>
      </c>
      <c r="B1500" s="8" t="s">
        <v>2957</v>
      </c>
      <c r="C1500" s="27">
        <v>4356398</v>
      </c>
      <c r="D1500" s="27">
        <v>5750648</v>
      </c>
      <c r="E1500" s="69">
        <v>-24.25</v>
      </c>
      <c r="F1500" s="27">
        <v>893789</v>
      </c>
      <c r="G1500" s="27">
        <v>1936243</v>
      </c>
      <c r="H1500" s="27">
        <v>87223</v>
      </c>
      <c r="I1500" s="27">
        <v>-58032</v>
      </c>
      <c r="J1500" s="27">
        <v>771591</v>
      </c>
      <c r="K1500" s="27">
        <v>1482038</v>
      </c>
      <c r="L1500" s="69">
        <v>-47.94</v>
      </c>
      <c r="M1500" s="27">
        <v>1720000</v>
      </c>
      <c r="N1500" s="69">
        <v>4.49</v>
      </c>
      <c r="O1500" s="69">
        <v>8.6199999999999992</v>
      </c>
      <c r="P1500" s="69">
        <v>25.98</v>
      </c>
      <c r="Q1500" s="27">
        <v>70</v>
      </c>
      <c r="R1500" s="69">
        <v>2.2799999999999998</v>
      </c>
      <c r="S1500" s="69">
        <v>190.32</v>
      </c>
      <c r="X1500" s="2">
        <f t="shared" si="69"/>
        <v>0.3</v>
      </c>
      <c r="Y1500" s="2">
        <f>SUMIF(收盤價!A:A,A1500,收盤價!C:C)</f>
        <v>71.099999999999994</v>
      </c>
      <c r="Z1500" s="2">
        <f t="shared" si="70"/>
        <v>4468560</v>
      </c>
      <c r="AA1500" s="2">
        <f t="shared" si="71"/>
        <v>12229199.999999998</v>
      </c>
    </row>
    <row r="1501" spans="1:27" ht="14.5" customHeight="1">
      <c r="A1501" s="7" t="s">
        <v>6870</v>
      </c>
      <c r="B1501" s="8" t="s">
        <v>2959</v>
      </c>
      <c r="C1501" s="27">
        <v>449035</v>
      </c>
      <c r="D1501" s="27">
        <v>553324</v>
      </c>
      <c r="E1501" s="69">
        <v>-18.850000000000001</v>
      </c>
      <c r="F1501" s="27">
        <v>1794</v>
      </c>
      <c r="G1501" s="27">
        <v>52592</v>
      </c>
      <c r="H1501" s="27">
        <v>-7</v>
      </c>
      <c r="I1501" s="27">
        <v>13418</v>
      </c>
      <c r="J1501" s="27">
        <v>857</v>
      </c>
      <c r="K1501" s="27">
        <v>53144</v>
      </c>
      <c r="L1501" s="69">
        <v>-98.39</v>
      </c>
      <c r="M1501" s="27">
        <v>500000</v>
      </c>
      <c r="N1501" s="69">
        <v>0.02</v>
      </c>
      <c r="O1501" s="69">
        <v>1.06</v>
      </c>
      <c r="P1501" s="69">
        <v>10.94</v>
      </c>
      <c r="Q1501" s="27">
        <v>88</v>
      </c>
      <c r="R1501" s="69">
        <v>5.72</v>
      </c>
      <c r="S1501" s="69">
        <v>430.5</v>
      </c>
      <c r="X1501" s="2">
        <f t="shared" si="69"/>
        <v>0.12</v>
      </c>
      <c r="Y1501" s="2">
        <f>SUMIF(收盤價!A:A,A1501,收盤價!C:C)</f>
        <v>14.7</v>
      </c>
      <c r="Z1501" s="2">
        <f t="shared" si="70"/>
        <v>547000</v>
      </c>
      <c r="AA1501" s="2">
        <f t="shared" si="71"/>
        <v>735000</v>
      </c>
    </row>
    <row r="1502" spans="1:27" ht="14.5" customHeight="1">
      <c r="A1502" s="7" t="s">
        <v>6871</v>
      </c>
      <c r="B1502" s="8" t="s">
        <v>2961</v>
      </c>
      <c r="C1502" s="27">
        <v>2917026</v>
      </c>
      <c r="D1502" s="27">
        <v>3536196</v>
      </c>
      <c r="E1502" s="69">
        <v>-17.510000000000002</v>
      </c>
      <c r="F1502" s="27">
        <v>259200</v>
      </c>
      <c r="G1502" s="27">
        <v>471746</v>
      </c>
      <c r="H1502" s="27">
        <v>-69482</v>
      </c>
      <c r="I1502" s="27">
        <v>-18398</v>
      </c>
      <c r="J1502" s="27">
        <v>121550</v>
      </c>
      <c r="K1502" s="27">
        <v>303189</v>
      </c>
      <c r="L1502" s="69">
        <v>-59.91</v>
      </c>
      <c r="M1502" s="27">
        <v>1363635</v>
      </c>
      <c r="N1502" s="69">
        <v>0.89</v>
      </c>
      <c r="O1502" s="69">
        <v>2.23</v>
      </c>
      <c r="P1502" s="69">
        <v>14.99</v>
      </c>
      <c r="Q1502" s="27">
        <v>46</v>
      </c>
      <c r="R1502" s="69">
        <v>1.65</v>
      </c>
      <c r="S1502" s="69">
        <v>109.75</v>
      </c>
      <c r="X1502" s="2">
        <f t="shared" si="69"/>
        <v>0.54</v>
      </c>
      <c r="Y1502" s="2">
        <f>SUMIF(收盤價!A:A,A1502,收盤價!C:C)</f>
        <v>22.55</v>
      </c>
      <c r="Z1502" s="2">
        <f t="shared" si="70"/>
        <v>2044088.8649999998</v>
      </c>
      <c r="AA1502" s="2">
        <f t="shared" si="71"/>
        <v>3074996.9249999998</v>
      </c>
    </row>
    <row r="1503" spans="1:27" ht="14.5" customHeight="1">
      <c r="A1503" s="7" t="s">
        <v>6872</v>
      </c>
      <c r="B1503" s="8" t="s">
        <v>2969</v>
      </c>
      <c r="C1503" s="27">
        <v>1001580</v>
      </c>
      <c r="D1503" s="27">
        <v>1181376</v>
      </c>
      <c r="E1503" s="69">
        <v>-15.22</v>
      </c>
      <c r="F1503" s="27">
        <v>67837</v>
      </c>
      <c r="G1503" s="27">
        <v>153253</v>
      </c>
      <c r="H1503" s="27">
        <v>27350</v>
      </c>
      <c r="I1503" s="27">
        <v>62426</v>
      </c>
      <c r="J1503" s="27">
        <v>57569</v>
      </c>
      <c r="K1503" s="27">
        <v>107192</v>
      </c>
      <c r="L1503" s="69">
        <v>-46.29</v>
      </c>
      <c r="M1503" s="27">
        <v>1498675</v>
      </c>
      <c r="N1503" s="69">
        <v>0.42</v>
      </c>
      <c r="O1503" s="69">
        <v>0.83</v>
      </c>
      <c r="P1503" s="69">
        <v>15.99</v>
      </c>
      <c r="Q1503" s="27">
        <v>76</v>
      </c>
      <c r="R1503" s="69">
        <v>6.32</v>
      </c>
      <c r="S1503" s="69">
        <v>563.21</v>
      </c>
      <c r="X1503" s="2">
        <f t="shared" si="69"/>
        <v>0.24</v>
      </c>
      <c r="Y1503" s="2">
        <f>SUMIF(收盤價!A:A,A1503,收盤價!C:C)</f>
        <v>22.6</v>
      </c>
      <c r="Z1503" s="2">
        <f t="shared" si="70"/>
        <v>2396381.3250000002</v>
      </c>
      <c r="AA1503" s="2">
        <f t="shared" si="71"/>
        <v>3387005.5</v>
      </c>
    </row>
    <row r="1504" spans="1:27" ht="14.5" customHeight="1">
      <c r="A1504" s="7" t="s">
        <v>6873</v>
      </c>
      <c r="B1504" s="8" t="s">
        <v>2979</v>
      </c>
      <c r="C1504" s="27">
        <v>1531387</v>
      </c>
      <c r="D1504" s="27">
        <v>1265296</v>
      </c>
      <c r="E1504" s="69">
        <v>21.03</v>
      </c>
      <c r="F1504" s="27">
        <v>169683</v>
      </c>
      <c r="G1504" s="27">
        <v>48169</v>
      </c>
      <c r="H1504" s="27">
        <v>33182</v>
      </c>
      <c r="I1504" s="27">
        <v>36973</v>
      </c>
      <c r="J1504" s="27">
        <v>120243</v>
      </c>
      <c r="K1504" s="27">
        <v>62798</v>
      </c>
      <c r="L1504" s="69">
        <v>91.48</v>
      </c>
      <c r="M1504" s="27">
        <v>600000</v>
      </c>
      <c r="N1504" s="69">
        <v>1.7</v>
      </c>
      <c r="O1504" s="69">
        <v>0.81</v>
      </c>
      <c r="P1504" s="69">
        <v>29.55</v>
      </c>
      <c r="Q1504" s="27">
        <v>84</v>
      </c>
      <c r="R1504" s="69">
        <v>5.49</v>
      </c>
      <c r="S1504" s="69">
        <v>516.23</v>
      </c>
      <c r="X1504" s="2">
        <f t="shared" si="69"/>
        <v>0.16</v>
      </c>
      <c r="Y1504" s="2">
        <f>SUMIF(收盤價!A:A,A1504,收盤價!C:C)</f>
        <v>26</v>
      </c>
      <c r="Z1504" s="2">
        <f t="shared" si="70"/>
        <v>1773000</v>
      </c>
      <c r="AA1504" s="2">
        <f t="shared" si="71"/>
        <v>1560000</v>
      </c>
    </row>
    <row r="1505" spans="1:27" ht="14.5" customHeight="1">
      <c r="A1505" s="7" t="s">
        <v>6874</v>
      </c>
      <c r="B1505" s="8" t="s">
        <v>2987</v>
      </c>
      <c r="C1505" s="27">
        <v>2241902</v>
      </c>
      <c r="D1505" s="27">
        <v>2265865</v>
      </c>
      <c r="E1505" s="69">
        <v>-1.06</v>
      </c>
      <c r="F1505" s="27">
        <v>381817</v>
      </c>
      <c r="G1505" s="27">
        <v>360020</v>
      </c>
      <c r="H1505" s="27">
        <v>-10096</v>
      </c>
      <c r="I1505" s="27">
        <v>42705</v>
      </c>
      <c r="J1505" s="27">
        <v>295505</v>
      </c>
      <c r="K1505" s="27">
        <v>300585</v>
      </c>
      <c r="L1505" s="69">
        <v>-1.69</v>
      </c>
      <c r="M1505" s="27">
        <v>799532</v>
      </c>
      <c r="N1505" s="69">
        <v>3.7</v>
      </c>
      <c r="O1505" s="69">
        <v>3.76</v>
      </c>
      <c r="P1505" s="69">
        <v>21.65</v>
      </c>
      <c r="Q1505" s="27">
        <v>66</v>
      </c>
      <c r="R1505" s="69">
        <v>3.09</v>
      </c>
      <c r="S1505" s="69">
        <v>215.62</v>
      </c>
      <c r="X1505" s="2">
        <f t="shared" si="69"/>
        <v>0.34</v>
      </c>
      <c r="Y1505" s="2">
        <f>SUMIF(收盤價!A:A,A1505,收盤價!C:C)</f>
        <v>83.9</v>
      </c>
      <c r="Z1505" s="2">
        <f t="shared" si="70"/>
        <v>1730986.7799999998</v>
      </c>
      <c r="AA1505" s="2">
        <f t="shared" si="71"/>
        <v>6708073.4800000004</v>
      </c>
    </row>
    <row r="1506" spans="1:27" ht="14.5" customHeight="1">
      <c r="A1506" s="7" t="s">
        <v>6875</v>
      </c>
      <c r="B1506" s="8" t="s">
        <v>2989</v>
      </c>
      <c r="C1506" s="27">
        <v>509026</v>
      </c>
      <c r="D1506" s="27">
        <v>602553</v>
      </c>
      <c r="E1506" s="69">
        <v>-15.52</v>
      </c>
      <c r="F1506" s="27">
        <v>30550</v>
      </c>
      <c r="G1506" s="27">
        <v>52658</v>
      </c>
      <c r="H1506" s="27">
        <v>12723</v>
      </c>
      <c r="I1506" s="27">
        <v>22789</v>
      </c>
      <c r="J1506" s="27">
        <v>32179</v>
      </c>
      <c r="K1506" s="27">
        <v>45524</v>
      </c>
      <c r="L1506" s="69">
        <v>-29.31</v>
      </c>
      <c r="M1506" s="27">
        <v>231021</v>
      </c>
      <c r="N1506" s="69">
        <v>1.05</v>
      </c>
      <c r="O1506" s="69">
        <v>1.26</v>
      </c>
      <c r="P1506" s="69">
        <v>33.1</v>
      </c>
      <c r="Q1506" s="27">
        <v>80</v>
      </c>
      <c r="R1506" s="69">
        <v>7.44</v>
      </c>
      <c r="S1506" s="69">
        <v>687.31</v>
      </c>
      <c r="X1506" s="2">
        <f t="shared" si="69"/>
        <v>0.2</v>
      </c>
      <c r="Y1506" s="2">
        <f>SUMIF(收盤價!A:A,A1506,收盤價!C:C)</f>
        <v>84.25</v>
      </c>
      <c r="Z1506" s="2">
        <f t="shared" si="70"/>
        <v>764679.51</v>
      </c>
      <c r="AA1506" s="2">
        <f t="shared" si="71"/>
        <v>1946351.925</v>
      </c>
    </row>
    <row r="1507" spans="1:27" ht="14.5" customHeight="1">
      <c r="A1507" s="7" t="s">
        <v>6876</v>
      </c>
      <c r="B1507" s="8" t="s">
        <v>2991</v>
      </c>
      <c r="C1507" s="27">
        <v>1078330</v>
      </c>
      <c r="D1507" s="27">
        <v>2211070</v>
      </c>
      <c r="E1507" s="69">
        <v>-51.23</v>
      </c>
      <c r="F1507" s="27">
        <v>44238</v>
      </c>
      <c r="G1507" s="27">
        <v>315925</v>
      </c>
      <c r="H1507" s="27">
        <v>57649</v>
      </c>
      <c r="I1507" s="27">
        <v>88382</v>
      </c>
      <c r="J1507" s="27">
        <v>117279</v>
      </c>
      <c r="K1507" s="27">
        <v>335501</v>
      </c>
      <c r="L1507" s="69">
        <v>-65.040000000000006</v>
      </c>
      <c r="M1507" s="27">
        <v>839546</v>
      </c>
      <c r="N1507" s="69">
        <v>1.4</v>
      </c>
      <c r="O1507" s="69">
        <v>4</v>
      </c>
      <c r="P1507" s="69">
        <v>18.420000000000002</v>
      </c>
      <c r="Q1507" s="27">
        <v>41</v>
      </c>
      <c r="R1507" s="69">
        <v>1.47</v>
      </c>
      <c r="S1507" s="69">
        <v>122.97</v>
      </c>
      <c r="X1507" s="2">
        <f t="shared" si="69"/>
        <v>0.59</v>
      </c>
      <c r="Y1507" s="2">
        <f>SUMIF(收盤價!A:A,A1507,收盤價!C:C)</f>
        <v>49.79</v>
      </c>
      <c r="Z1507" s="2">
        <f t="shared" si="70"/>
        <v>1546443.7320000003</v>
      </c>
      <c r="AA1507" s="2">
        <f t="shared" si="71"/>
        <v>4180099.5339999995</v>
      </c>
    </row>
    <row r="1508" spans="1:27" ht="14.5" customHeight="1">
      <c r="A1508" s="7" t="s">
        <v>6877</v>
      </c>
      <c r="B1508" s="8" t="s">
        <v>2993</v>
      </c>
      <c r="C1508" s="27">
        <v>2371982</v>
      </c>
      <c r="D1508" s="27">
        <v>2238188</v>
      </c>
      <c r="E1508" s="69">
        <v>5.98</v>
      </c>
      <c r="F1508" s="27">
        <v>285350</v>
      </c>
      <c r="G1508" s="27">
        <v>222781</v>
      </c>
      <c r="H1508" s="27">
        <v>40130</v>
      </c>
      <c r="I1508" s="27">
        <v>26959</v>
      </c>
      <c r="J1508" s="27">
        <v>228106</v>
      </c>
      <c r="K1508" s="27">
        <v>208564</v>
      </c>
      <c r="L1508" s="69">
        <v>9.3699999999999992</v>
      </c>
      <c r="M1508" s="27">
        <v>989936</v>
      </c>
      <c r="N1508" s="69">
        <v>2.2999999999999998</v>
      </c>
      <c r="O1508" s="69">
        <v>2.11</v>
      </c>
      <c r="P1508" s="69">
        <v>18.8</v>
      </c>
      <c r="Q1508" s="27">
        <v>59</v>
      </c>
      <c r="R1508" s="69">
        <v>1.92</v>
      </c>
      <c r="S1508" s="69">
        <v>95.11</v>
      </c>
      <c r="X1508" s="2">
        <f t="shared" si="69"/>
        <v>0.41</v>
      </c>
      <c r="Y1508" s="2">
        <f>SUMIF(收盤價!A:A,A1508,收盤價!C:C)</f>
        <v>82.1</v>
      </c>
      <c r="Z1508" s="2">
        <f t="shared" si="70"/>
        <v>1861079.6800000002</v>
      </c>
      <c r="AA1508" s="2">
        <f t="shared" si="71"/>
        <v>8127374.5599999996</v>
      </c>
    </row>
    <row r="1509" spans="1:27" ht="14.5" customHeight="1">
      <c r="A1509" s="7" t="s">
        <v>6878</v>
      </c>
      <c r="B1509" s="8" t="s">
        <v>2995</v>
      </c>
      <c r="C1509" s="27">
        <v>878067</v>
      </c>
      <c r="D1509" s="27">
        <v>735675</v>
      </c>
      <c r="E1509" s="69">
        <v>19.36</v>
      </c>
      <c r="F1509" s="27">
        <v>193930</v>
      </c>
      <c r="G1509" s="27">
        <v>103766</v>
      </c>
      <c r="H1509" s="27">
        <v>54</v>
      </c>
      <c r="I1509" s="27">
        <v>9352</v>
      </c>
      <c r="J1509" s="27">
        <v>152503</v>
      </c>
      <c r="K1509" s="27">
        <v>89899</v>
      </c>
      <c r="L1509" s="69">
        <v>69.64</v>
      </c>
      <c r="M1509" s="27">
        <v>350480</v>
      </c>
      <c r="N1509" s="69">
        <v>4.3499999999999996</v>
      </c>
      <c r="O1509" s="69">
        <v>2.57</v>
      </c>
      <c r="P1509" s="69">
        <v>24.67</v>
      </c>
      <c r="Q1509" s="27">
        <v>73</v>
      </c>
      <c r="R1509" s="69">
        <v>3.44</v>
      </c>
      <c r="S1509" s="69">
        <v>313.2</v>
      </c>
      <c r="X1509" s="2">
        <f t="shared" si="69"/>
        <v>0.27</v>
      </c>
      <c r="Y1509" s="2">
        <f>SUMIF(收盤價!A:A,A1509,收盤價!C:C)</f>
        <v>45.95</v>
      </c>
      <c r="Z1509" s="2">
        <f t="shared" si="70"/>
        <v>864634.16000000015</v>
      </c>
      <c r="AA1509" s="2">
        <f t="shared" si="71"/>
        <v>1610455.6</v>
      </c>
    </row>
    <row r="1510" spans="1:27" ht="14.5" customHeight="1">
      <c r="A1510" s="7" t="s">
        <v>6879</v>
      </c>
      <c r="B1510" s="8" t="s">
        <v>2999</v>
      </c>
      <c r="C1510" s="27">
        <v>2320412</v>
      </c>
      <c r="D1510" s="27">
        <v>1773756</v>
      </c>
      <c r="E1510" s="69">
        <v>30.82</v>
      </c>
      <c r="F1510" s="27">
        <v>106048</v>
      </c>
      <c r="G1510" s="27">
        <v>63071</v>
      </c>
      <c r="H1510" s="27">
        <v>8171</v>
      </c>
      <c r="I1510" s="27">
        <v>29715</v>
      </c>
      <c r="J1510" s="27">
        <v>88019</v>
      </c>
      <c r="K1510" s="27">
        <v>59708</v>
      </c>
      <c r="L1510" s="69">
        <v>47.42</v>
      </c>
      <c r="M1510" s="27">
        <v>651667</v>
      </c>
      <c r="N1510" s="69">
        <v>1.39</v>
      </c>
      <c r="O1510" s="69">
        <v>0.95</v>
      </c>
      <c r="P1510" s="69">
        <v>23.27</v>
      </c>
      <c r="Q1510" s="27">
        <v>59</v>
      </c>
      <c r="R1510" s="69">
        <v>2.3199999999999998</v>
      </c>
      <c r="S1510" s="69">
        <v>170.48</v>
      </c>
      <c r="X1510" s="2">
        <f t="shared" si="69"/>
        <v>0.41</v>
      </c>
      <c r="Y1510" s="2">
        <f>SUMIF(收盤價!A:A,A1510,收盤價!C:C)</f>
        <v>38.6</v>
      </c>
      <c r="Z1510" s="2">
        <f t="shared" si="70"/>
        <v>1516429.1089999999</v>
      </c>
      <c r="AA1510" s="2">
        <f t="shared" si="71"/>
        <v>2515434.62</v>
      </c>
    </row>
    <row r="1511" spans="1:27" ht="14.5" customHeight="1">
      <c r="A1511" s="7" t="s">
        <v>6880</v>
      </c>
      <c r="B1511" s="8" t="s">
        <v>3005</v>
      </c>
      <c r="C1511" s="27">
        <v>11572582</v>
      </c>
      <c r="D1511" s="27">
        <v>11792427</v>
      </c>
      <c r="E1511" s="69">
        <v>-1.86</v>
      </c>
      <c r="F1511" s="27">
        <v>348987</v>
      </c>
      <c r="G1511" s="27">
        <v>494843</v>
      </c>
      <c r="H1511" s="27">
        <v>-112340</v>
      </c>
      <c r="I1511" s="27">
        <v>-69629</v>
      </c>
      <c r="J1511" s="27">
        <v>172272</v>
      </c>
      <c r="K1511" s="27">
        <v>353241</v>
      </c>
      <c r="L1511" s="69">
        <v>-51.23</v>
      </c>
      <c r="M1511" s="27">
        <v>1245545</v>
      </c>
      <c r="N1511" s="69">
        <v>1.38</v>
      </c>
      <c r="O1511" s="69">
        <v>2.84</v>
      </c>
      <c r="P1511" s="69">
        <v>19.09</v>
      </c>
      <c r="Q1511" s="27">
        <v>27</v>
      </c>
      <c r="R1511" s="69">
        <v>1.28</v>
      </c>
      <c r="S1511" s="69">
        <v>74.41</v>
      </c>
      <c r="X1511" s="2">
        <f t="shared" si="69"/>
        <v>0.73</v>
      </c>
      <c r="Y1511" s="2">
        <f>SUMIF(收盤價!A:A,A1511,收盤價!C:C)</f>
        <v>25.45</v>
      </c>
      <c r="Z1511" s="2">
        <f t="shared" si="70"/>
        <v>2377745.4050000003</v>
      </c>
      <c r="AA1511" s="2">
        <f t="shared" si="71"/>
        <v>3169912.0249999999</v>
      </c>
    </row>
    <row r="1512" spans="1:27" ht="14.5" customHeight="1">
      <c r="A1512" s="7" t="s">
        <v>6881</v>
      </c>
      <c r="B1512" s="8" t="s">
        <v>3047</v>
      </c>
      <c r="C1512" s="27">
        <v>195657</v>
      </c>
      <c r="D1512" s="27">
        <v>245875</v>
      </c>
      <c r="E1512" s="69">
        <v>-20.420000000000002</v>
      </c>
      <c r="F1512" s="27">
        <v>-49073</v>
      </c>
      <c r="G1512" s="27">
        <v>-24101</v>
      </c>
      <c r="H1512" s="27">
        <v>156697</v>
      </c>
      <c r="I1512" s="27">
        <v>5490</v>
      </c>
      <c r="J1512" s="27">
        <v>72537</v>
      </c>
      <c r="K1512" s="27">
        <v>-21026</v>
      </c>
      <c r="L1512" s="69">
        <v>444.99</v>
      </c>
      <c r="M1512" s="27">
        <v>1113364</v>
      </c>
      <c r="N1512" s="69">
        <v>0.65</v>
      </c>
      <c r="O1512" s="69">
        <v>-0.19</v>
      </c>
      <c r="P1512" s="69">
        <v>1.86</v>
      </c>
      <c r="Q1512" s="27">
        <v>78</v>
      </c>
      <c r="R1512" s="69">
        <v>4.24</v>
      </c>
      <c r="S1512" s="69">
        <v>398.65</v>
      </c>
      <c r="X1512" s="2">
        <f t="shared" si="69"/>
        <v>0.22</v>
      </c>
      <c r="Y1512" s="2">
        <f>SUMIF(收盤價!A:A,A1512,收盤價!C:C)</f>
        <v>2.4300000000000002</v>
      </c>
      <c r="Z1512" s="2">
        <f t="shared" si="70"/>
        <v>207085.704</v>
      </c>
      <c r="AA1512" s="2">
        <f t="shared" si="71"/>
        <v>270547.45199999999</v>
      </c>
    </row>
    <row r="1513" spans="1:27" ht="14.5" customHeight="1">
      <c r="A1513" s="7" t="s">
        <v>6882</v>
      </c>
      <c r="B1513" s="8" t="s">
        <v>3057</v>
      </c>
      <c r="C1513" s="27">
        <v>3061456</v>
      </c>
      <c r="D1513" s="27">
        <v>3163915</v>
      </c>
      <c r="E1513" s="69">
        <v>-3.24</v>
      </c>
      <c r="F1513" s="27">
        <v>234103</v>
      </c>
      <c r="G1513" s="27">
        <v>300894</v>
      </c>
      <c r="H1513" s="27">
        <v>10205</v>
      </c>
      <c r="I1513" s="27">
        <v>26856</v>
      </c>
      <c r="J1513" s="27">
        <v>173799</v>
      </c>
      <c r="K1513" s="27">
        <v>259873</v>
      </c>
      <c r="L1513" s="69">
        <v>-33.119999999999997</v>
      </c>
      <c r="M1513" s="27">
        <v>989462</v>
      </c>
      <c r="N1513" s="69">
        <v>1.76</v>
      </c>
      <c r="O1513" s="69">
        <v>2.63</v>
      </c>
      <c r="P1513" s="69">
        <v>15.89</v>
      </c>
      <c r="Q1513" s="27">
        <v>66</v>
      </c>
      <c r="R1513" s="69">
        <v>2.17</v>
      </c>
      <c r="S1513" s="69">
        <v>120.17</v>
      </c>
      <c r="X1513" s="2">
        <f t="shared" si="69"/>
        <v>0.34</v>
      </c>
      <c r="Y1513" s="2">
        <f>SUMIF(收盤價!A:A,A1513,收盤價!C:C)</f>
        <v>21.2</v>
      </c>
      <c r="Z1513" s="2">
        <f t="shared" si="70"/>
        <v>1572255.118</v>
      </c>
      <c r="AA1513" s="2">
        <f t="shared" si="71"/>
        <v>2097659.44</v>
      </c>
    </row>
    <row r="1514" spans="1:27" ht="14.5" customHeight="1">
      <c r="A1514" s="7" t="s">
        <v>6883</v>
      </c>
      <c r="B1514" s="8" t="s">
        <v>3061</v>
      </c>
      <c r="C1514" s="27">
        <v>17527071</v>
      </c>
      <c r="D1514" s="27">
        <v>17787226</v>
      </c>
      <c r="E1514" s="69">
        <v>-1.46</v>
      </c>
      <c r="F1514" s="27">
        <v>2156817</v>
      </c>
      <c r="G1514" s="27">
        <v>2399617</v>
      </c>
      <c r="H1514" s="27">
        <v>78299</v>
      </c>
      <c r="I1514" s="27">
        <v>-6379</v>
      </c>
      <c r="J1514" s="27">
        <v>1752442</v>
      </c>
      <c r="K1514" s="27">
        <v>1836480</v>
      </c>
      <c r="L1514" s="69">
        <v>-4.58</v>
      </c>
      <c r="M1514" s="27">
        <v>2648558</v>
      </c>
      <c r="N1514" s="69">
        <v>6.92</v>
      </c>
      <c r="O1514" s="69">
        <v>7.46</v>
      </c>
      <c r="P1514" s="69">
        <v>38.14</v>
      </c>
      <c r="Q1514" s="27">
        <v>56</v>
      </c>
      <c r="R1514" s="69">
        <v>2.11</v>
      </c>
      <c r="S1514" s="69">
        <v>172.1</v>
      </c>
      <c r="X1514" s="2">
        <f t="shared" si="69"/>
        <v>0.44</v>
      </c>
      <c r="Y1514" s="2">
        <f>SUMIF(收盤價!A:A,A1514,收盤價!C:C)</f>
        <v>148</v>
      </c>
      <c r="Z1514" s="2">
        <f t="shared" si="70"/>
        <v>10101600.212000001</v>
      </c>
      <c r="AA1514" s="2">
        <f t="shared" si="71"/>
        <v>39198658.399999999</v>
      </c>
    </row>
    <row r="1515" spans="1:27" ht="14.5" customHeight="1">
      <c r="A1515" s="7" t="s">
        <v>6884</v>
      </c>
      <c r="B1515" s="8" t="s">
        <v>3067</v>
      </c>
      <c r="C1515" s="27">
        <v>3791279</v>
      </c>
      <c r="D1515" s="27">
        <v>4079781</v>
      </c>
      <c r="E1515" s="69">
        <v>-7.07</v>
      </c>
      <c r="F1515" s="27">
        <v>591510</v>
      </c>
      <c r="G1515" s="27">
        <v>743612</v>
      </c>
      <c r="H1515" s="27">
        <v>-28702</v>
      </c>
      <c r="I1515" s="27">
        <v>-20157</v>
      </c>
      <c r="J1515" s="27">
        <v>464271</v>
      </c>
      <c r="K1515" s="27">
        <v>583304</v>
      </c>
      <c r="L1515" s="69">
        <v>-20.41</v>
      </c>
      <c r="M1515" s="27">
        <v>972241</v>
      </c>
      <c r="N1515" s="69">
        <v>4.78</v>
      </c>
      <c r="O1515" s="69">
        <v>6</v>
      </c>
      <c r="P1515" s="69">
        <v>44.35</v>
      </c>
      <c r="Q1515" s="27">
        <v>63</v>
      </c>
      <c r="R1515" s="69">
        <v>1.56</v>
      </c>
      <c r="S1515" s="69">
        <v>121.1</v>
      </c>
      <c r="X1515" s="2">
        <f t="shared" si="69"/>
        <v>0.37</v>
      </c>
      <c r="Y1515" s="2">
        <f>SUMIF(收盤價!A:A,A1515,收盤價!C:C)</f>
        <v>89.6</v>
      </c>
      <c r="Z1515" s="2">
        <f t="shared" si="70"/>
        <v>4311888.835</v>
      </c>
      <c r="AA1515" s="2">
        <f t="shared" si="71"/>
        <v>8711279.3599999994</v>
      </c>
    </row>
    <row r="1516" spans="1:27" ht="14.5" customHeight="1">
      <c r="A1516" s="7" t="s">
        <v>6885</v>
      </c>
      <c r="B1516" s="8" t="s">
        <v>3069</v>
      </c>
      <c r="C1516" s="27">
        <v>4230464</v>
      </c>
      <c r="D1516" s="27">
        <v>3998276</v>
      </c>
      <c r="E1516" s="69">
        <v>5.81</v>
      </c>
      <c r="F1516" s="27">
        <v>237389</v>
      </c>
      <c r="G1516" s="27">
        <v>32469</v>
      </c>
      <c r="H1516" s="27">
        <v>23838</v>
      </c>
      <c r="I1516" s="27">
        <v>359301</v>
      </c>
      <c r="J1516" s="27">
        <v>195102</v>
      </c>
      <c r="K1516" s="27">
        <v>264913</v>
      </c>
      <c r="L1516" s="69">
        <v>-26.35</v>
      </c>
      <c r="M1516" s="27">
        <v>1401803</v>
      </c>
      <c r="N1516" s="69">
        <v>1.34</v>
      </c>
      <c r="O1516" s="69">
        <v>2.14</v>
      </c>
      <c r="P1516" s="69">
        <v>33.630000000000003</v>
      </c>
      <c r="Q1516" s="27">
        <v>72</v>
      </c>
      <c r="R1516" s="69">
        <v>2.95</v>
      </c>
      <c r="S1516" s="69">
        <v>258.14</v>
      </c>
      <c r="X1516" s="2">
        <f t="shared" si="69"/>
        <v>0.28000000000000003</v>
      </c>
      <c r="Y1516" s="2">
        <f>SUMIF(收盤價!A:A,A1516,收盤價!C:C)</f>
        <v>38.1</v>
      </c>
      <c r="Z1516" s="2">
        <f t="shared" si="70"/>
        <v>4714263.4890000001</v>
      </c>
      <c r="AA1516" s="2">
        <f t="shared" si="71"/>
        <v>5340869.4300000006</v>
      </c>
    </row>
    <row r="1517" spans="1:27" ht="14.5" customHeight="1">
      <c r="A1517" s="7" t="s">
        <v>6886</v>
      </c>
      <c r="B1517" s="8" t="s">
        <v>3073</v>
      </c>
      <c r="C1517" s="27">
        <v>7021303</v>
      </c>
      <c r="D1517" s="27">
        <v>7259167</v>
      </c>
      <c r="E1517" s="69">
        <v>-3.28</v>
      </c>
      <c r="F1517" s="27">
        <v>1013439</v>
      </c>
      <c r="G1517" s="27">
        <v>138159</v>
      </c>
      <c r="H1517" s="27">
        <v>118733</v>
      </c>
      <c r="I1517" s="27">
        <v>57906</v>
      </c>
      <c r="J1517" s="27">
        <v>904558</v>
      </c>
      <c r="K1517" s="27">
        <v>159857</v>
      </c>
      <c r="L1517" s="69">
        <v>465.85</v>
      </c>
      <c r="M1517" s="27">
        <v>1437205</v>
      </c>
      <c r="N1517" s="69">
        <v>6.35</v>
      </c>
      <c r="O1517" s="69">
        <v>1.1399999999999999</v>
      </c>
      <c r="P1517" s="69">
        <v>29.5</v>
      </c>
      <c r="Q1517" s="27">
        <v>63</v>
      </c>
      <c r="R1517" s="69">
        <v>2.11</v>
      </c>
      <c r="S1517" s="69">
        <v>152.46</v>
      </c>
      <c r="X1517" s="2">
        <f t="shared" si="69"/>
        <v>0.37</v>
      </c>
      <c r="Y1517" s="2">
        <f>SUMIF(收盤價!A:A,A1517,收盤價!C:C)</f>
        <v>69.7</v>
      </c>
      <c r="Z1517" s="2">
        <f t="shared" si="70"/>
        <v>4239754.75</v>
      </c>
      <c r="AA1517" s="2">
        <f t="shared" si="71"/>
        <v>10017318.85</v>
      </c>
    </row>
    <row r="1518" spans="1:27" ht="14.5" customHeight="1">
      <c r="A1518" s="7" t="s">
        <v>6887</v>
      </c>
      <c r="B1518" s="8" t="s">
        <v>3077</v>
      </c>
      <c r="C1518" s="27">
        <v>1009425</v>
      </c>
      <c r="D1518" s="27">
        <v>1328676</v>
      </c>
      <c r="E1518" s="69">
        <v>-24.03</v>
      </c>
      <c r="F1518" s="27">
        <v>104052</v>
      </c>
      <c r="G1518" s="27">
        <v>140240</v>
      </c>
      <c r="H1518" s="27">
        <v>127291</v>
      </c>
      <c r="I1518" s="27">
        <v>9176</v>
      </c>
      <c r="J1518" s="27">
        <v>200562</v>
      </c>
      <c r="K1518" s="27">
        <v>89995</v>
      </c>
      <c r="L1518" s="69">
        <v>122.86</v>
      </c>
      <c r="M1518" s="27">
        <v>469007</v>
      </c>
      <c r="N1518" s="69">
        <v>4.28</v>
      </c>
      <c r="O1518" s="69">
        <v>1.92</v>
      </c>
      <c r="P1518" s="69">
        <v>20.96</v>
      </c>
      <c r="Q1518" s="27">
        <v>59</v>
      </c>
      <c r="R1518" s="69">
        <v>2.35</v>
      </c>
      <c r="S1518" s="69">
        <v>210.09</v>
      </c>
      <c r="X1518" s="2">
        <f t="shared" si="69"/>
        <v>0.41</v>
      </c>
      <c r="Y1518" s="2">
        <f>SUMIF(收盤價!A:A,A1518,收盤價!C:C)</f>
        <v>34.549999999999997</v>
      </c>
      <c r="Z1518" s="2">
        <f t="shared" si="70"/>
        <v>983038.67200000002</v>
      </c>
      <c r="AA1518" s="2">
        <f t="shared" si="71"/>
        <v>1620419.1849999998</v>
      </c>
    </row>
    <row r="1519" spans="1:27" ht="14.5" customHeight="1">
      <c r="A1519" s="7" t="s">
        <v>6114</v>
      </c>
      <c r="B1519" s="8" t="s">
        <v>3087</v>
      </c>
      <c r="C1519" s="27">
        <v>907231</v>
      </c>
      <c r="D1519" s="27">
        <v>869599</v>
      </c>
      <c r="E1519" s="69">
        <v>4.33</v>
      </c>
      <c r="F1519" s="27">
        <v>7545</v>
      </c>
      <c r="G1519" s="27">
        <v>39785</v>
      </c>
      <c r="H1519" s="27">
        <v>3275</v>
      </c>
      <c r="I1519" s="27">
        <v>11410</v>
      </c>
      <c r="J1519" s="27">
        <v>6276</v>
      </c>
      <c r="K1519" s="27">
        <v>47126</v>
      </c>
      <c r="L1519" s="69">
        <v>-86.68</v>
      </c>
      <c r="M1519" s="27">
        <v>345220</v>
      </c>
      <c r="N1519" s="69">
        <v>0.18</v>
      </c>
      <c r="O1519" s="69">
        <v>1.55</v>
      </c>
      <c r="P1519" s="69">
        <v>14.25</v>
      </c>
      <c r="Q1519" s="27">
        <v>67</v>
      </c>
      <c r="R1519" s="69">
        <v>2.92</v>
      </c>
      <c r="S1519" s="69">
        <v>245.75</v>
      </c>
      <c r="X1519" s="2">
        <f t="shared" si="69"/>
        <v>0.33</v>
      </c>
      <c r="Y1519" s="2">
        <f>SUMIF(收盤價!A:A,A1519,收盤價!C:C)</f>
        <v>47.150000000000006</v>
      </c>
      <c r="Z1519" s="2">
        <f t="shared" si="70"/>
        <v>491938.5</v>
      </c>
      <c r="AA1519" s="2">
        <f t="shared" si="71"/>
        <v>1627712.3000000003</v>
      </c>
    </row>
    <row r="1520" spans="1:27" ht="14.5" customHeight="1">
      <c r="A1520" s="7" t="s">
        <v>6888</v>
      </c>
      <c r="B1520" s="8" t="s">
        <v>3095</v>
      </c>
      <c r="C1520" s="27">
        <v>919638</v>
      </c>
      <c r="D1520" s="27">
        <v>940921</v>
      </c>
      <c r="E1520" s="69">
        <v>-2.2599999999999998</v>
      </c>
      <c r="F1520" s="27">
        <v>57797</v>
      </c>
      <c r="G1520" s="27">
        <v>52767</v>
      </c>
      <c r="H1520" s="27">
        <v>7238</v>
      </c>
      <c r="I1520" s="27">
        <v>27435</v>
      </c>
      <c r="J1520" s="27">
        <v>52111</v>
      </c>
      <c r="K1520" s="27">
        <v>62429</v>
      </c>
      <c r="L1520" s="69">
        <v>-16.53</v>
      </c>
      <c r="M1520" s="27">
        <v>228297</v>
      </c>
      <c r="N1520" s="69">
        <v>2.36</v>
      </c>
      <c r="O1520" s="69">
        <v>2.92</v>
      </c>
      <c r="P1520" s="69">
        <v>22.94</v>
      </c>
      <c r="Q1520" s="27">
        <v>52</v>
      </c>
      <c r="R1520" s="69">
        <v>2.96</v>
      </c>
      <c r="S1520" s="69">
        <v>257.12</v>
      </c>
      <c r="X1520" s="2">
        <f t="shared" si="69"/>
        <v>0.48</v>
      </c>
      <c r="Y1520" s="2">
        <f>SUMIF(收盤價!A:A,A1520,收盤價!C:C)</f>
        <v>34.700000000000003</v>
      </c>
      <c r="Z1520" s="2">
        <f t="shared" si="70"/>
        <v>523713.31800000009</v>
      </c>
      <c r="AA1520" s="2">
        <f t="shared" si="71"/>
        <v>792190.59000000008</v>
      </c>
    </row>
    <row r="1521" spans="1:27" ht="14.5" customHeight="1">
      <c r="A1521" s="7" t="s">
        <v>6889</v>
      </c>
      <c r="B1521" s="8" t="s">
        <v>3161</v>
      </c>
      <c r="C1521" s="27">
        <v>1499458</v>
      </c>
      <c r="D1521" s="27">
        <v>881847</v>
      </c>
      <c r="E1521" s="69">
        <v>70.040000000000006</v>
      </c>
      <c r="F1521" s="27">
        <v>381853</v>
      </c>
      <c r="G1521" s="27">
        <v>22183</v>
      </c>
      <c r="H1521" s="27">
        <v>-7599</v>
      </c>
      <c r="I1521" s="27">
        <v>824</v>
      </c>
      <c r="J1521" s="27">
        <v>284410</v>
      </c>
      <c r="K1521" s="27">
        <v>2042</v>
      </c>
      <c r="L1521" s="28" t="s">
        <v>6378</v>
      </c>
      <c r="M1521" s="27">
        <v>303000</v>
      </c>
      <c r="N1521" s="69">
        <v>9.39</v>
      </c>
      <c r="O1521" s="69">
        <v>7.0000000000000007E-2</v>
      </c>
      <c r="P1521" s="69">
        <v>46.74</v>
      </c>
      <c r="Q1521" s="27">
        <v>68</v>
      </c>
      <c r="R1521" s="69">
        <v>3.32</v>
      </c>
      <c r="S1521" s="69">
        <v>302.39</v>
      </c>
      <c r="X1521" s="2">
        <f t="shared" si="69"/>
        <v>0.32</v>
      </c>
      <c r="Y1521" s="2">
        <f>SUMIF(收盤價!A:A,A1521,收盤價!C:C)</f>
        <v>207.5</v>
      </c>
      <c r="Z1521" s="2">
        <f t="shared" si="70"/>
        <v>1416222</v>
      </c>
      <c r="AA1521" s="2">
        <f t="shared" si="71"/>
        <v>6287250</v>
      </c>
    </row>
    <row r="1522" spans="1:27" ht="14.5" customHeight="1">
      <c r="A1522" s="7" t="s">
        <v>6183</v>
      </c>
      <c r="B1522" s="8" t="s">
        <v>3217</v>
      </c>
      <c r="C1522" s="27">
        <v>395246</v>
      </c>
      <c r="D1522" s="27">
        <v>423356</v>
      </c>
      <c r="E1522" s="69">
        <v>-6.64</v>
      </c>
      <c r="F1522" s="27">
        <v>76978</v>
      </c>
      <c r="G1522" s="27">
        <v>85378</v>
      </c>
      <c r="H1522" s="27">
        <v>44</v>
      </c>
      <c r="I1522" s="27">
        <v>9414</v>
      </c>
      <c r="J1522" s="27">
        <v>61757</v>
      </c>
      <c r="K1522" s="27">
        <v>74052</v>
      </c>
      <c r="L1522" s="69">
        <v>-16.600000000000001</v>
      </c>
      <c r="M1522" s="27">
        <v>313996</v>
      </c>
      <c r="N1522" s="69">
        <v>2.12</v>
      </c>
      <c r="O1522" s="69">
        <v>2.65</v>
      </c>
      <c r="P1522" s="69">
        <v>16.690000000000001</v>
      </c>
      <c r="Q1522" s="27">
        <v>80</v>
      </c>
      <c r="R1522" s="69">
        <v>5.49</v>
      </c>
      <c r="S1522" s="69">
        <v>475.88</v>
      </c>
      <c r="X1522" s="2">
        <f t="shared" si="69"/>
        <v>0.2</v>
      </c>
      <c r="Y1522" s="2">
        <f>SUMIF(收盤價!A:A,A1522,收盤價!C:C)</f>
        <v>77.400000000000006</v>
      </c>
      <c r="Z1522" s="2">
        <f t="shared" si="70"/>
        <v>524059.32400000002</v>
      </c>
      <c r="AA1522" s="2">
        <f t="shared" si="71"/>
        <v>2430329.04</v>
      </c>
    </row>
    <row r="1523" spans="1:27" ht="14.5" customHeight="1">
      <c r="A1523" s="7" t="s">
        <v>6890</v>
      </c>
      <c r="B1523" s="8" t="s">
        <v>3227</v>
      </c>
      <c r="C1523" s="27">
        <v>1668286</v>
      </c>
      <c r="D1523" s="27">
        <v>1644002</v>
      </c>
      <c r="E1523" s="69">
        <v>1.48</v>
      </c>
      <c r="F1523" s="27">
        <v>342243</v>
      </c>
      <c r="G1523" s="27">
        <v>284407</v>
      </c>
      <c r="H1523" s="27">
        <v>30912</v>
      </c>
      <c r="I1523" s="27">
        <v>44187</v>
      </c>
      <c r="J1523" s="27">
        <v>297149</v>
      </c>
      <c r="K1523" s="27">
        <v>262640</v>
      </c>
      <c r="L1523" s="69">
        <v>13.14</v>
      </c>
      <c r="M1523" s="27">
        <v>550000</v>
      </c>
      <c r="N1523" s="69">
        <v>5.4</v>
      </c>
      <c r="O1523" s="69">
        <v>5.0999999999999996</v>
      </c>
      <c r="P1523" s="69">
        <v>33.049999999999997</v>
      </c>
      <c r="Q1523" s="27">
        <v>55</v>
      </c>
      <c r="R1523" s="69">
        <v>1.73</v>
      </c>
      <c r="S1523" s="69">
        <v>106.88</v>
      </c>
      <c r="X1523" s="2">
        <f t="shared" si="69"/>
        <v>0.45</v>
      </c>
      <c r="Y1523" s="2">
        <f>SUMIF(收盤價!A:A,A1523,收盤價!C:C)</f>
        <v>65.3</v>
      </c>
      <c r="Z1523" s="2">
        <f t="shared" si="70"/>
        <v>1817750</v>
      </c>
      <c r="AA1523" s="2">
        <f t="shared" si="71"/>
        <v>3591500</v>
      </c>
    </row>
    <row r="1524" spans="1:27" ht="14.5" customHeight="1">
      <c r="A1524" s="7" t="s">
        <v>6891</v>
      </c>
      <c r="B1524" s="8" t="s">
        <v>3255</v>
      </c>
      <c r="C1524" s="27">
        <v>327915</v>
      </c>
      <c r="D1524" s="27">
        <v>78728</v>
      </c>
      <c r="E1524" s="69">
        <v>316.52</v>
      </c>
      <c r="F1524" s="27">
        <v>-26515</v>
      </c>
      <c r="G1524" s="27">
        <v>-91057</v>
      </c>
      <c r="H1524" s="27">
        <v>-1470</v>
      </c>
      <c r="I1524" s="27">
        <v>-66213</v>
      </c>
      <c r="J1524" s="27">
        <v>-30165</v>
      </c>
      <c r="K1524" s="27">
        <v>-153482</v>
      </c>
      <c r="L1524" s="69">
        <v>80.349999999999994</v>
      </c>
      <c r="M1524" s="27">
        <v>598202</v>
      </c>
      <c r="N1524" s="69">
        <v>-0.51</v>
      </c>
      <c r="O1524" s="69">
        <v>-2.73</v>
      </c>
      <c r="P1524" s="69">
        <v>10.25</v>
      </c>
      <c r="Q1524" s="27">
        <v>46</v>
      </c>
      <c r="R1524" s="69">
        <v>3.97</v>
      </c>
      <c r="S1524" s="69">
        <v>309.77999999999997</v>
      </c>
      <c r="X1524" s="2">
        <f t="shared" si="69"/>
        <v>0.54</v>
      </c>
      <c r="Y1524" s="2">
        <f>SUMIF(收盤價!A:A,A1524,收盤價!C:C)</f>
        <v>42.5</v>
      </c>
      <c r="Z1524" s="2">
        <f t="shared" si="70"/>
        <v>613157.05000000005</v>
      </c>
      <c r="AA1524" s="2">
        <f t="shared" si="71"/>
        <v>2542358.5</v>
      </c>
    </row>
    <row r="1525" spans="1:27" ht="14.5" customHeight="1">
      <c r="A1525" s="7" t="s">
        <v>6892</v>
      </c>
      <c r="B1525" s="8" t="s">
        <v>3259</v>
      </c>
      <c r="C1525" s="27">
        <v>3727911</v>
      </c>
      <c r="D1525" s="27">
        <v>3750112</v>
      </c>
      <c r="E1525" s="69">
        <v>-0.59</v>
      </c>
      <c r="F1525" s="27">
        <v>62816</v>
      </c>
      <c r="G1525" s="27">
        <v>233512</v>
      </c>
      <c r="H1525" s="27">
        <v>-13639</v>
      </c>
      <c r="I1525" s="27">
        <v>-85176</v>
      </c>
      <c r="J1525" s="27">
        <v>3632</v>
      </c>
      <c r="K1525" s="27">
        <v>119849</v>
      </c>
      <c r="L1525" s="69">
        <v>-96.97</v>
      </c>
      <c r="M1525" s="27">
        <v>1220309</v>
      </c>
      <c r="N1525" s="69">
        <v>0.03</v>
      </c>
      <c r="O1525" s="69">
        <v>1.02</v>
      </c>
      <c r="P1525" s="69">
        <v>31.93</v>
      </c>
      <c r="Q1525" s="27">
        <v>51</v>
      </c>
      <c r="R1525" s="69">
        <v>1.79</v>
      </c>
      <c r="S1525" s="69">
        <v>124.21</v>
      </c>
      <c r="X1525" s="2">
        <f t="shared" si="69"/>
        <v>0.49</v>
      </c>
      <c r="Y1525" s="2">
        <f>SUMIF(收盤價!A:A,A1525,收盤價!C:C)</f>
        <v>35.75</v>
      </c>
      <c r="Z1525" s="2">
        <f t="shared" si="70"/>
        <v>3896446.6369999996</v>
      </c>
      <c r="AA1525" s="2">
        <f t="shared" si="71"/>
        <v>4362604.6749999998</v>
      </c>
    </row>
    <row r="1526" spans="1:27" ht="14.5" customHeight="1">
      <c r="A1526" s="7" t="s">
        <v>6893</v>
      </c>
      <c r="B1526" s="8" t="s">
        <v>3261</v>
      </c>
      <c r="C1526" s="27">
        <v>5368489</v>
      </c>
      <c r="D1526" s="27">
        <v>5738274</v>
      </c>
      <c r="E1526" s="69">
        <v>-6.44</v>
      </c>
      <c r="F1526" s="27">
        <v>87995</v>
      </c>
      <c r="G1526" s="27">
        <v>467402</v>
      </c>
      <c r="H1526" s="27">
        <v>20023</v>
      </c>
      <c r="I1526" s="27">
        <v>116583</v>
      </c>
      <c r="J1526" s="27">
        <v>77761</v>
      </c>
      <c r="K1526" s="27">
        <v>403366</v>
      </c>
      <c r="L1526" s="69">
        <v>-80.72</v>
      </c>
      <c r="M1526" s="27">
        <v>799072</v>
      </c>
      <c r="N1526" s="69">
        <v>0.97</v>
      </c>
      <c r="O1526" s="69">
        <v>5.05</v>
      </c>
      <c r="P1526" s="69">
        <v>30.7</v>
      </c>
      <c r="Q1526" s="27">
        <v>61</v>
      </c>
      <c r="R1526" s="69">
        <v>2.71</v>
      </c>
      <c r="S1526" s="69">
        <v>239.08</v>
      </c>
      <c r="X1526" s="2">
        <f t="shared" si="69"/>
        <v>0.39</v>
      </c>
      <c r="Y1526" s="2">
        <f>SUMIF(收盤價!A:A,A1526,收盤價!C:C)</f>
        <v>34.700000000000003</v>
      </c>
      <c r="Z1526" s="2">
        <f t="shared" si="70"/>
        <v>2453151.04</v>
      </c>
      <c r="AA1526" s="2">
        <f t="shared" si="71"/>
        <v>2772779.8400000003</v>
      </c>
    </row>
    <row r="1527" spans="1:27" ht="14.5" customHeight="1">
      <c r="A1527" s="7" t="s">
        <v>6894</v>
      </c>
      <c r="B1527" s="8" t="s">
        <v>3287</v>
      </c>
      <c r="C1527" s="27">
        <v>4854001</v>
      </c>
      <c r="D1527" s="27">
        <v>5483875</v>
      </c>
      <c r="E1527" s="69">
        <v>-11.49</v>
      </c>
      <c r="F1527" s="27">
        <v>224184</v>
      </c>
      <c r="G1527" s="27">
        <v>193014</v>
      </c>
      <c r="H1527" s="27">
        <v>-11295</v>
      </c>
      <c r="I1527" s="27">
        <v>47431</v>
      </c>
      <c r="J1527" s="27">
        <v>70090</v>
      </c>
      <c r="K1527" s="27">
        <v>57175</v>
      </c>
      <c r="L1527" s="69">
        <v>22.59</v>
      </c>
      <c r="M1527" s="27">
        <v>518543</v>
      </c>
      <c r="N1527" s="69">
        <v>1.35</v>
      </c>
      <c r="O1527" s="69">
        <v>1.1000000000000001</v>
      </c>
      <c r="P1527" s="69">
        <v>14.88</v>
      </c>
      <c r="Q1527" s="27">
        <v>20</v>
      </c>
      <c r="R1527" s="69">
        <v>1.1399999999999999</v>
      </c>
      <c r="S1527" s="69">
        <v>93.37</v>
      </c>
      <c r="X1527" s="2">
        <f t="shared" si="69"/>
        <v>0.8</v>
      </c>
      <c r="Y1527" s="2">
        <f>SUMIF(收盤價!A:A,A1527,收盤價!C:C)</f>
        <v>14.15</v>
      </c>
      <c r="Z1527" s="2">
        <f t="shared" si="70"/>
        <v>771591.98400000005</v>
      </c>
      <c r="AA1527" s="2">
        <f t="shared" si="71"/>
        <v>733738.34499999997</v>
      </c>
    </row>
    <row r="1528" spans="1:27" ht="14.5" customHeight="1">
      <c r="A1528" s="7" t="s">
        <v>6895</v>
      </c>
      <c r="B1528" s="8" t="s">
        <v>3289</v>
      </c>
      <c r="C1528" s="27">
        <v>1232076</v>
      </c>
      <c r="D1528" s="27">
        <v>1406862</v>
      </c>
      <c r="E1528" s="69">
        <v>-12.42</v>
      </c>
      <c r="F1528" s="27">
        <v>50879</v>
      </c>
      <c r="G1528" s="27">
        <v>99950</v>
      </c>
      <c r="H1528" s="27">
        <v>5952</v>
      </c>
      <c r="I1528" s="27">
        <v>47728</v>
      </c>
      <c r="J1528" s="27">
        <v>49619</v>
      </c>
      <c r="K1528" s="27">
        <v>105750</v>
      </c>
      <c r="L1528" s="69">
        <v>-53.08</v>
      </c>
      <c r="M1528" s="27">
        <v>864832</v>
      </c>
      <c r="N1528" s="69">
        <v>0.62</v>
      </c>
      <c r="O1528" s="69">
        <v>1.3</v>
      </c>
      <c r="P1528" s="69">
        <v>16.829999999999998</v>
      </c>
      <c r="Q1528" s="27">
        <v>53</v>
      </c>
      <c r="R1528" s="69">
        <v>1.23</v>
      </c>
      <c r="S1528" s="69">
        <v>81.150000000000006</v>
      </c>
      <c r="X1528" s="2">
        <f t="shared" si="69"/>
        <v>0.47</v>
      </c>
      <c r="Y1528" s="2">
        <f>SUMIF(收盤價!A:A,A1528,收盤價!C:C)</f>
        <v>18.45</v>
      </c>
      <c r="Z1528" s="2">
        <f t="shared" si="70"/>
        <v>1455512.2559999998</v>
      </c>
      <c r="AA1528" s="2">
        <f t="shared" si="71"/>
        <v>1595615.0399999998</v>
      </c>
    </row>
    <row r="1529" spans="1:27" ht="14.5" customHeight="1">
      <c r="A1529" s="7" t="s">
        <v>6896</v>
      </c>
      <c r="B1529" s="8" t="s">
        <v>3295</v>
      </c>
      <c r="C1529" s="27">
        <v>15766</v>
      </c>
      <c r="D1529" s="27">
        <v>39879</v>
      </c>
      <c r="E1529" s="69">
        <v>-60.47</v>
      </c>
      <c r="F1529" s="27">
        <v>-39109</v>
      </c>
      <c r="G1529" s="27">
        <v>-369032</v>
      </c>
      <c r="H1529" s="27">
        <v>11301</v>
      </c>
      <c r="I1529" s="27">
        <v>-31364</v>
      </c>
      <c r="J1529" s="27">
        <v>-27385</v>
      </c>
      <c r="K1529" s="27">
        <v>-398984</v>
      </c>
      <c r="L1529" s="69">
        <v>93.14</v>
      </c>
      <c r="M1529" s="27">
        <v>882916</v>
      </c>
      <c r="N1529" s="69">
        <v>-0.42</v>
      </c>
      <c r="O1529" s="69">
        <v>-6.23</v>
      </c>
      <c r="P1529" s="69">
        <v>0.44</v>
      </c>
      <c r="Q1529" s="27">
        <v>8</v>
      </c>
      <c r="R1529" s="69">
        <v>0.59</v>
      </c>
      <c r="S1529" s="69">
        <v>49.05</v>
      </c>
      <c r="X1529" s="2">
        <f t="shared" si="69"/>
        <v>0.92</v>
      </c>
      <c r="Y1529" s="2">
        <f>SUMIF(收盤價!A:A,A1529,收盤價!C:C)</f>
        <v>0</v>
      </c>
      <c r="Z1529" s="2">
        <f t="shared" si="70"/>
        <v>38848.303999999996</v>
      </c>
      <c r="AA1529" s="2">
        <f t="shared" si="71"/>
        <v>0</v>
      </c>
    </row>
    <row r="1530" spans="1:27" ht="14.5" customHeight="1">
      <c r="A1530" s="7" t="s">
        <v>6897</v>
      </c>
      <c r="B1530" s="8" t="s">
        <v>3309</v>
      </c>
      <c r="C1530" s="27">
        <v>1201880</v>
      </c>
      <c r="D1530" s="27">
        <v>1572772</v>
      </c>
      <c r="E1530" s="69">
        <v>-23.58</v>
      </c>
      <c r="F1530" s="27">
        <v>188551</v>
      </c>
      <c r="G1530" s="27">
        <v>364608</v>
      </c>
      <c r="H1530" s="27">
        <v>477</v>
      </c>
      <c r="I1530" s="27">
        <v>-5273</v>
      </c>
      <c r="J1530" s="27">
        <v>146514</v>
      </c>
      <c r="K1530" s="27">
        <v>284010</v>
      </c>
      <c r="L1530" s="69">
        <v>-48.41</v>
      </c>
      <c r="M1530" s="27">
        <v>446629</v>
      </c>
      <c r="N1530" s="69">
        <v>3.3</v>
      </c>
      <c r="O1530" s="69">
        <v>6.56</v>
      </c>
      <c r="P1530" s="69">
        <v>52.92</v>
      </c>
      <c r="Q1530" s="27">
        <v>86</v>
      </c>
      <c r="R1530" s="69">
        <v>6.15</v>
      </c>
      <c r="S1530" s="69">
        <v>471.73</v>
      </c>
      <c r="X1530" s="2">
        <f t="shared" si="69"/>
        <v>0.14000000000000001</v>
      </c>
      <c r="Y1530" s="2">
        <f>SUMIF(收盤價!A:A,A1530,收盤價!C:C)</f>
        <v>65.5</v>
      </c>
      <c r="Z1530" s="2">
        <f t="shared" si="70"/>
        <v>2363560.6680000001</v>
      </c>
      <c r="AA1530" s="2">
        <f t="shared" si="71"/>
        <v>2925419.95</v>
      </c>
    </row>
    <row r="1531" spans="1:27" ht="14.5" customHeight="1">
      <c r="A1531" s="7" t="s">
        <v>6898</v>
      </c>
      <c r="B1531" s="8" t="s">
        <v>3313</v>
      </c>
      <c r="C1531" s="27">
        <v>418717</v>
      </c>
      <c r="D1531" s="27">
        <v>503317</v>
      </c>
      <c r="E1531" s="69">
        <v>-16.809999999999999</v>
      </c>
      <c r="F1531" s="27">
        <v>-85464</v>
      </c>
      <c r="G1531" s="27">
        <v>-31911</v>
      </c>
      <c r="H1531" s="27">
        <v>-5104</v>
      </c>
      <c r="I1531" s="27">
        <v>13313</v>
      </c>
      <c r="J1531" s="27">
        <v>-87193</v>
      </c>
      <c r="K1531" s="27">
        <v>-9461</v>
      </c>
      <c r="L1531" s="69">
        <v>-821.6</v>
      </c>
      <c r="M1531" s="27">
        <v>642085</v>
      </c>
      <c r="N1531" s="69">
        <v>-1.36</v>
      </c>
      <c r="O1531" s="69">
        <v>-0.15</v>
      </c>
      <c r="P1531" s="69">
        <v>6.02</v>
      </c>
      <c r="Q1531" s="27">
        <v>64</v>
      </c>
      <c r="R1531" s="69">
        <v>1.1200000000000001</v>
      </c>
      <c r="S1531" s="69">
        <v>54.53</v>
      </c>
      <c r="X1531" s="2">
        <f t="shared" si="69"/>
        <v>0.36</v>
      </c>
      <c r="Y1531" s="2">
        <f>SUMIF(收盤價!A:A,A1531,收盤價!C:C)</f>
        <v>5.64</v>
      </c>
      <c r="Z1531" s="2">
        <f t="shared" si="70"/>
        <v>386535.17</v>
      </c>
      <c r="AA1531" s="2">
        <f t="shared" si="71"/>
        <v>362135.94</v>
      </c>
    </row>
    <row r="1532" spans="1:27" ht="14.5" customHeight="1">
      <c r="A1532" s="7" t="s">
        <v>6899</v>
      </c>
      <c r="B1532" s="8" t="s">
        <v>3323</v>
      </c>
      <c r="C1532" s="27">
        <v>1269764</v>
      </c>
      <c r="D1532" s="27">
        <v>1323339</v>
      </c>
      <c r="E1532" s="69">
        <v>-4.05</v>
      </c>
      <c r="F1532" s="27">
        <v>456467</v>
      </c>
      <c r="G1532" s="27">
        <v>489262</v>
      </c>
      <c r="H1532" s="27">
        <v>-1864</v>
      </c>
      <c r="I1532" s="27">
        <v>91147</v>
      </c>
      <c r="J1532" s="27">
        <v>363579</v>
      </c>
      <c r="K1532" s="27">
        <v>461275</v>
      </c>
      <c r="L1532" s="69">
        <v>-21.18</v>
      </c>
      <c r="M1532" s="27">
        <v>726094</v>
      </c>
      <c r="N1532" s="69">
        <v>5.01</v>
      </c>
      <c r="O1532" s="69">
        <v>6.37</v>
      </c>
      <c r="P1532" s="69">
        <v>22.1</v>
      </c>
      <c r="Q1532" s="27">
        <v>48</v>
      </c>
      <c r="R1532" s="69">
        <v>1.78</v>
      </c>
      <c r="S1532" s="69">
        <v>158.32</v>
      </c>
      <c r="X1532" s="2">
        <f t="shared" si="69"/>
        <v>0.52</v>
      </c>
      <c r="Y1532" s="2">
        <f>SUMIF(收盤價!A:A,A1532,收盤價!C:C)</f>
        <v>77.8</v>
      </c>
      <c r="Z1532" s="2">
        <f t="shared" si="70"/>
        <v>1604667.74</v>
      </c>
      <c r="AA1532" s="2">
        <f t="shared" si="71"/>
        <v>5649011.3199999994</v>
      </c>
    </row>
    <row r="1533" spans="1:27" ht="14.5" customHeight="1">
      <c r="A1533" s="7" t="s">
        <v>6900</v>
      </c>
      <c r="B1533" s="8" t="s">
        <v>3327</v>
      </c>
      <c r="C1533" s="27">
        <v>2132889</v>
      </c>
      <c r="D1533" s="27">
        <v>2382293</v>
      </c>
      <c r="E1533" s="69">
        <v>-10.47</v>
      </c>
      <c r="F1533" s="27">
        <v>-96567</v>
      </c>
      <c r="G1533" s="27">
        <v>-91539</v>
      </c>
      <c r="H1533" s="27">
        <v>-14257</v>
      </c>
      <c r="I1533" s="27">
        <v>242242</v>
      </c>
      <c r="J1533" s="27">
        <v>-103610</v>
      </c>
      <c r="K1533" s="27">
        <v>56187</v>
      </c>
      <c r="L1533" s="69">
        <v>-284.39999999999998</v>
      </c>
      <c r="M1533" s="27">
        <v>1829937</v>
      </c>
      <c r="N1533" s="69">
        <v>-0.56999999999999995</v>
      </c>
      <c r="O1533" s="69">
        <v>0.31</v>
      </c>
      <c r="P1533" s="69">
        <v>6.84</v>
      </c>
      <c r="Q1533" s="27">
        <v>34</v>
      </c>
      <c r="R1533" s="69">
        <v>1.64</v>
      </c>
      <c r="S1533" s="69">
        <v>112.97</v>
      </c>
      <c r="X1533" s="2">
        <f t="shared" si="69"/>
        <v>0.66</v>
      </c>
      <c r="Y1533" s="2">
        <f>SUMIF(收盤價!A:A,A1533,收盤價!C:C)</f>
        <v>12.25</v>
      </c>
      <c r="Z1533" s="2">
        <f t="shared" si="70"/>
        <v>1251676.9080000001</v>
      </c>
      <c r="AA1533" s="2">
        <f t="shared" si="71"/>
        <v>2241672.8250000002</v>
      </c>
    </row>
    <row r="1534" spans="1:27" ht="14.5" customHeight="1">
      <c r="A1534" s="7" t="s">
        <v>6901</v>
      </c>
      <c r="B1534" s="8" t="s">
        <v>3329</v>
      </c>
      <c r="C1534" s="27">
        <v>689015</v>
      </c>
      <c r="D1534" s="27">
        <v>738534</v>
      </c>
      <c r="E1534" s="69">
        <v>-6.71</v>
      </c>
      <c r="F1534" s="27">
        <v>-15612</v>
      </c>
      <c r="G1534" s="27">
        <v>14362</v>
      </c>
      <c r="H1534" s="27">
        <v>5765</v>
      </c>
      <c r="I1534" s="27">
        <v>18773</v>
      </c>
      <c r="J1534" s="27">
        <v>-8642</v>
      </c>
      <c r="K1534" s="27">
        <v>22459</v>
      </c>
      <c r="L1534" s="69">
        <v>-138.47999999999999</v>
      </c>
      <c r="M1534" s="27">
        <v>305277</v>
      </c>
      <c r="N1534" s="69">
        <v>-0.28000000000000003</v>
      </c>
      <c r="O1534" s="69">
        <v>0.82</v>
      </c>
      <c r="P1534" s="69">
        <v>20.11</v>
      </c>
      <c r="Q1534" s="27">
        <v>71</v>
      </c>
      <c r="R1534" s="69">
        <v>2.1800000000000002</v>
      </c>
      <c r="S1534" s="69">
        <v>180.4</v>
      </c>
      <c r="X1534" s="2">
        <f t="shared" si="69"/>
        <v>0.28999999999999998</v>
      </c>
      <c r="Y1534" s="2">
        <f>SUMIF(收盤價!A:A,A1534,收盤價!C:C)</f>
        <v>32.35</v>
      </c>
      <c r="Z1534" s="2">
        <f t="shared" si="70"/>
        <v>613912.04700000002</v>
      </c>
      <c r="AA1534" s="2">
        <f t="shared" si="71"/>
        <v>987571.09500000009</v>
      </c>
    </row>
    <row r="1535" spans="1:27" ht="14.5" customHeight="1">
      <c r="A1535" s="7" t="s">
        <v>6902</v>
      </c>
      <c r="B1535" s="8" t="s">
        <v>3331</v>
      </c>
      <c r="C1535" s="27">
        <v>2015627</v>
      </c>
      <c r="D1535" s="27">
        <v>2592232</v>
      </c>
      <c r="E1535" s="69">
        <v>-22.24</v>
      </c>
      <c r="F1535" s="27">
        <v>267349</v>
      </c>
      <c r="G1535" s="27">
        <v>448821</v>
      </c>
      <c r="H1535" s="27">
        <v>7038</v>
      </c>
      <c r="I1535" s="27">
        <v>5801</v>
      </c>
      <c r="J1535" s="27">
        <v>222022</v>
      </c>
      <c r="K1535" s="27">
        <v>366180</v>
      </c>
      <c r="L1535" s="69">
        <v>-39.369999999999997</v>
      </c>
      <c r="M1535" s="27">
        <v>497560</v>
      </c>
      <c r="N1535" s="69">
        <v>4.46</v>
      </c>
      <c r="O1535" s="69">
        <v>7.36</v>
      </c>
      <c r="P1535" s="69">
        <v>31.4</v>
      </c>
      <c r="Q1535" s="27">
        <v>63</v>
      </c>
      <c r="R1535" s="69">
        <v>1.78</v>
      </c>
      <c r="S1535" s="69">
        <v>147.02000000000001</v>
      </c>
      <c r="X1535" s="2">
        <f t="shared" si="69"/>
        <v>0.37</v>
      </c>
      <c r="Y1535" s="2">
        <f>SUMIF(收盤價!A:A,A1535,收盤價!C:C)</f>
        <v>106</v>
      </c>
      <c r="Z1535" s="2">
        <f t="shared" si="70"/>
        <v>1562338.4</v>
      </c>
      <c r="AA1535" s="2">
        <f t="shared" si="71"/>
        <v>5274136</v>
      </c>
    </row>
    <row r="1536" spans="1:27" ht="14.5" customHeight="1">
      <c r="A1536" s="7" t="s">
        <v>6903</v>
      </c>
      <c r="B1536" s="8" t="s">
        <v>3337</v>
      </c>
      <c r="C1536" s="27">
        <v>2629379</v>
      </c>
      <c r="D1536" s="27">
        <v>2757912</v>
      </c>
      <c r="E1536" s="69">
        <v>-4.66</v>
      </c>
      <c r="F1536" s="27">
        <v>172446</v>
      </c>
      <c r="G1536" s="27">
        <v>224045</v>
      </c>
      <c r="H1536" s="27">
        <v>18184</v>
      </c>
      <c r="I1536" s="27">
        <v>9837</v>
      </c>
      <c r="J1536" s="27">
        <v>139194</v>
      </c>
      <c r="K1536" s="27">
        <v>159982</v>
      </c>
      <c r="L1536" s="69">
        <v>-12.99</v>
      </c>
      <c r="M1536" s="27">
        <v>1070412</v>
      </c>
      <c r="N1536" s="69">
        <v>1.3</v>
      </c>
      <c r="O1536" s="69">
        <v>1.49</v>
      </c>
      <c r="P1536" s="69">
        <v>27.43</v>
      </c>
      <c r="Q1536" s="27">
        <v>66</v>
      </c>
      <c r="R1536" s="69">
        <v>2.57</v>
      </c>
      <c r="S1536" s="69">
        <v>205.44</v>
      </c>
      <c r="X1536" s="2">
        <f t="shared" si="69"/>
        <v>0.34</v>
      </c>
      <c r="Y1536" s="2">
        <f>SUMIF(收盤價!A:A,A1536,收盤價!C:C)</f>
        <v>29.95</v>
      </c>
      <c r="Z1536" s="2">
        <f t="shared" si="70"/>
        <v>2936140.1159999999</v>
      </c>
      <c r="AA1536" s="2">
        <f t="shared" si="71"/>
        <v>3205883.94</v>
      </c>
    </row>
    <row r="1537" spans="1:27" ht="14.5" customHeight="1">
      <c r="A1537" s="7" t="s">
        <v>6904</v>
      </c>
      <c r="B1537" s="8" t="s">
        <v>3351</v>
      </c>
      <c r="C1537" s="27">
        <v>1641032</v>
      </c>
      <c r="D1537" s="27">
        <v>1942828</v>
      </c>
      <c r="E1537" s="69">
        <v>-15.53</v>
      </c>
      <c r="F1537" s="27">
        <v>-2085685</v>
      </c>
      <c r="G1537" s="27">
        <v>290989</v>
      </c>
      <c r="H1537" s="27">
        <v>41978</v>
      </c>
      <c r="I1537" s="27">
        <v>28867</v>
      </c>
      <c r="J1537" s="27">
        <v>-2128656</v>
      </c>
      <c r="K1537" s="27">
        <v>157889</v>
      </c>
      <c r="L1537" s="28" t="s">
        <v>6413</v>
      </c>
      <c r="M1537" s="27">
        <v>1456213</v>
      </c>
      <c r="N1537" s="69">
        <v>-14.62</v>
      </c>
      <c r="O1537" s="69">
        <v>1.08</v>
      </c>
      <c r="P1537" s="69">
        <v>-12.38</v>
      </c>
      <c r="Q1537" s="27">
        <v>-162</v>
      </c>
      <c r="R1537" s="69">
        <v>0.35</v>
      </c>
      <c r="S1537" s="69">
        <v>27.62</v>
      </c>
      <c r="X1537" s="2">
        <f t="shared" si="69"/>
        <v>2.62</v>
      </c>
      <c r="Y1537" s="2">
        <f>SUMIF(收盤價!A:A,A1537,收盤價!C:C)</f>
        <v>4.1100000000000003</v>
      </c>
      <c r="Z1537" s="2">
        <f t="shared" si="70"/>
        <v>-1802791.6940000001</v>
      </c>
      <c r="AA1537" s="2">
        <f t="shared" si="71"/>
        <v>598503.54300000006</v>
      </c>
    </row>
    <row r="1538" spans="1:27" ht="14.5" customHeight="1">
      <c r="A1538" s="7" t="s">
        <v>6905</v>
      </c>
      <c r="B1538" s="8" t="s">
        <v>3353</v>
      </c>
      <c r="C1538" s="27">
        <v>1532516</v>
      </c>
      <c r="D1538" s="27">
        <v>1523733</v>
      </c>
      <c r="E1538" s="69">
        <v>0.57999999999999996</v>
      </c>
      <c r="F1538" s="27">
        <v>-28348</v>
      </c>
      <c r="G1538" s="27">
        <v>-44386</v>
      </c>
      <c r="H1538" s="27">
        <v>15091</v>
      </c>
      <c r="I1538" s="27">
        <v>193969</v>
      </c>
      <c r="J1538" s="27">
        <v>-20507</v>
      </c>
      <c r="K1538" s="27">
        <v>120180</v>
      </c>
      <c r="L1538" s="69">
        <v>-117.06</v>
      </c>
      <c r="M1538" s="27">
        <v>683338</v>
      </c>
      <c r="N1538" s="69">
        <v>-0.28000000000000003</v>
      </c>
      <c r="O1538" s="69">
        <v>1.6</v>
      </c>
      <c r="P1538" s="69">
        <v>18.71</v>
      </c>
      <c r="Q1538" s="27">
        <v>65</v>
      </c>
      <c r="R1538" s="69">
        <v>2.52</v>
      </c>
      <c r="S1538" s="69">
        <v>179.2</v>
      </c>
      <c r="X1538" s="2">
        <f t="shared" si="69"/>
        <v>0.35</v>
      </c>
      <c r="Y1538" s="2">
        <f>SUMIF(收盤價!A:A,A1538,收盤價!C:C)</f>
        <v>14.4</v>
      </c>
      <c r="Z1538" s="2">
        <f t="shared" si="70"/>
        <v>1278525.398</v>
      </c>
      <c r="AA1538" s="2">
        <f t="shared" si="71"/>
        <v>984006.72000000009</v>
      </c>
    </row>
    <row r="1539" spans="1:27" ht="14.5" customHeight="1">
      <c r="A1539" s="7" t="s">
        <v>6906</v>
      </c>
      <c r="B1539" s="8" t="s">
        <v>3355</v>
      </c>
      <c r="C1539" s="27">
        <v>398343</v>
      </c>
      <c r="D1539" s="27">
        <v>560086</v>
      </c>
      <c r="E1539" s="69">
        <v>-28.88</v>
      </c>
      <c r="F1539" s="27">
        <v>-54895</v>
      </c>
      <c r="G1539" s="27">
        <v>-62600</v>
      </c>
      <c r="H1539" s="27">
        <v>-21616</v>
      </c>
      <c r="I1539" s="27">
        <v>-1445</v>
      </c>
      <c r="J1539" s="27">
        <v>-76511</v>
      </c>
      <c r="K1539" s="27">
        <v>-64045</v>
      </c>
      <c r="L1539" s="69">
        <v>-19.46</v>
      </c>
      <c r="M1539" s="27">
        <v>760240</v>
      </c>
      <c r="N1539" s="69">
        <v>-1.01</v>
      </c>
      <c r="O1539" s="69">
        <v>-0.84</v>
      </c>
      <c r="P1539" s="69">
        <v>2.59</v>
      </c>
      <c r="Q1539" s="27">
        <v>35</v>
      </c>
      <c r="R1539" s="69">
        <v>1.07</v>
      </c>
      <c r="S1539" s="69">
        <v>75.92</v>
      </c>
      <c r="X1539" s="2">
        <f t="shared" si="69"/>
        <v>0.65</v>
      </c>
      <c r="Y1539" s="2">
        <f>SUMIF(收盤價!A:A,A1539,收盤價!C:C)</f>
        <v>0</v>
      </c>
      <c r="Z1539" s="2">
        <f t="shared" si="70"/>
        <v>196902.15999999997</v>
      </c>
      <c r="AA1539" s="2">
        <f t="shared" si="71"/>
        <v>0</v>
      </c>
    </row>
    <row r="1540" spans="1:27" ht="14.5" customHeight="1">
      <c r="A1540" s="7" t="s">
        <v>6907</v>
      </c>
      <c r="B1540" s="8" t="s">
        <v>3365</v>
      </c>
      <c r="C1540" s="27">
        <v>5220914</v>
      </c>
      <c r="D1540" s="27">
        <v>6240052</v>
      </c>
      <c r="E1540" s="69">
        <v>-16.329999999999998</v>
      </c>
      <c r="F1540" s="27">
        <v>584923</v>
      </c>
      <c r="G1540" s="27">
        <v>973602</v>
      </c>
      <c r="H1540" s="27">
        <v>-58686</v>
      </c>
      <c r="I1540" s="27">
        <v>-25991</v>
      </c>
      <c r="J1540" s="27">
        <v>396701</v>
      </c>
      <c r="K1540" s="27">
        <v>741129</v>
      </c>
      <c r="L1540" s="69">
        <v>-46.47</v>
      </c>
      <c r="M1540" s="27">
        <v>2525880</v>
      </c>
      <c r="N1540" s="69">
        <v>1.57</v>
      </c>
      <c r="O1540" s="69">
        <v>2.93</v>
      </c>
      <c r="P1540" s="69">
        <v>20.29</v>
      </c>
      <c r="Q1540" s="27">
        <v>75</v>
      </c>
      <c r="R1540" s="69">
        <v>3.41</v>
      </c>
      <c r="S1540" s="69">
        <v>310.70999999999998</v>
      </c>
      <c r="X1540" s="2">
        <f t="shared" si="69"/>
        <v>0.25</v>
      </c>
      <c r="Y1540" s="2">
        <f>SUMIF(收盤價!A:A,A1540,收盤價!C:C)</f>
        <v>42.55</v>
      </c>
      <c r="Z1540" s="2">
        <f t="shared" si="70"/>
        <v>5125010.5199999996</v>
      </c>
      <c r="AA1540" s="2">
        <f t="shared" si="71"/>
        <v>10747619.4</v>
      </c>
    </row>
    <row r="1541" spans="1:27" ht="14.5" customHeight="1">
      <c r="A1541" s="7" t="s">
        <v>6908</v>
      </c>
      <c r="B1541" s="8" t="s">
        <v>2137</v>
      </c>
      <c r="C1541" s="27">
        <v>1412575</v>
      </c>
      <c r="D1541" s="27">
        <v>1460290</v>
      </c>
      <c r="E1541" s="69">
        <v>-3.27</v>
      </c>
      <c r="F1541" s="27">
        <v>-115686</v>
      </c>
      <c r="G1541" s="27">
        <v>-81657</v>
      </c>
      <c r="H1541" s="27">
        <v>-3087</v>
      </c>
      <c r="I1541" s="27">
        <v>16145</v>
      </c>
      <c r="J1541" s="27">
        <v>-92695</v>
      </c>
      <c r="K1541" s="27">
        <v>-57744</v>
      </c>
      <c r="L1541" s="69">
        <v>-60.53</v>
      </c>
      <c r="M1541" s="27">
        <v>580160</v>
      </c>
      <c r="N1541" s="69">
        <v>-1.6</v>
      </c>
      <c r="O1541" s="69">
        <v>-1.01</v>
      </c>
      <c r="P1541" s="69">
        <v>17.309999999999999</v>
      </c>
      <c r="Q1541" s="27">
        <v>67</v>
      </c>
      <c r="R1541" s="69">
        <v>3.4</v>
      </c>
      <c r="S1541" s="69">
        <v>298.62</v>
      </c>
      <c r="X1541" s="2">
        <f t="shared" ref="X1541:X1604" si="72">IF(W1541&lt;&gt;"",ROUND(W1541/U1541,2),(100-Q1541)/100)</f>
        <v>0.33</v>
      </c>
      <c r="Y1541" s="2">
        <f>SUMIF(收盤價!A:A,A1541,收盤價!C:C)</f>
        <v>55.5</v>
      </c>
      <c r="Z1541" s="2">
        <f t="shared" ref="Z1541:Z1604" si="73">IF(W1541&lt;&gt;"",U1541-W1541,M1541*P1541/10)</f>
        <v>1004256.96</v>
      </c>
      <c r="AA1541" s="2">
        <f t="shared" ref="AA1541:AA1604" si="74">Y1541*M1541/10</f>
        <v>3219888</v>
      </c>
    </row>
    <row r="1542" spans="1:27" ht="14.5" customHeight="1">
      <c r="A1542" s="7" t="s">
        <v>6909</v>
      </c>
      <c r="B1542" s="8" t="s">
        <v>2147</v>
      </c>
      <c r="C1542" s="27">
        <v>1046501</v>
      </c>
      <c r="D1542" s="27">
        <v>1623992</v>
      </c>
      <c r="E1542" s="69">
        <v>-35.56</v>
      </c>
      <c r="F1542" s="27">
        <v>18490</v>
      </c>
      <c r="G1542" s="27">
        <v>27847</v>
      </c>
      <c r="H1542" s="27">
        <v>1756</v>
      </c>
      <c r="I1542" s="27">
        <v>4874</v>
      </c>
      <c r="J1542" s="27">
        <v>11058</v>
      </c>
      <c r="K1542" s="27">
        <v>18790</v>
      </c>
      <c r="L1542" s="69">
        <v>-41.15</v>
      </c>
      <c r="M1542" s="27">
        <v>365679</v>
      </c>
      <c r="N1542" s="69">
        <v>0.3</v>
      </c>
      <c r="O1542" s="69">
        <v>0.55000000000000004</v>
      </c>
      <c r="P1542" s="69">
        <v>12.62</v>
      </c>
      <c r="Q1542" s="27">
        <v>55</v>
      </c>
      <c r="R1542" s="69">
        <v>2.79</v>
      </c>
      <c r="S1542" s="69">
        <v>199.4</v>
      </c>
      <c r="X1542" s="2">
        <f t="shared" si="72"/>
        <v>0.45</v>
      </c>
      <c r="Y1542" s="2">
        <f>SUMIF(收盤價!A:A,A1542,收盤價!C:C)</f>
        <v>15.65</v>
      </c>
      <c r="Z1542" s="2">
        <f t="shared" si="73"/>
        <v>461486.89799999993</v>
      </c>
      <c r="AA1542" s="2">
        <f t="shared" si="74"/>
        <v>572287.63500000001</v>
      </c>
    </row>
    <row r="1543" spans="1:27" ht="14.5" customHeight="1">
      <c r="A1543" s="7" t="s">
        <v>6910</v>
      </c>
      <c r="B1543" s="8" t="s">
        <v>2211</v>
      </c>
      <c r="C1543" s="27">
        <v>19240302</v>
      </c>
      <c r="D1543" s="27">
        <v>13604339</v>
      </c>
      <c r="E1543" s="69">
        <v>41.43</v>
      </c>
      <c r="F1543" s="27">
        <v>208401</v>
      </c>
      <c r="G1543" s="27">
        <v>144089</v>
      </c>
      <c r="H1543" s="27">
        <v>-160396</v>
      </c>
      <c r="I1543" s="27">
        <v>-89706</v>
      </c>
      <c r="J1543" s="27">
        <v>43875</v>
      </c>
      <c r="K1543" s="27">
        <v>39730</v>
      </c>
      <c r="L1543" s="69">
        <v>10.43</v>
      </c>
      <c r="M1543" s="27">
        <v>688310</v>
      </c>
      <c r="N1543" s="69">
        <v>0.64</v>
      </c>
      <c r="O1543" s="69">
        <v>0.57999999999999996</v>
      </c>
      <c r="P1543" s="69">
        <v>14.3</v>
      </c>
      <c r="Q1543" s="27">
        <v>19</v>
      </c>
      <c r="R1543" s="69">
        <v>1.2</v>
      </c>
      <c r="S1543" s="69">
        <v>107.26</v>
      </c>
      <c r="X1543" s="2">
        <f t="shared" si="72"/>
        <v>0.81</v>
      </c>
      <c r="Y1543" s="2">
        <f>SUMIF(收盤價!A:A,A1543,收盤價!C:C)</f>
        <v>18.850000000000001</v>
      </c>
      <c r="Z1543" s="2">
        <f t="shared" si="73"/>
        <v>984283.3</v>
      </c>
      <c r="AA1543" s="2">
        <f t="shared" si="74"/>
        <v>1297464.3500000001</v>
      </c>
    </row>
    <row r="1544" spans="1:27" ht="14.5" customHeight="1">
      <c r="A1544" s="7" t="s">
        <v>6911</v>
      </c>
      <c r="B1544" s="8" t="s">
        <v>2239</v>
      </c>
      <c r="C1544" s="27">
        <v>803840</v>
      </c>
      <c r="D1544" s="27">
        <v>834412</v>
      </c>
      <c r="E1544" s="69">
        <v>-3.66</v>
      </c>
      <c r="F1544" s="27">
        <v>90716</v>
      </c>
      <c r="G1544" s="27">
        <v>54804</v>
      </c>
      <c r="H1544" s="27">
        <v>36979</v>
      </c>
      <c r="I1544" s="27">
        <v>26278</v>
      </c>
      <c r="J1544" s="27">
        <v>104772</v>
      </c>
      <c r="K1544" s="27">
        <v>59507</v>
      </c>
      <c r="L1544" s="69">
        <v>76.069999999999993</v>
      </c>
      <c r="M1544" s="27">
        <v>391146</v>
      </c>
      <c r="N1544" s="69">
        <v>2.68</v>
      </c>
      <c r="O1544" s="69">
        <v>1.52</v>
      </c>
      <c r="P1544" s="69">
        <v>17.78</v>
      </c>
      <c r="Q1544" s="27">
        <v>60</v>
      </c>
      <c r="R1544" s="69">
        <v>1.72</v>
      </c>
      <c r="S1544" s="69">
        <v>119.08</v>
      </c>
      <c r="X1544" s="2">
        <f t="shared" si="72"/>
        <v>0.4</v>
      </c>
      <c r="Y1544" s="2">
        <f>SUMIF(收盤價!A:A,A1544,收盤價!C:C)</f>
        <v>30.95</v>
      </c>
      <c r="Z1544" s="2">
        <f t="shared" si="73"/>
        <v>695457.58800000011</v>
      </c>
      <c r="AA1544" s="2">
        <f t="shared" si="74"/>
        <v>1210596.8699999999</v>
      </c>
    </row>
    <row r="1545" spans="1:27" ht="14.5" customHeight="1">
      <c r="A1545" s="7" t="s">
        <v>6912</v>
      </c>
      <c r="B1545" s="8" t="s">
        <v>2893</v>
      </c>
      <c r="C1545" s="27">
        <v>1358285</v>
      </c>
      <c r="D1545" s="27">
        <v>1377485</v>
      </c>
      <c r="E1545" s="69">
        <v>-1.39</v>
      </c>
      <c r="F1545" s="27">
        <v>-53753</v>
      </c>
      <c r="G1545" s="27">
        <v>-37038</v>
      </c>
      <c r="H1545" s="27">
        <v>18991</v>
      </c>
      <c r="I1545" s="27">
        <v>2916</v>
      </c>
      <c r="J1545" s="27">
        <v>-34534</v>
      </c>
      <c r="K1545" s="27">
        <v>-34363</v>
      </c>
      <c r="L1545" s="69">
        <v>-0.5</v>
      </c>
      <c r="M1545" s="27">
        <v>500471</v>
      </c>
      <c r="N1545" s="69">
        <v>-0.69</v>
      </c>
      <c r="O1545" s="69">
        <v>-0.69</v>
      </c>
      <c r="P1545" s="69">
        <v>9.65</v>
      </c>
      <c r="Q1545" s="27">
        <v>56</v>
      </c>
      <c r="R1545" s="69">
        <v>2.72</v>
      </c>
      <c r="S1545" s="69">
        <v>224.67</v>
      </c>
      <c r="X1545" s="2">
        <f t="shared" si="72"/>
        <v>0.44</v>
      </c>
      <c r="Y1545" s="2">
        <f>SUMIF(收盤價!A:A,A1545,收盤價!C:C)</f>
        <v>6.9</v>
      </c>
      <c r="Z1545" s="2">
        <f t="shared" si="73"/>
        <v>482954.51500000001</v>
      </c>
      <c r="AA1545" s="2">
        <f t="shared" si="74"/>
        <v>345324.99000000005</v>
      </c>
    </row>
    <row r="1546" spans="1:27" ht="14.5" customHeight="1">
      <c r="A1546" s="7" t="s">
        <v>6913</v>
      </c>
      <c r="B1546" s="8" t="s">
        <v>2897</v>
      </c>
      <c r="C1546" s="27">
        <v>7290920</v>
      </c>
      <c r="D1546" s="27">
        <v>7458767</v>
      </c>
      <c r="E1546" s="69">
        <v>-2.25</v>
      </c>
      <c r="F1546" s="27">
        <v>-28208</v>
      </c>
      <c r="G1546" s="27">
        <v>-28949</v>
      </c>
      <c r="H1546" s="27">
        <v>-50</v>
      </c>
      <c r="I1546" s="27">
        <v>-5262</v>
      </c>
      <c r="J1546" s="27">
        <v>-25966</v>
      </c>
      <c r="K1546" s="27">
        <v>-29386</v>
      </c>
      <c r="L1546" s="69">
        <v>11.64</v>
      </c>
      <c r="M1546" s="27">
        <v>908896</v>
      </c>
      <c r="N1546" s="69">
        <v>-0.28999999999999998</v>
      </c>
      <c r="O1546" s="69">
        <v>-0.32</v>
      </c>
      <c r="P1546" s="69">
        <v>10.43</v>
      </c>
      <c r="Q1546" s="27">
        <v>39</v>
      </c>
      <c r="R1546" s="69">
        <v>1.53</v>
      </c>
      <c r="S1546" s="69">
        <v>96.23</v>
      </c>
      <c r="X1546" s="2">
        <f t="shared" si="72"/>
        <v>0.61</v>
      </c>
      <c r="Y1546" s="2">
        <f>SUMIF(收盤價!A:A,A1546,收盤價!C:C)</f>
        <v>10.15</v>
      </c>
      <c r="Z1546" s="2">
        <f t="shared" si="73"/>
        <v>947978.52799999993</v>
      </c>
      <c r="AA1546" s="2">
        <f t="shared" si="74"/>
        <v>922529.44000000006</v>
      </c>
    </row>
    <row r="1547" spans="1:27" ht="14.5" customHeight="1">
      <c r="A1547" s="7" t="s">
        <v>6914</v>
      </c>
      <c r="B1547" s="8" t="s">
        <v>2937</v>
      </c>
      <c r="C1547" s="27">
        <v>3855887</v>
      </c>
      <c r="D1547" s="27">
        <v>4092545</v>
      </c>
      <c r="E1547" s="69">
        <v>-5.78</v>
      </c>
      <c r="F1547" s="27">
        <v>42331</v>
      </c>
      <c r="G1547" s="27">
        <v>63189</v>
      </c>
      <c r="H1547" s="27">
        <v>-2660</v>
      </c>
      <c r="I1547" s="27">
        <v>6484</v>
      </c>
      <c r="J1547" s="27">
        <v>31667</v>
      </c>
      <c r="K1547" s="27">
        <v>58304</v>
      </c>
      <c r="L1547" s="69">
        <v>-45.69</v>
      </c>
      <c r="M1547" s="27">
        <v>800800</v>
      </c>
      <c r="N1547" s="69">
        <v>0.4</v>
      </c>
      <c r="O1547" s="69">
        <v>0.73</v>
      </c>
      <c r="P1547" s="69">
        <v>15.08</v>
      </c>
      <c r="Q1547" s="27">
        <v>61</v>
      </c>
      <c r="R1547" s="69">
        <v>2.57</v>
      </c>
      <c r="S1547" s="69">
        <v>113.3</v>
      </c>
      <c r="X1547" s="2">
        <f t="shared" si="72"/>
        <v>0.39</v>
      </c>
      <c r="Y1547" s="2">
        <f>SUMIF(收盤價!A:A,A1547,收盤價!C:C)</f>
        <v>13.85</v>
      </c>
      <c r="Z1547" s="2">
        <f t="shared" si="73"/>
        <v>1207606.3999999999</v>
      </c>
      <c r="AA1547" s="2">
        <f t="shared" si="74"/>
        <v>1109108</v>
      </c>
    </row>
    <row r="1548" spans="1:27" ht="14.5" customHeight="1">
      <c r="A1548" s="7" t="s">
        <v>6915</v>
      </c>
      <c r="B1548" s="8" t="s">
        <v>3013</v>
      </c>
      <c r="C1548" s="27">
        <v>8625083</v>
      </c>
      <c r="D1548" s="27">
        <v>8557980</v>
      </c>
      <c r="E1548" s="69">
        <v>0.78</v>
      </c>
      <c r="F1548" s="27">
        <v>187581</v>
      </c>
      <c r="G1548" s="27">
        <v>314658</v>
      </c>
      <c r="H1548" s="27">
        <v>-22617</v>
      </c>
      <c r="I1548" s="27">
        <v>-35301</v>
      </c>
      <c r="J1548" s="27">
        <v>128099</v>
      </c>
      <c r="K1548" s="27">
        <v>207497</v>
      </c>
      <c r="L1548" s="69">
        <v>-38.26</v>
      </c>
      <c r="M1548" s="27">
        <v>761118</v>
      </c>
      <c r="N1548" s="69">
        <v>1.68</v>
      </c>
      <c r="O1548" s="69">
        <v>2.73</v>
      </c>
      <c r="P1548" s="69">
        <v>21.41</v>
      </c>
      <c r="Q1548" s="27">
        <v>36</v>
      </c>
      <c r="R1548" s="69">
        <v>1.62</v>
      </c>
      <c r="S1548" s="69">
        <v>99.97</v>
      </c>
      <c r="X1548" s="2">
        <f t="shared" si="72"/>
        <v>0.64</v>
      </c>
      <c r="Y1548" s="2">
        <f>SUMIF(收盤價!A:A,A1548,收盤價!C:C)</f>
        <v>23</v>
      </c>
      <c r="Z1548" s="2">
        <f t="shared" si="73"/>
        <v>1629553.638</v>
      </c>
      <c r="AA1548" s="2">
        <f t="shared" si="74"/>
        <v>1750571.4</v>
      </c>
    </row>
    <row r="1549" spans="1:27" ht="14.5" customHeight="1">
      <c r="A1549" s="7" t="s">
        <v>6916</v>
      </c>
      <c r="B1549" s="8" t="s">
        <v>3055</v>
      </c>
      <c r="C1549" s="27">
        <v>874215</v>
      </c>
      <c r="D1549" s="27">
        <v>1863886</v>
      </c>
      <c r="E1549" s="69">
        <v>-53.1</v>
      </c>
      <c r="F1549" s="27">
        <v>32095</v>
      </c>
      <c r="G1549" s="27">
        <v>-171754</v>
      </c>
      <c r="H1549" s="27">
        <v>-4368</v>
      </c>
      <c r="I1549" s="27">
        <v>17578</v>
      </c>
      <c r="J1549" s="27">
        <v>30695</v>
      </c>
      <c r="K1549" s="27">
        <v>-155678</v>
      </c>
      <c r="L1549" s="69">
        <v>119.72</v>
      </c>
      <c r="M1549" s="27">
        <v>1181722</v>
      </c>
      <c r="N1549" s="69">
        <v>0.26</v>
      </c>
      <c r="O1549" s="69">
        <v>-1.32</v>
      </c>
      <c r="P1549" s="69">
        <v>11.21</v>
      </c>
      <c r="Q1549" s="27">
        <v>93</v>
      </c>
      <c r="R1549" s="69">
        <v>11.3</v>
      </c>
      <c r="S1549" s="69">
        <v>974.31</v>
      </c>
      <c r="X1549" s="2">
        <f t="shared" si="72"/>
        <v>7.0000000000000007E-2</v>
      </c>
      <c r="Y1549" s="2">
        <f>SUMIF(收盤價!A:A,A1549,收盤價!C:C)</f>
        <v>6.99</v>
      </c>
      <c r="Z1549" s="2">
        <f t="shared" si="73"/>
        <v>1324710.3620000002</v>
      </c>
      <c r="AA1549" s="2">
        <f t="shared" si="74"/>
        <v>826023.67800000007</v>
      </c>
    </row>
    <row r="1550" spans="1:27" ht="14.5" customHeight="1">
      <c r="A1550" s="7" t="s">
        <v>6917</v>
      </c>
      <c r="B1550" s="8" t="s">
        <v>3059</v>
      </c>
      <c r="C1550" s="27">
        <v>3149776</v>
      </c>
      <c r="D1550" s="27">
        <v>3075781</v>
      </c>
      <c r="E1550" s="69">
        <v>2.41</v>
      </c>
      <c r="F1550" s="27">
        <v>64896</v>
      </c>
      <c r="G1550" s="27">
        <v>57050</v>
      </c>
      <c r="H1550" s="27">
        <v>20362</v>
      </c>
      <c r="I1550" s="27">
        <v>11180</v>
      </c>
      <c r="J1550" s="27">
        <v>69807</v>
      </c>
      <c r="K1550" s="27">
        <v>70450</v>
      </c>
      <c r="L1550" s="69">
        <v>-0.91</v>
      </c>
      <c r="M1550" s="27">
        <v>721458</v>
      </c>
      <c r="N1550" s="69">
        <v>0.97</v>
      </c>
      <c r="O1550" s="69">
        <v>0.98</v>
      </c>
      <c r="P1550" s="69">
        <v>18.72</v>
      </c>
      <c r="Q1550" s="27">
        <v>73</v>
      </c>
      <c r="R1550" s="69">
        <v>3.18</v>
      </c>
      <c r="S1550" s="69">
        <v>256.93</v>
      </c>
      <c r="X1550" s="2">
        <f t="shared" si="72"/>
        <v>0.27</v>
      </c>
      <c r="Y1550" s="2">
        <f>SUMIF(收盤價!A:A,A1550,收盤價!C:C)</f>
        <v>15.5</v>
      </c>
      <c r="Z1550" s="2">
        <f t="shared" si="73"/>
        <v>1350569.3759999999</v>
      </c>
      <c r="AA1550" s="2">
        <f t="shared" si="74"/>
        <v>1118259.8999999999</v>
      </c>
    </row>
    <row r="1551" spans="1:27" ht="14.5" customHeight="1">
      <c r="A1551" s="7" t="s">
        <v>6918</v>
      </c>
      <c r="B1551" s="8" t="s">
        <v>3251</v>
      </c>
      <c r="C1551" s="27">
        <v>3276707</v>
      </c>
      <c r="D1551" s="27">
        <v>3670657</v>
      </c>
      <c r="E1551" s="69">
        <v>-10.73</v>
      </c>
      <c r="F1551" s="27">
        <v>99730</v>
      </c>
      <c r="G1551" s="27">
        <v>168498</v>
      </c>
      <c r="H1551" s="27">
        <v>12208</v>
      </c>
      <c r="I1551" s="27">
        <v>32854</v>
      </c>
      <c r="J1551" s="27">
        <v>77551</v>
      </c>
      <c r="K1551" s="27">
        <v>147376</v>
      </c>
      <c r="L1551" s="69">
        <v>-47.38</v>
      </c>
      <c r="M1551" s="27">
        <v>518103</v>
      </c>
      <c r="N1551" s="69">
        <v>1.5</v>
      </c>
      <c r="O1551" s="69">
        <v>2.84</v>
      </c>
      <c r="P1551" s="69">
        <v>31.02</v>
      </c>
      <c r="Q1551" s="27">
        <v>71</v>
      </c>
      <c r="R1551" s="69">
        <v>3.59</v>
      </c>
      <c r="S1551" s="69">
        <v>259.72000000000003</v>
      </c>
      <c r="X1551" s="2">
        <f t="shared" si="72"/>
        <v>0.28999999999999998</v>
      </c>
      <c r="Y1551" s="2">
        <f>SUMIF(收盤價!A:A,A1551,收盤價!C:C)</f>
        <v>25.45</v>
      </c>
      <c r="Z1551" s="2">
        <f t="shared" si="73"/>
        <v>1607155.5060000001</v>
      </c>
      <c r="AA1551" s="2">
        <f t="shared" si="74"/>
        <v>1318572.135</v>
      </c>
    </row>
    <row r="1552" spans="1:27" ht="14.5" customHeight="1">
      <c r="A1552" s="7" t="s">
        <v>6919</v>
      </c>
      <c r="B1552" s="8" t="s">
        <v>3281</v>
      </c>
      <c r="C1552" s="27">
        <v>236851</v>
      </c>
      <c r="D1552" s="27">
        <v>153978</v>
      </c>
      <c r="E1552" s="69">
        <v>53.82</v>
      </c>
      <c r="F1552" s="27">
        <v>-42694</v>
      </c>
      <c r="G1552" s="27">
        <v>-65868</v>
      </c>
      <c r="H1552" s="27">
        <v>-605</v>
      </c>
      <c r="I1552" s="27">
        <v>3660</v>
      </c>
      <c r="J1552" s="27">
        <v>-47530</v>
      </c>
      <c r="K1552" s="27">
        <v>-68703</v>
      </c>
      <c r="L1552" s="69">
        <v>30.82</v>
      </c>
      <c r="M1552" s="27">
        <v>250000</v>
      </c>
      <c r="N1552" s="69">
        <v>-1.7</v>
      </c>
      <c r="O1552" s="69">
        <v>-2.29</v>
      </c>
      <c r="P1552" s="69">
        <v>7.67</v>
      </c>
      <c r="Q1552" s="27">
        <v>36</v>
      </c>
      <c r="R1552" s="69">
        <v>1.64</v>
      </c>
      <c r="S1552" s="69">
        <v>105.56</v>
      </c>
      <c r="X1552" s="2">
        <f t="shared" si="72"/>
        <v>0.64</v>
      </c>
      <c r="Y1552" s="2">
        <f>SUMIF(收盤價!A:A,A1552,收盤價!C:C)</f>
        <v>9.8000000000000007</v>
      </c>
      <c r="Z1552" s="2">
        <f t="shared" si="73"/>
        <v>191750</v>
      </c>
      <c r="AA1552" s="2">
        <f t="shared" si="74"/>
        <v>245000</v>
      </c>
    </row>
    <row r="1553" spans="1:27" ht="14.5" customHeight="1">
      <c r="A1553" s="7" t="s">
        <v>6920</v>
      </c>
      <c r="B1553" s="8" t="s">
        <v>3283</v>
      </c>
      <c r="C1553" s="27">
        <v>2306296</v>
      </c>
      <c r="D1553" s="27">
        <v>3586303</v>
      </c>
      <c r="E1553" s="69">
        <v>-35.69</v>
      </c>
      <c r="F1553" s="27">
        <v>5475</v>
      </c>
      <c r="G1553" s="27">
        <v>42203</v>
      </c>
      <c r="H1553" s="27">
        <v>-16751</v>
      </c>
      <c r="I1553" s="27">
        <v>-36890</v>
      </c>
      <c r="J1553" s="27">
        <v>-5958</v>
      </c>
      <c r="K1553" s="27">
        <v>8308</v>
      </c>
      <c r="L1553" s="69">
        <v>-171.71</v>
      </c>
      <c r="M1553" s="27">
        <v>686600</v>
      </c>
      <c r="N1553" s="69">
        <v>-0.09</v>
      </c>
      <c r="O1553" s="69">
        <v>0.12</v>
      </c>
      <c r="P1553" s="69">
        <v>8.9499999999999993</v>
      </c>
      <c r="Q1553" s="27">
        <v>54</v>
      </c>
      <c r="R1553" s="69">
        <v>1.33</v>
      </c>
      <c r="S1553" s="69">
        <v>118.85</v>
      </c>
      <c r="X1553" s="2">
        <f t="shared" si="72"/>
        <v>0.46</v>
      </c>
      <c r="Y1553" s="2">
        <f>SUMIF(收盤價!A:A,A1553,收盤價!C:C)</f>
        <v>34.549999999999997</v>
      </c>
      <c r="Z1553" s="2">
        <f t="shared" si="73"/>
        <v>614506.99999999988</v>
      </c>
      <c r="AA1553" s="2">
        <f t="shared" si="74"/>
        <v>2372202.9999999995</v>
      </c>
    </row>
    <row r="1554" spans="1:27" ht="14.5" customHeight="1">
      <c r="A1554" s="7" t="s">
        <v>6921</v>
      </c>
      <c r="B1554" s="8" t="s">
        <v>3299</v>
      </c>
      <c r="C1554" s="27">
        <v>2047993</v>
      </c>
      <c r="D1554" s="27">
        <v>2684005</v>
      </c>
      <c r="E1554" s="69">
        <v>-23.7</v>
      </c>
      <c r="F1554" s="27">
        <v>-104451</v>
      </c>
      <c r="G1554" s="27">
        <v>-34216</v>
      </c>
      <c r="H1554" s="27">
        <v>-150535</v>
      </c>
      <c r="I1554" s="27">
        <v>13990</v>
      </c>
      <c r="J1554" s="27">
        <v>-249692</v>
      </c>
      <c r="K1554" s="27">
        <v>-28192</v>
      </c>
      <c r="L1554" s="69">
        <v>-785.68</v>
      </c>
      <c r="M1554" s="27">
        <v>670944</v>
      </c>
      <c r="N1554" s="69">
        <v>-3.72</v>
      </c>
      <c r="O1554" s="69">
        <v>-0.43</v>
      </c>
      <c r="P1554" s="69">
        <v>7.96</v>
      </c>
      <c r="Q1554" s="27">
        <v>41</v>
      </c>
      <c r="R1554" s="69">
        <v>1.3</v>
      </c>
      <c r="S1554" s="69">
        <v>83.98</v>
      </c>
      <c r="X1554" s="2">
        <f t="shared" si="72"/>
        <v>0.59</v>
      </c>
      <c r="Y1554" s="2">
        <f>SUMIF(收盤價!A:A,A1554,收盤價!C:C)</f>
        <v>20.3</v>
      </c>
      <c r="Z1554" s="2">
        <f t="shared" si="73"/>
        <v>534071.424</v>
      </c>
      <c r="AA1554" s="2">
        <f t="shared" si="74"/>
        <v>1362016.32</v>
      </c>
    </row>
    <row r="1555" spans="1:27" ht="14.5" customHeight="1">
      <c r="A1555" s="7" t="s">
        <v>6922</v>
      </c>
      <c r="B1555" s="8" t="s">
        <v>3315</v>
      </c>
      <c r="C1555" s="27">
        <v>22771188</v>
      </c>
      <c r="D1555" s="27">
        <v>26262030</v>
      </c>
      <c r="E1555" s="69">
        <v>-13.29</v>
      </c>
      <c r="F1555" s="27">
        <v>156937</v>
      </c>
      <c r="G1555" s="27">
        <v>-18115</v>
      </c>
      <c r="H1555" s="27">
        <v>-55975</v>
      </c>
      <c r="I1555" s="27">
        <v>-120530</v>
      </c>
      <c r="J1555" s="27">
        <v>81425</v>
      </c>
      <c r="K1555" s="27">
        <v>-123741</v>
      </c>
      <c r="L1555" s="69">
        <v>165.8</v>
      </c>
      <c r="M1555" s="27">
        <v>1396240</v>
      </c>
      <c r="N1555" s="69">
        <v>0.57999999999999996</v>
      </c>
      <c r="O1555" s="69">
        <v>-0.89</v>
      </c>
      <c r="P1555" s="69">
        <v>16.940000000000001</v>
      </c>
      <c r="Q1555" s="27">
        <v>39</v>
      </c>
      <c r="R1555" s="69">
        <v>1.56</v>
      </c>
      <c r="S1555" s="69">
        <v>113.17</v>
      </c>
      <c r="X1555" s="2">
        <f t="shared" si="72"/>
        <v>0.61</v>
      </c>
      <c r="Y1555" s="2">
        <f>SUMIF(收盤價!A:A,A1555,收盤價!C:C)</f>
        <v>11.45</v>
      </c>
      <c r="Z1555" s="2">
        <f t="shared" si="73"/>
        <v>2365230.56</v>
      </c>
      <c r="AA1555" s="2">
        <f t="shared" si="74"/>
        <v>1598694.7999999998</v>
      </c>
    </row>
    <row r="1556" spans="1:27" ht="14.5" customHeight="1">
      <c r="A1556" s="7" t="s">
        <v>6923</v>
      </c>
      <c r="B1556" s="8" t="s">
        <v>2097</v>
      </c>
      <c r="C1556" s="27">
        <v>3184717</v>
      </c>
      <c r="D1556" s="27">
        <v>2902006</v>
      </c>
      <c r="E1556" s="69">
        <v>9.74</v>
      </c>
      <c r="F1556" s="27">
        <v>148548</v>
      </c>
      <c r="G1556" s="27">
        <v>105257</v>
      </c>
      <c r="H1556" s="27">
        <v>-7894</v>
      </c>
      <c r="I1556" s="27">
        <v>12875</v>
      </c>
      <c r="J1556" s="27">
        <v>114419</v>
      </c>
      <c r="K1556" s="27">
        <v>93655</v>
      </c>
      <c r="L1556" s="69">
        <v>22.17</v>
      </c>
      <c r="M1556" s="27">
        <v>340061</v>
      </c>
      <c r="N1556" s="69">
        <v>3.36</v>
      </c>
      <c r="O1556" s="69">
        <v>2.88</v>
      </c>
      <c r="P1556" s="69">
        <v>19.62</v>
      </c>
      <c r="Q1556" s="27">
        <v>46</v>
      </c>
      <c r="R1556" s="69">
        <v>1.56</v>
      </c>
      <c r="S1556" s="69">
        <v>125.1</v>
      </c>
      <c r="X1556" s="2">
        <f t="shared" si="72"/>
        <v>0.54</v>
      </c>
      <c r="Y1556" s="2">
        <f>SUMIF(收盤價!A:A,A1556,收盤價!C:C)</f>
        <v>40.65</v>
      </c>
      <c r="Z1556" s="2">
        <f t="shared" si="73"/>
        <v>667199.68200000003</v>
      </c>
      <c r="AA1556" s="2">
        <f t="shared" si="74"/>
        <v>1382347.9650000001</v>
      </c>
    </row>
    <row r="1557" spans="1:27" ht="14.5" customHeight="1">
      <c r="A1557" s="7" t="s">
        <v>6924</v>
      </c>
      <c r="B1557" s="8" t="s">
        <v>2313</v>
      </c>
      <c r="C1557" s="27">
        <v>1205375</v>
      </c>
      <c r="D1557" s="27">
        <v>923668</v>
      </c>
      <c r="E1557" s="69">
        <v>30.5</v>
      </c>
      <c r="F1557" s="27">
        <v>174178</v>
      </c>
      <c r="G1557" s="27">
        <v>91131</v>
      </c>
      <c r="H1557" s="27">
        <v>2637</v>
      </c>
      <c r="I1557" s="27">
        <v>1954</v>
      </c>
      <c r="J1557" s="27">
        <v>143126</v>
      </c>
      <c r="K1557" s="27">
        <v>74245</v>
      </c>
      <c r="L1557" s="69">
        <v>92.78</v>
      </c>
      <c r="M1557" s="27">
        <v>170970</v>
      </c>
      <c r="N1557" s="69">
        <v>8.3699999999999992</v>
      </c>
      <c r="O1557" s="69">
        <v>4.34</v>
      </c>
      <c r="P1557" s="69">
        <v>38.61</v>
      </c>
      <c r="Q1557" s="27">
        <v>71</v>
      </c>
      <c r="R1557" s="69">
        <v>3.62</v>
      </c>
      <c r="S1557" s="69">
        <v>319.27999999999997</v>
      </c>
      <c r="X1557" s="2">
        <f t="shared" si="72"/>
        <v>0.28999999999999998</v>
      </c>
      <c r="Y1557" s="2">
        <f>SUMIF(收盤價!A:A,A1557,收盤價!C:C)</f>
        <v>89.5</v>
      </c>
      <c r="Z1557" s="2">
        <f t="shared" si="73"/>
        <v>660115.17000000004</v>
      </c>
      <c r="AA1557" s="2">
        <f t="shared" si="74"/>
        <v>1530181.5</v>
      </c>
    </row>
    <row r="1558" spans="1:27" ht="14.5" customHeight="1">
      <c r="A1558" s="7" t="s">
        <v>6925</v>
      </c>
      <c r="B1558" s="8" t="s">
        <v>2625</v>
      </c>
      <c r="C1558" s="27">
        <v>5323464</v>
      </c>
      <c r="D1558" s="27">
        <v>3953321</v>
      </c>
      <c r="E1558" s="69">
        <v>34.659999999999997</v>
      </c>
      <c r="F1558" s="27">
        <v>438599</v>
      </c>
      <c r="G1558" s="27">
        <v>207218</v>
      </c>
      <c r="H1558" s="27">
        <v>19545</v>
      </c>
      <c r="I1558" s="27">
        <v>67344</v>
      </c>
      <c r="J1558" s="27">
        <v>413123</v>
      </c>
      <c r="K1558" s="27">
        <v>253190</v>
      </c>
      <c r="L1558" s="69">
        <v>63.17</v>
      </c>
      <c r="M1558" s="27">
        <v>664011</v>
      </c>
      <c r="N1558" s="69">
        <v>6.23</v>
      </c>
      <c r="O1558" s="69">
        <v>4.75</v>
      </c>
      <c r="P1558" s="69">
        <v>31.76</v>
      </c>
      <c r="Q1558" s="27">
        <v>63</v>
      </c>
      <c r="R1558" s="69">
        <v>2.25</v>
      </c>
      <c r="S1558" s="69">
        <v>224.1</v>
      </c>
      <c r="X1558" s="2">
        <f t="shared" si="72"/>
        <v>0.37</v>
      </c>
      <c r="Y1558" s="2">
        <f>SUMIF(收盤價!A:A,A1558,收盤價!C:C)</f>
        <v>105.5</v>
      </c>
      <c r="Z1558" s="2">
        <f t="shared" si="73"/>
        <v>2108898.9359999998</v>
      </c>
      <c r="AA1558" s="2">
        <f t="shared" si="74"/>
        <v>7005316.0499999998</v>
      </c>
    </row>
    <row r="1559" spans="1:27" ht="14.5" customHeight="1">
      <c r="A1559" s="7" t="s">
        <v>6926</v>
      </c>
      <c r="B1559" s="8" t="s">
        <v>2659</v>
      </c>
      <c r="C1559" s="27">
        <v>200967</v>
      </c>
      <c r="D1559" s="27">
        <v>251441</v>
      </c>
      <c r="E1559" s="69">
        <v>-20.07</v>
      </c>
      <c r="F1559" s="27">
        <v>8320</v>
      </c>
      <c r="G1559" s="27">
        <v>42167</v>
      </c>
      <c r="H1559" s="27">
        <v>35861</v>
      </c>
      <c r="I1559" s="27">
        <v>6603</v>
      </c>
      <c r="J1559" s="27">
        <v>41051</v>
      </c>
      <c r="K1559" s="27">
        <v>41476</v>
      </c>
      <c r="L1559" s="69">
        <v>-1.02</v>
      </c>
      <c r="M1559" s="27">
        <v>306746</v>
      </c>
      <c r="N1559" s="69">
        <v>1.34</v>
      </c>
      <c r="O1559" s="69">
        <v>1.35</v>
      </c>
      <c r="P1559" s="69">
        <v>11.11</v>
      </c>
      <c r="Q1559" s="27">
        <v>70</v>
      </c>
      <c r="R1559" s="69">
        <v>4.24</v>
      </c>
      <c r="S1559" s="69">
        <v>422.15</v>
      </c>
      <c r="X1559" s="2">
        <f t="shared" si="72"/>
        <v>0.3</v>
      </c>
      <c r="Y1559" s="2">
        <f>SUMIF(收盤價!A:A,A1559,收盤價!C:C)</f>
        <v>35</v>
      </c>
      <c r="Z1559" s="2">
        <f t="shared" si="73"/>
        <v>340794.80599999998</v>
      </c>
      <c r="AA1559" s="2">
        <f t="shared" si="74"/>
        <v>1073611</v>
      </c>
    </row>
    <row r="1560" spans="1:27" ht="14.5" customHeight="1">
      <c r="A1560" s="7" t="s">
        <v>6927</v>
      </c>
      <c r="B1560" s="8" t="s">
        <v>2661</v>
      </c>
      <c r="C1560" s="27">
        <v>242973</v>
      </c>
      <c r="D1560" s="27">
        <v>236312</v>
      </c>
      <c r="E1560" s="69">
        <v>2.82</v>
      </c>
      <c r="F1560" s="27">
        <v>-45404</v>
      </c>
      <c r="G1560" s="27">
        <v>-41280</v>
      </c>
      <c r="H1560" s="27">
        <v>55599</v>
      </c>
      <c r="I1560" s="27">
        <v>84164</v>
      </c>
      <c r="J1560" s="27">
        <v>-13495</v>
      </c>
      <c r="K1560" s="27">
        <v>8939</v>
      </c>
      <c r="L1560" s="69">
        <v>-250.97</v>
      </c>
      <c r="M1560" s="27">
        <v>590940</v>
      </c>
      <c r="N1560" s="69">
        <v>-0.23</v>
      </c>
      <c r="O1560" s="69">
        <v>0.15</v>
      </c>
      <c r="P1560" s="69">
        <v>10</v>
      </c>
      <c r="Q1560" s="27">
        <v>75</v>
      </c>
      <c r="R1560" s="69">
        <v>4</v>
      </c>
      <c r="S1560" s="69">
        <v>381.49</v>
      </c>
      <c r="X1560" s="2">
        <f t="shared" si="72"/>
        <v>0.25</v>
      </c>
      <c r="Y1560" s="2">
        <f>SUMIF(收盤價!A:A,A1560,收盤價!C:C)</f>
        <v>16.5</v>
      </c>
      <c r="Z1560" s="2">
        <f t="shared" si="73"/>
        <v>590940</v>
      </c>
      <c r="AA1560" s="2">
        <f t="shared" si="74"/>
        <v>975051</v>
      </c>
    </row>
    <row r="1561" spans="1:27" ht="14.5" customHeight="1">
      <c r="A1561" s="7" t="s">
        <v>6928</v>
      </c>
      <c r="B1561" s="8" t="s">
        <v>2667</v>
      </c>
      <c r="C1561" s="27">
        <v>1035372</v>
      </c>
      <c r="D1561" s="27">
        <v>1407451</v>
      </c>
      <c r="E1561" s="69">
        <v>-26.44</v>
      </c>
      <c r="F1561" s="27">
        <v>73558</v>
      </c>
      <c r="G1561" s="27">
        <v>83671</v>
      </c>
      <c r="H1561" s="27">
        <v>11405</v>
      </c>
      <c r="I1561" s="27">
        <v>11500</v>
      </c>
      <c r="J1561" s="27">
        <v>74941</v>
      </c>
      <c r="K1561" s="27">
        <v>76235</v>
      </c>
      <c r="L1561" s="69">
        <v>-1.7</v>
      </c>
      <c r="M1561" s="27">
        <v>234915</v>
      </c>
      <c r="N1561" s="69">
        <v>3.19</v>
      </c>
      <c r="O1561" s="69">
        <v>3.25</v>
      </c>
      <c r="P1561" s="69">
        <v>24.1</v>
      </c>
      <c r="Q1561" s="27">
        <v>51</v>
      </c>
      <c r="R1561" s="69">
        <v>1.98</v>
      </c>
      <c r="S1561" s="69">
        <v>195.9</v>
      </c>
      <c r="X1561" s="2">
        <f t="shared" si="72"/>
        <v>0.49</v>
      </c>
      <c r="Y1561" s="2">
        <f>SUMIF(收盤價!A:A,A1561,收盤價!C:C)</f>
        <v>47.75</v>
      </c>
      <c r="Z1561" s="2">
        <f t="shared" si="73"/>
        <v>566145.15</v>
      </c>
      <c r="AA1561" s="2">
        <f t="shared" si="74"/>
        <v>1121719.125</v>
      </c>
    </row>
    <row r="1562" spans="1:27" ht="14.5" customHeight="1">
      <c r="A1562" s="7" t="s">
        <v>6929</v>
      </c>
      <c r="B1562" s="8" t="s">
        <v>2669</v>
      </c>
      <c r="C1562" s="27">
        <v>275072</v>
      </c>
      <c r="D1562" s="27">
        <v>280312</v>
      </c>
      <c r="E1562" s="69">
        <v>-1.87</v>
      </c>
      <c r="F1562" s="27">
        <v>-51185</v>
      </c>
      <c r="G1562" s="27">
        <v>-39272</v>
      </c>
      <c r="H1562" s="27">
        <v>26796</v>
      </c>
      <c r="I1562" s="27">
        <v>21037</v>
      </c>
      <c r="J1562" s="27">
        <v>-23037</v>
      </c>
      <c r="K1562" s="27">
        <v>-17985</v>
      </c>
      <c r="L1562" s="69">
        <v>-28.09</v>
      </c>
      <c r="M1562" s="27">
        <v>636998</v>
      </c>
      <c r="N1562" s="69">
        <v>-0.36</v>
      </c>
      <c r="O1562" s="69">
        <v>-0.28000000000000003</v>
      </c>
      <c r="P1562" s="69">
        <v>10.07</v>
      </c>
      <c r="Q1562" s="27">
        <v>80</v>
      </c>
      <c r="R1562" s="69">
        <v>4.3099999999999996</v>
      </c>
      <c r="S1562" s="69">
        <v>427.44</v>
      </c>
      <c r="X1562" s="2">
        <f t="shared" si="72"/>
        <v>0.2</v>
      </c>
      <c r="Y1562" s="2">
        <f>SUMIF(收盤價!A:A,A1562,收盤價!C:C)</f>
        <v>7.3</v>
      </c>
      <c r="Z1562" s="2">
        <f t="shared" si="73"/>
        <v>641456.98600000003</v>
      </c>
      <c r="AA1562" s="2">
        <f t="shared" si="74"/>
        <v>465008.53999999992</v>
      </c>
    </row>
    <row r="1563" spans="1:27" ht="14.5" customHeight="1">
      <c r="A1563" s="7" t="s">
        <v>6930</v>
      </c>
      <c r="B1563" s="8" t="s">
        <v>2671</v>
      </c>
      <c r="C1563" s="27">
        <v>181060</v>
      </c>
      <c r="D1563" s="27">
        <v>204931</v>
      </c>
      <c r="E1563" s="69">
        <v>-11.65</v>
      </c>
      <c r="F1563" s="27">
        <v>21997</v>
      </c>
      <c r="G1563" s="27">
        <v>-10615</v>
      </c>
      <c r="H1563" s="27">
        <v>2856</v>
      </c>
      <c r="I1563" s="27">
        <v>12391</v>
      </c>
      <c r="J1563" s="27">
        <v>18081</v>
      </c>
      <c r="K1563" s="27">
        <v>968</v>
      </c>
      <c r="L1563" s="28" t="s">
        <v>6378</v>
      </c>
      <c r="M1563" s="27">
        <v>320247</v>
      </c>
      <c r="N1563" s="69">
        <v>0.56000000000000005</v>
      </c>
      <c r="O1563" s="69">
        <v>0.03</v>
      </c>
      <c r="P1563" s="69">
        <v>16.420000000000002</v>
      </c>
      <c r="Q1563" s="27">
        <v>86</v>
      </c>
      <c r="R1563" s="69">
        <v>7.54</v>
      </c>
      <c r="S1563" s="69">
        <v>688.72</v>
      </c>
      <c r="X1563" s="2">
        <f t="shared" si="72"/>
        <v>0.14000000000000001</v>
      </c>
      <c r="Y1563" s="2">
        <f>SUMIF(收盤價!A:A,A1563,收盤價!C:C)</f>
        <v>16.149999999999999</v>
      </c>
      <c r="Z1563" s="2">
        <f t="shared" si="73"/>
        <v>525845.57400000002</v>
      </c>
      <c r="AA1563" s="2">
        <f t="shared" si="74"/>
        <v>517198.90499999997</v>
      </c>
    </row>
    <row r="1564" spans="1:27" ht="14.5" customHeight="1">
      <c r="A1564" s="7" t="s">
        <v>6931</v>
      </c>
      <c r="B1564" s="8" t="s">
        <v>2673</v>
      </c>
      <c r="C1564" s="27">
        <v>937952</v>
      </c>
      <c r="D1564" s="27">
        <v>786398</v>
      </c>
      <c r="E1564" s="69">
        <v>19.27</v>
      </c>
      <c r="F1564" s="27">
        <v>107891</v>
      </c>
      <c r="G1564" s="27">
        <v>69450</v>
      </c>
      <c r="H1564" s="27">
        <v>-4050</v>
      </c>
      <c r="I1564" s="27">
        <v>3147</v>
      </c>
      <c r="J1564" s="27">
        <v>85892</v>
      </c>
      <c r="K1564" s="27">
        <v>61205</v>
      </c>
      <c r="L1564" s="69">
        <v>40.33</v>
      </c>
      <c r="M1564" s="27">
        <v>346330</v>
      </c>
      <c r="N1564" s="69">
        <v>2.48</v>
      </c>
      <c r="O1564" s="69">
        <v>1.77</v>
      </c>
      <c r="P1564" s="69">
        <v>13.01</v>
      </c>
      <c r="Q1564" s="27">
        <v>53</v>
      </c>
      <c r="R1564" s="69">
        <v>2.15</v>
      </c>
      <c r="S1564" s="69">
        <v>204.7</v>
      </c>
      <c r="X1564" s="2">
        <f t="shared" si="72"/>
        <v>0.47</v>
      </c>
      <c r="Y1564" s="2">
        <f>SUMIF(收盤價!A:A,A1564,收盤價!C:C)</f>
        <v>34.25</v>
      </c>
      <c r="Z1564" s="2">
        <f t="shared" si="73"/>
        <v>450575.32999999996</v>
      </c>
      <c r="AA1564" s="2">
        <f t="shared" si="74"/>
        <v>1186180.25</v>
      </c>
    </row>
    <row r="1565" spans="1:27" ht="14.5" customHeight="1">
      <c r="A1565" s="7" t="s">
        <v>6932</v>
      </c>
      <c r="B1565" s="8" t="s">
        <v>2719</v>
      </c>
      <c r="C1565" s="27">
        <v>327175</v>
      </c>
      <c r="D1565" s="27">
        <v>402290</v>
      </c>
      <c r="E1565" s="69">
        <v>-18.670000000000002</v>
      </c>
      <c r="F1565" s="27">
        <v>-143633</v>
      </c>
      <c r="G1565" s="27">
        <v>-73384</v>
      </c>
      <c r="H1565" s="27">
        <v>-27978</v>
      </c>
      <c r="I1565" s="27">
        <v>-53366</v>
      </c>
      <c r="J1565" s="27">
        <v>-171913</v>
      </c>
      <c r="K1565" s="27">
        <v>-135262</v>
      </c>
      <c r="L1565" s="69">
        <v>-27.1</v>
      </c>
      <c r="M1565" s="27">
        <v>496012</v>
      </c>
      <c r="N1565" s="69">
        <v>-3.54</v>
      </c>
      <c r="O1565" s="69">
        <v>-2.74</v>
      </c>
      <c r="P1565" s="69">
        <v>4.34</v>
      </c>
      <c r="Q1565" s="27">
        <v>46</v>
      </c>
      <c r="R1565" s="69">
        <v>1.36</v>
      </c>
      <c r="S1565" s="69">
        <v>84.7</v>
      </c>
      <c r="X1565" s="2">
        <f t="shared" si="72"/>
        <v>0.54</v>
      </c>
      <c r="Y1565" s="2">
        <f>SUMIF(收盤價!A:A,A1565,收盤價!C:C)</f>
        <v>20.5</v>
      </c>
      <c r="Z1565" s="2">
        <f t="shared" si="73"/>
        <v>215269.20800000001</v>
      </c>
      <c r="AA1565" s="2">
        <f t="shared" si="74"/>
        <v>1016824.6</v>
      </c>
    </row>
    <row r="1566" spans="1:27" ht="14.5" customHeight="1">
      <c r="A1566" s="7" t="s">
        <v>6933</v>
      </c>
      <c r="B1566" s="8" t="s">
        <v>2767</v>
      </c>
      <c r="C1566" s="27">
        <v>1798456</v>
      </c>
      <c r="D1566" s="27">
        <v>1606543</v>
      </c>
      <c r="E1566" s="69">
        <v>11.95</v>
      </c>
      <c r="F1566" s="27">
        <v>270487</v>
      </c>
      <c r="G1566" s="27">
        <v>211065</v>
      </c>
      <c r="H1566" s="27">
        <v>35403</v>
      </c>
      <c r="I1566" s="27">
        <v>25487</v>
      </c>
      <c r="J1566" s="27">
        <v>248121</v>
      </c>
      <c r="K1566" s="27">
        <v>193170</v>
      </c>
      <c r="L1566" s="69">
        <v>28.45</v>
      </c>
      <c r="M1566" s="27">
        <v>626301</v>
      </c>
      <c r="N1566" s="69">
        <v>3.96</v>
      </c>
      <c r="O1566" s="69">
        <v>3.08</v>
      </c>
      <c r="P1566" s="69">
        <v>21.54</v>
      </c>
      <c r="Q1566" s="27">
        <v>48</v>
      </c>
      <c r="R1566" s="69">
        <v>0.94</v>
      </c>
      <c r="S1566" s="69">
        <v>53.44</v>
      </c>
      <c r="X1566" s="2">
        <f t="shared" si="72"/>
        <v>0.52</v>
      </c>
      <c r="Y1566" s="2">
        <f>SUMIF(收盤價!A:A,A1566,收盤價!C:C)</f>
        <v>41.65</v>
      </c>
      <c r="Z1566" s="2">
        <f t="shared" si="73"/>
        <v>1349052.3539999998</v>
      </c>
      <c r="AA1566" s="2">
        <f t="shared" si="74"/>
        <v>2608543.665</v>
      </c>
    </row>
    <row r="1567" spans="1:27" ht="14.5" customHeight="1">
      <c r="A1567" s="7" t="s">
        <v>6934</v>
      </c>
      <c r="B1567" s="8" t="s">
        <v>2769</v>
      </c>
      <c r="C1567" s="27">
        <v>3449191</v>
      </c>
      <c r="D1567" s="27">
        <v>3233770</v>
      </c>
      <c r="E1567" s="69">
        <v>6.66</v>
      </c>
      <c r="F1567" s="27">
        <v>148290</v>
      </c>
      <c r="G1567" s="27">
        <v>146696</v>
      </c>
      <c r="H1567" s="27">
        <v>49273</v>
      </c>
      <c r="I1567" s="27">
        <v>22460</v>
      </c>
      <c r="J1567" s="27">
        <v>166692</v>
      </c>
      <c r="K1567" s="27">
        <v>136037</v>
      </c>
      <c r="L1567" s="69">
        <v>22.53</v>
      </c>
      <c r="M1567" s="27">
        <v>859001</v>
      </c>
      <c r="N1567" s="69">
        <v>1.94</v>
      </c>
      <c r="O1567" s="69">
        <v>1.58</v>
      </c>
      <c r="P1567" s="69">
        <v>13.49</v>
      </c>
      <c r="Q1567" s="27">
        <v>50</v>
      </c>
      <c r="R1567" s="69">
        <v>1.49</v>
      </c>
      <c r="S1567" s="69">
        <v>111.83</v>
      </c>
      <c r="X1567" s="2">
        <f t="shared" si="72"/>
        <v>0.5</v>
      </c>
      <c r="Y1567" s="2">
        <f>SUMIF(收盤價!A:A,A1567,收盤價!C:C)</f>
        <v>20.149999999999999</v>
      </c>
      <c r="Z1567" s="2">
        <f t="shared" si="73"/>
        <v>1158792.3489999999</v>
      </c>
      <c r="AA1567" s="2">
        <f t="shared" si="74"/>
        <v>1730887.0149999999</v>
      </c>
    </row>
    <row r="1568" spans="1:27" ht="14.5" customHeight="1">
      <c r="A1568" s="7" t="s">
        <v>6935</v>
      </c>
      <c r="B1568" s="8" t="s">
        <v>2921</v>
      </c>
      <c r="C1568" s="27">
        <v>1994166</v>
      </c>
      <c r="D1568" s="27">
        <v>1681970</v>
      </c>
      <c r="E1568" s="69">
        <v>18.559999999999999</v>
      </c>
      <c r="F1568" s="27">
        <v>6442</v>
      </c>
      <c r="G1568" s="27">
        <v>10204</v>
      </c>
      <c r="H1568" s="27">
        <v>-838</v>
      </c>
      <c r="I1568" s="27">
        <v>-8918</v>
      </c>
      <c r="J1568" s="27">
        <v>3237</v>
      </c>
      <c r="K1568" s="27">
        <v>2439</v>
      </c>
      <c r="L1568" s="69">
        <v>32.72</v>
      </c>
      <c r="M1568" s="27">
        <v>383680</v>
      </c>
      <c r="N1568" s="69">
        <v>0.08</v>
      </c>
      <c r="O1568" s="69">
        <v>0.06</v>
      </c>
      <c r="P1568" s="69">
        <v>10.59</v>
      </c>
      <c r="Q1568" s="27">
        <v>38</v>
      </c>
      <c r="R1568" s="69">
        <v>1.55</v>
      </c>
      <c r="S1568" s="69">
        <v>127</v>
      </c>
      <c r="X1568" s="2">
        <f t="shared" si="72"/>
        <v>0.62</v>
      </c>
      <c r="Y1568" s="2">
        <f>SUMIF(收盤價!A:A,A1568,收盤價!C:C)</f>
        <v>10.95</v>
      </c>
      <c r="Z1568" s="2">
        <f t="shared" si="73"/>
        <v>406317.12</v>
      </c>
      <c r="AA1568" s="2">
        <f t="shared" si="74"/>
        <v>420129.6</v>
      </c>
    </row>
    <row r="1569" spans="1:27" ht="14.5" customHeight="1">
      <c r="A1569" s="7" t="s">
        <v>6936</v>
      </c>
      <c r="B1569" s="8" t="s">
        <v>2931</v>
      </c>
      <c r="C1569" s="27">
        <v>707125</v>
      </c>
      <c r="D1569" s="27">
        <v>702723</v>
      </c>
      <c r="E1569" s="69">
        <v>0.63</v>
      </c>
      <c r="F1569" s="27">
        <v>21087</v>
      </c>
      <c r="G1569" s="27">
        <v>39160</v>
      </c>
      <c r="H1569" s="27">
        <v>11681</v>
      </c>
      <c r="I1569" s="27">
        <v>20465</v>
      </c>
      <c r="J1569" s="27">
        <v>27393</v>
      </c>
      <c r="K1569" s="27">
        <v>50333</v>
      </c>
      <c r="L1569" s="69">
        <v>-45.58</v>
      </c>
      <c r="M1569" s="27">
        <v>470000</v>
      </c>
      <c r="N1569" s="69">
        <v>0.6</v>
      </c>
      <c r="O1569" s="69">
        <v>0.77</v>
      </c>
      <c r="P1569" s="69">
        <v>10.88</v>
      </c>
      <c r="Q1569" s="27">
        <v>51</v>
      </c>
      <c r="R1569" s="69">
        <v>1.97</v>
      </c>
      <c r="S1569" s="69">
        <v>159.47999999999999</v>
      </c>
      <c r="X1569" s="2">
        <f t="shared" si="72"/>
        <v>0.49</v>
      </c>
      <c r="Y1569" s="2">
        <f>SUMIF(收盤價!A:A,A1569,收盤價!C:C)</f>
        <v>10.050000000000001</v>
      </c>
      <c r="Z1569" s="2">
        <f t="shared" si="73"/>
        <v>511360</v>
      </c>
      <c r="AA1569" s="2">
        <f t="shared" si="74"/>
        <v>472350</v>
      </c>
    </row>
    <row r="1570" spans="1:27" ht="14.5" customHeight="1">
      <c r="A1570" s="7" t="s">
        <v>6937</v>
      </c>
      <c r="B1570" s="8" t="s">
        <v>3007</v>
      </c>
      <c r="C1570" s="27">
        <v>3379370</v>
      </c>
      <c r="D1570" s="27">
        <v>2949547</v>
      </c>
      <c r="E1570" s="69">
        <v>14.57</v>
      </c>
      <c r="F1570" s="27">
        <v>240819</v>
      </c>
      <c r="G1570" s="27">
        <v>183766</v>
      </c>
      <c r="H1570" s="27">
        <v>-5181</v>
      </c>
      <c r="I1570" s="27">
        <v>-7567</v>
      </c>
      <c r="J1570" s="27">
        <v>175895</v>
      </c>
      <c r="K1570" s="27">
        <v>128807</v>
      </c>
      <c r="L1570" s="69">
        <v>36.56</v>
      </c>
      <c r="M1570" s="27">
        <v>449740</v>
      </c>
      <c r="N1570" s="69">
        <v>3.92</v>
      </c>
      <c r="O1570" s="69">
        <v>2.87</v>
      </c>
      <c r="P1570" s="69">
        <v>20.34</v>
      </c>
      <c r="Q1570" s="27">
        <v>34</v>
      </c>
      <c r="R1570" s="69">
        <v>1.43</v>
      </c>
      <c r="S1570" s="69">
        <v>87.56</v>
      </c>
      <c r="X1570" s="2">
        <f t="shared" si="72"/>
        <v>0.66</v>
      </c>
      <c r="Y1570" s="2">
        <f>SUMIF(收盤價!A:A,A1570,收盤價!C:C)</f>
        <v>43.8</v>
      </c>
      <c r="Z1570" s="2">
        <f t="shared" si="73"/>
        <v>914771.15999999992</v>
      </c>
      <c r="AA1570" s="2">
        <f t="shared" si="74"/>
        <v>1969861.2</v>
      </c>
    </row>
    <row r="1571" spans="1:27" ht="14.5" customHeight="1">
      <c r="A1571" s="7" t="s">
        <v>6938</v>
      </c>
      <c r="B1571" s="8" t="s">
        <v>3019</v>
      </c>
      <c r="C1571" s="27">
        <v>959482</v>
      </c>
      <c r="D1571" s="27">
        <v>849218</v>
      </c>
      <c r="E1571" s="69">
        <v>12.98</v>
      </c>
      <c r="F1571" s="27">
        <v>113837</v>
      </c>
      <c r="G1571" s="27">
        <v>76689</v>
      </c>
      <c r="H1571" s="27">
        <v>3353</v>
      </c>
      <c r="I1571" s="27">
        <v>6962</v>
      </c>
      <c r="J1571" s="27">
        <v>88336</v>
      </c>
      <c r="K1571" s="27">
        <v>66323</v>
      </c>
      <c r="L1571" s="69">
        <v>33.19</v>
      </c>
      <c r="M1571" s="27">
        <v>380435</v>
      </c>
      <c r="N1571" s="69">
        <v>2.3199999999999998</v>
      </c>
      <c r="O1571" s="69">
        <v>1.74</v>
      </c>
      <c r="P1571" s="69">
        <v>18.260000000000002</v>
      </c>
      <c r="Q1571" s="27">
        <v>63</v>
      </c>
      <c r="R1571" s="69">
        <v>2.8</v>
      </c>
      <c r="S1571" s="69">
        <v>267.83</v>
      </c>
      <c r="X1571" s="2">
        <f t="shared" si="72"/>
        <v>0.37</v>
      </c>
      <c r="Y1571" s="2">
        <f>SUMIF(收盤價!A:A,A1571,收盤價!C:C)</f>
        <v>66.7</v>
      </c>
      <c r="Z1571" s="2">
        <f t="shared" si="73"/>
        <v>694674.31</v>
      </c>
      <c r="AA1571" s="2">
        <f t="shared" si="74"/>
        <v>2537501.4500000002</v>
      </c>
    </row>
    <row r="1572" spans="1:27" ht="14.5" customHeight="1">
      <c r="A1572" s="7" t="s">
        <v>6939</v>
      </c>
      <c r="B1572" s="8" t="s">
        <v>3031</v>
      </c>
      <c r="C1572" s="27">
        <v>28784</v>
      </c>
      <c r="D1572" s="27">
        <v>38678</v>
      </c>
      <c r="E1572" s="69">
        <v>-25.58</v>
      </c>
      <c r="F1572" s="27">
        <v>-4690</v>
      </c>
      <c r="G1572" s="27">
        <v>-9202</v>
      </c>
      <c r="H1572" s="27">
        <v>-41330</v>
      </c>
      <c r="I1572" s="27">
        <v>39355</v>
      </c>
      <c r="J1572" s="27">
        <v>-49124</v>
      </c>
      <c r="K1572" s="27">
        <v>29824</v>
      </c>
      <c r="L1572" s="69">
        <v>-264.70999999999998</v>
      </c>
      <c r="M1572" s="27">
        <v>230984</v>
      </c>
      <c r="N1572" s="69">
        <v>-2.13</v>
      </c>
      <c r="O1572" s="69">
        <v>1.29</v>
      </c>
      <c r="P1572" s="69">
        <v>14.32</v>
      </c>
      <c r="Q1572" s="27">
        <v>30</v>
      </c>
      <c r="R1572" s="69">
        <v>0.8</v>
      </c>
      <c r="S1572" s="69">
        <v>80.41</v>
      </c>
      <c r="X1572" s="2">
        <f t="shared" si="72"/>
        <v>0.7</v>
      </c>
      <c r="Y1572" s="2">
        <f>SUMIF(收盤價!A:A,A1572,收盤價!C:C)</f>
        <v>16.149999999999999</v>
      </c>
      <c r="Z1572" s="2">
        <f t="shared" si="73"/>
        <v>330769.08799999999</v>
      </c>
      <c r="AA1572" s="2">
        <f t="shared" si="74"/>
        <v>373039.16</v>
      </c>
    </row>
    <row r="1573" spans="1:27" ht="14.5" customHeight="1">
      <c r="A1573" s="7" t="s">
        <v>6135</v>
      </c>
      <c r="B1573" s="8" t="s">
        <v>3149</v>
      </c>
      <c r="C1573" s="27">
        <v>255075</v>
      </c>
      <c r="D1573" s="27">
        <v>331954</v>
      </c>
      <c r="E1573" s="69">
        <v>-23.16</v>
      </c>
      <c r="F1573" s="27">
        <v>-6435</v>
      </c>
      <c r="G1573" s="27">
        <v>35933</v>
      </c>
      <c r="H1573" s="27">
        <v>10834</v>
      </c>
      <c r="I1573" s="27">
        <v>12343</v>
      </c>
      <c r="J1573" s="27">
        <v>2692</v>
      </c>
      <c r="K1573" s="27">
        <v>39078</v>
      </c>
      <c r="L1573" s="69">
        <v>-93.11</v>
      </c>
      <c r="M1573" s="27">
        <v>351135</v>
      </c>
      <c r="N1573" s="69">
        <v>0.08</v>
      </c>
      <c r="O1573" s="69">
        <v>1.25</v>
      </c>
      <c r="P1573" s="69">
        <v>28.12</v>
      </c>
      <c r="Q1573" s="27">
        <v>91</v>
      </c>
      <c r="R1573" s="69">
        <v>15.09</v>
      </c>
      <c r="S1573" s="69">
        <v>1499.02</v>
      </c>
      <c r="X1573" s="2">
        <f t="shared" si="72"/>
        <v>0.09</v>
      </c>
      <c r="Y1573" s="2">
        <f>SUMIF(收盤價!A:A,A1573,收盤價!C:C)</f>
        <v>330.24</v>
      </c>
      <c r="Z1573" s="2">
        <f t="shared" si="73"/>
        <v>987391.62000000011</v>
      </c>
      <c r="AA1573" s="2">
        <f t="shared" si="74"/>
        <v>11595882.24</v>
      </c>
    </row>
    <row r="1574" spans="1:27" ht="14.5" customHeight="1">
      <c r="A1574" s="7" t="s">
        <v>6940</v>
      </c>
      <c r="B1574" s="8" t="s">
        <v>3191</v>
      </c>
      <c r="C1574" s="27">
        <v>401035</v>
      </c>
      <c r="D1574" s="27">
        <v>347425</v>
      </c>
      <c r="E1574" s="69">
        <v>15.43</v>
      </c>
      <c r="F1574" s="27">
        <v>55385</v>
      </c>
      <c r="G1574" s="27">
        <v>33819</v>
      </c>
      <c r="H1574" s="27">
        <v>1065</v>
      </c>
      <c r="I1574" s="27">
        <v>863</v>
      </c>
      <c r="J1574" s="27">
        <v>43280</v>
      </c>
      <c r="K1574" s="27">
        <v>26498</v>
      </c>
      <c r="L1574" s="69">
        <v>63.33</v>
      </c>
      <c r="M1574" s="27">
        <v>182913</v>
      </c>
      <c r="N1574" s="69">
        <v>2.78</v>
      </c>
      <c r="O1574" s="69">
        <v>2.0299999999999998</v>
      </c>
      <c r="P1574" s="69">
        <v>19.309999999999999</v>
      </c>
      <c r="Q1574" s="27">
        <v>66</v>
      </c>
      <c r="R1574" s="69">
        <v>2.93</v>
      </c>
      <c r="S1574" s="69">
        <v>272.45999999999998</v>
      </c>
      <c r="X1574" s="2">
        <f t="shared" si="72"/>
        <v>0.34</v>
      </c>
      <c r="Y1574" s="2">
        <f>SUMIF(收盤價!A:A,A1574,收盤價!C:C)</f>
        <v>31</v>
      </c>
      <c r="Z1574" s="2">
        <f t="shared" si="73"/>
        <v>353205.00299999997</v>
      </c>
      <c r="AA1574" s="2">
        <f t="shared" si="74"/>
        <v>567030.30000000005</v>
      </c>
    </row>
    <row r="1575" spans="1:27" ht="14.5" customHeight="1">
      <c r="A1575" s="7" t="s">
        <v>6941</v>
      </c>
      <c r="B1575" s="8" t="s">
        <v>3193</v>
      </c>
      <c r="C1575" s="27">
        <v>458259</v>
      </c>
      <c r="D1575" s="27">
        <v>755916</v>
      </c>
      <c r="E1575" s="69">
        <v>-39.380000000000003</v>
      </c>
      <c r="F1575" s="27">
        <v>-13810</v>
      </c>
      <c r="G1575" s="27">
        <v>65486</v>
      </c>
      <c r="H1575" s="27">
        <v>-1368</v>
      </c>
      <c r="I1575" s="27">
        <v>814</v>
      </c>
      <c r="J1575" s="27">
        <v>-12156</v>
      </c>
      <c r="K1575" s="27">
        <v>54001</v>
      </c>
      <c r="L1575" s="69">
        <v>-122.51</v>
      </c>
      <c r="M1575" s="27">
        <v>201709</v>
      </c>
      <c r="N1575" s="69">
        <v>-0.61</v>
      </c>
      <c r="O1575" s="69">
        <v>2.76</v>
      </c>
      <c r="P1575" s="69">
        <v>23.22</v>
      </c>
      <c r="Q1575" s="27">
        <v>61</v>
      </c>
      <c r="R1575" s="69">
        <v>1.38</v>
      </c>
      <c r="S1575" s="69">
        <v>76.760000000000005</v>
      </c>
      <c r="X1575" s="2">
        <f t="shared" si="72"/>
        <v>0.39</v>
      </c>
      <c r="Y1575" s="2">
        <f>SUMIF(收盤價!A:A,A1575,收盤價!C:C)</f>
        <v>28.95</v>
      </c>
      <c r="Z1575" s="2">
        <f t="shared" si="73"/>
        <v>468368.29799999995</v>
      </c>
      <c r="AA1575" s="2">
        <f t="shared" si="74"/>
        <v>583947.55499999993</v>
      </c>
    </row>
    <row r="1576" spans="1:27" ht="14.5" customHeight="1">
      <c r="A1576" s="7" t="s">
        <v>6208</v>
      </c>
      <c r="B1576" s="8" t="s">
        <v>3237</v>
      </c>
      <c r="C1576" s="27">
        <v>642209</v>
      </c>
      <c r="D1576" s="27">
        <v>509893</v>
      </c>
      <c r="E1576" s="69">
        <v>25.95</v>
      </c>
      <c r="F1576" s="27">
        <v>76969</v>
      </c>
      <c r="G1576" s="27">
        <v>71318</v>
      </c>
      <c r="H1576" s="27">
        <v>8708</v>
      </c>
      <c r="I1576" s="27">
        <v>-579</v>
      </c>
      <c r="J1576" s="27">
        <v>67696</v>
      </c>
      <c r="K1576" s="27">
        <v>57988</v>
      </c>
      <c r="L1576" s="69">
        <v>16.739999999999998</v>
      </c>
      <c r="M1576" s="27">
        <v>163396</v>
      </c>
      <c r="N1576" s="69">
        <v>5.1100000000000003</v>
      </c>
      <c r="O1576" s="69">
        <v>4.72</v>
      </c>
      <c r="P1576" s="69">
        <v>35.659999999999997</v>
      </c>
      <c r="Q1576" s="27">
        <v>68</v>
      </c>
      <c r="R1576" s="69">
        <v>2.4700000000000002</v>
      </c>
      <c r="S1576" s="69">
        <v>246.54</v>
      </c>
      <c r="X1576" s="2">
        <f t="shared" si="72"/>
        <v>0.32</v>
      </c>
      <c r="Y1576" s="2">
        <f>SUMIF(收盤價!A:A,A1576,收盤價!C:C)</f>
        <v>269.68</v>
      </c>
      <c r="Z1576" s="2">
        <f t="shared" si="73"/>
        <v>582670.13599999994</v>
      </c>
      <c r="AA1576" s="2">
        <f t="shared" si="74"/>
        <v>4406463.3279999997</v>
      </c>
    </row>
    <row r="1577" spans="1:27" ht="14.5" customHeight="1">
      <c r="A1577" s="7" t="s">
        <v>6214</v>
      </c>
      <c r="B1577" s="8" t="s">
        <v>3239</v>
      </c>
      <c r="C1577" s="27">
        <v>1227636</v>
      </c>
      <c r="D1577" s="27">
        <v>1217463</v>
      </c>
      <c r="E1577" s="69">
        <v>0.84</v>
      </c>
      <c r="F1577" s="27">
        <v>62872</v>
      </c>
      <c r="G1577" s="27">
        <v>58446</v>
      </c>
      <c r="H1577" s="27">
        <v>7843</v>
      </c>
      <c r="I1577" s="27">
        <v>2499</v>
      </c>
      <c r="J1577" s="27">
        <v>60398</v>
      </c>
      <c r="K1577" s="27">
        <v>45033</v>
      </c>
      <c r="L1577" s="69">
        <v>34.119999999999997</v>
      </c>
      <c r="M1577" s="27">
        <v>273234</v>
      </c>
      <c r="N1577" s="69">
        <v>2.57</v>
      </c>
      <c r="O1577" s="69">
        <v>2.23</v>
      </c>
      <c r="P1577" s="69">
        <v>19.09</v>
      </c>
      <c r="Q1577" s="27">
        <v>55</v>
      </c>
      <c r="R1577" s="69">
        <v>2.77</v>
      </c>
      <c r="S1577" s="69">
        <v>253.79</v>
      </c>
      <c r="X1577" s="2">
        <f t="shared" si="72"/>
        <v>0.45</v>
      </c>
      <c r="Y1577" s="2">
        <f>SUMIF(收盤價!A:A,A1577,收盤價!C:C)</f>
        <v>92.740000000000009</v>
      </c>
      <c r="Z1577" s="2">
        <f t="shared" si="73"/>
        <v>521603.70599999995</v>
      </c>
      <c r="AA1577" s="2">
        <f t="shared" si="74"/>
        <v>2533972.1160000004</v>
      </c>
    </row>
    <row r="1578" spans="1:27" ht="14.5" customHeight="1">
      <c r="A1578" s="7" t="s">
        <v>6942</v>
      </c>
      <c r="B1578" s="8" t="s">
        <v>3319</v>
      </c>
      <c r="C1578" s="27">
        <v>4028429</v>
      </c>
      <c r="D1578" s="27">
        <v>3700938</v>
      </c>
      <c r="E1578" s="69">
        <v>8.85</v>
      </c>
      <c r="F1578" s="27">
        <v>132976</v>
      </c>
      <c r="G1578" s="27">
        <v>88859</v>
      </c>
      <c r="H1578" s="27">
        <v>-7045</v>
      </c>
      <c r="I1578" s="27">
        <v>1629</v>
      </c>
      <c r="J1578" s="27">
        <v>102702</v>
      </c>
      <c r="K1578" s="27">
        <v>78077</v>
      </c>
      <c r="L1578" s="69">
        <v>31.54</v>
      </c>
      <c r="M1578" s="27">
        <v>885600</v>
      </c>
      <c r="N1578" s="69">
        <v>1.44</v>
      </c>
      <c r="O1578" s="69">
        <v>1.1100000000000001</v>
      </c>
      <c r="P1578" s="69">
        <v>14.81</v>
      </c>
      <c r="Q1578" s="27">
        <v>44</v>
      </c>
      <c r="R1578" s="69">
        <v>1.72</v>
      </c>
      <c r="S1578" s="69">
        <v>113.75</v>
      </c>
      <c r="X1578" s="2">
        <f t="shared" si="72"/>
        <v>0.56000000000000005</v>
      </c>
      <c r="Y1578" s="2">
        <f>SUMIF(收盤價!A:A,A1578,收盤價!C:C)</f>
        <v>17.149999999999999</v>
      </c>
      <c r="Z1578" s="2">
        <f t="shared" si="73"/>
        <v>1311573.6000000001</v>
      </c>
      <c r="AA1578" s="2">
        <f t="shared" si="74"/>
        <v>1518803.9999999998</v>
      </c>
    </row>
    <row r="1579" spans="1:27" ht="14.5" customHeight="1">
      <c r="A1579" s="7" t="s">
        <v>6943</v>
      </c>
      <c r="B1579" s="8" t="s">
        <v>3383</v>
      </c>
      <c r="C1579" s="27">
        <v>1229233</v>
      </c>
      <c r="D1579" s="27">
        <v>1189421</v>
      </c>
      <c r="E1579" s="69">
        <v>3.35</v>
      </c>
      <c r="F1579" s="27">
        <v>311901</v>
      </c>
      <c r="G1579" s="27">
        <v>324773</v>
      </c>
      <c r="H1579" s="27">
        <v>23467</v>
      </c>
      <c r="I1579" s="27">
        <v>24236</v>
      </c>
      <c r="J1579" s="27">
        <v>266358</v>
      </c>
      <c r="K1579" s="27">
        <v>273368</v>
      </c>
      <c r="L1579" s="69">
        <v>-2.56</v>
      </c>
      <c r="M1579" s="27">
        <v>282107</v>
      </c>
      <c r="N1579" s="69">
        <v>9.44</v>
      </c>
      <c r="O1579" s="69">
        <v>9.69</v>
      </c>
      <c r="P1579" s="69">
        <v>37.81</v>
      </c>
      <c r="Q1579" s="27">
        <v>79</v>
      </c>
      <c r="R1579" s="69">
        <v>4.16</v>
      </c>
      <c r="S1579" s="69">
        <v>380.93</v>
      </c>
      <c r="X1579" s="2">
        <f t="shared" si="72"/>
        <v>0.21</v>
      </c>
      <c r="Y1579" s="2">
        <f>SUMIF(收盤價!A:A,A1579,收盤價!C:C)</f>
        <v>115.5</v>
      </c>
      <c r="Z1579" s="2">
        <f t="shared" si="73"/>
        <v>1066646.567</v>
      </c>
      <c r="AA1579" s="2">
        <f t="shared" si="74"/>
        <v>3258335.85</v>
      </c>
    </row>
    <row r="1580" spans="1:27" ht="14.5" customHeight="1">
      <c r="A1580" s="7" t="s">
        <v>6944</v>
      </c>
      <c r="B1580" s="8" t="s">
        <v>1973</v>
      </c>
      <c r="C1580" s="27">
        <v>21986662</v>
      </c>
      <c r="D1580" s="27">
        <v>20887073</v>
      </c>
      <c r="E1580" s="69">
        <v>5.26</v>
      </c>
      <c r="F1580" s="27">
        <v>1432559</v>
      </c>
      <c r="G1580" s="27">
        <v>744519</v>
      </c>
      <c r="H1580" s="27">
        <v>-185056</v>
      </c>
      <c r="I1580" s="27">
        <v>-275007</v>
      </c>
      <c r="J1580" s="27">
        <v>1038929</v>
      </c>
      <c r="K1580" s="27">
        <v>389003</v>
      </c>
      <c r="L1580" s="69">
        <v>167.07</v>
      </c>
      <c r="M1580" s="27">
        <v>4984312</v>
      </c>
      <c r="N1580" s="69">
        <v>2.35</v>
      </c>
      <c r="O1580" s="69">
        <v>0.98</v>
      </c>
      <c r="P1580" s="69">
        <v>15.65</v>
      </c>
      <c r="Q1580" s="27">
        <v>36</v>
      </c>
      <c r="R1580" s="69">
        <v>1.05</v>
      </c>
      <c r="S1580" s="69">
        <v>39.81</v>
      </c>
      <c r="X1580" s="2">
        <f t="shared" si="72"/>
        <v>0.64</v>
      </c>
      <c r="Y1580" s="2">
        <f>SUMIF(收盤價!A:A,A1580,收盤價!C:C)</f>
        <v>22.45</v>
      </c>
      <c r="Z1580" s="2">
        <f t="shared" si="73"/>
        <v>7800448.2799999993</v>
      </c>
      <c r="AA1580" s="2">
        <f t="shared" si="74"/>
        <v>11189780.439999999</v>
      </c>
    </row>
    <row r="1581" spans="1:27" ht="14.5" customHeight="1">
      <c r="A1581" s="7" t="s">
        <v>6945</v>
      </c>
      <c r="B1581" s="8" t="s">
        <v>2053</v>
      </c>
      <c r="C1581" s="27">
        <v>111727</v>
      </c>
      <c r="D1581" s="27">
        <v>212718</v>
      </c>
      <c r="E1581" s="69">
        <v>-47.48</v>
      </c>
      <c r="F1581" s="27">
        <v>-26549</v>
      </c>
      <c r="G1581" s="27">
        <v>-29338</v>
      </c>
      <c r="H1581" s="27">
        <v>12432</v>
      </c>
      <c r="I1581" s="27">
        <v>2261</v>
      </c>
      <c r="J1581" s="27">
        <v>-17634</v>
      </c>
      <c r="K1581" s="27">
        <v>-27255</v>
      </c>
      <c r="L1581" s="69">
        <v>35.299999999999997</v>
      </c>
      <c r="M1581" s="27">
        <v>290252</v>
      </c>
      <c r="N1581" s="69">
        <v>-0.61</v>
      </c>
      <c r="O1581" s="69">
        <v>-0.94</v>
      </c>
      <c r="P1581" s="69">
        <v>5.63</v>
      </c>
      <c r="Q1581" s="27">
        <v>88</v>
      </c>
      <c r="R1581" s="69">
        <v>4.4000000000000004</v>
      </c>
      <c r="S1581" s="69">
        <v>318.05</v>
      </c>
      <c r="X1581" s="2">
        <f t="shared" si="72"/>
        <v>0.12</v>
      </c>
      <c r="Y1581" s="2">
        <f>SUMIF(收盤價!A:A,A1581,收盤價!C:C)</f>
        <v>21.75</v>
      </c>
      <c r="Z1581" s="2">
        <f t="shared" si="73"/>
        <v>163411.87599999999</v>
      </c>
      <c r="AA1581" s="2">
        <f t="shared" si="74"/>
        <v>631298.1</v>
      </c>
    </row>
    <row r="1582" spans="1:27" ht="14.5" customHeight="1">
      <c r="A1582" s="7" t="s">
        <v>6946</v>
      </c>
      <c r="B1582" s="8" t="s">
        <v>2075</v>
      </c>
      <c r="C1582" s="27">
        <v>1154228</v>
      </c>
      <c r="D1582" s="27">
        <v>1136575</v>
      </c>
      <c r="E1582" s="69">
        <v>1.55</v>
      </c>
      <c r="F1582" s="27">
        <v>66663</v>
      </c>
      <c r="G1582" s="27">
        <v>59969</v>
      </c>
      <c r="H1582" s="27">
        <v>32486</v>
      </c>
      <c r="I1582" s="27">
        <v>15650</v>
      </c>
      <c r="J1582" s="27">
        <v>76441</v>
      </c>
      <c r="K1582" s="27">
        <v>59165</v>
      </c>
      <c r="L1582" s="69">
        <v>29.2</v>
      </c>
      <c r="M1582" s="27">
        <v>362888</v>
      </c>
      <c r="N1582" s="69">
        <v>2.11</v>
      </c>
      <c r="O1582" s="69">
        <v>1.63</v>
      </c>
      <c r="P1582" s="69">
        <v>22.8</v>
      </c>
      <c r="Q1582" s="27">
        <v>73</v>
      </c>
      <c r="R1582" s="69">
        <v>3.12</v>
      </c>
      <c r="S1582" s="69">
        <v>271.64999999999998</v>
      </c>
      <c r="X1582" s="2">
        <f t="shared" si="72"/>
        <v>0.27</v>
      </c>
      <c r="Y1582" s="2">
        <f>SUMIF(收盤價!A:A,A1582,收盤價!C:C)</f>
        <v>0</v>
      </c>
      <c r="Z1582" s="2">
        <f t="shared" si="73"/>
        <v>827384.64</v>
      </c>
      <c r="AA1582" s="2">
        <f t="shared" si="74"/>
        <v>0</v>
      </c>
    </row>
    <row r="1583" spans="1:27" ht="14.5" customHeight="1">
      <c r="A1583" s="7" t="s">
        <v>6947</v>
      </c>
      <c r="B1583" s="8" t="s">
        <v>2091</v>
      </c>
      <c r="C1583" s="27">
        <v>2061387</v>
      </c>
      <c r="D1583" s="27">
        <v>1484369</v>
      </c>
      <c r="E1583" s="69">
        <v>38.869999999999997</v>
      </c>
      <c r="F1583" s="27">
        <v>414798</v>
      </c>
      <c r="G1583" s="27">
        <v>265392</v>
      </c>
      <c r="H1583" s="27">
        <v>-10743</v>
      </c>
      <c r="I1583" s="27">
        <v>72161</v>
      </c>
      <c r="J1583" s="27">
        <v>309970</v>
      </c>
      <c r="K1583" s="27">
        <v>278684</v>
      </c>
      <c r="L1583" s="69">
        <v>11.23</v>
      </c>
      <c r="M1583" s="27">
        <v>292160</v>
      </c>
      <c r="N1583" s="69">
        <v>11.11</v>
      </c>
      <c r="O1583" s="69">
        <v>11.29</v>
      </c>
      <c r="P1583" s="69">
        <v>96.28</v>
      </c>
      <c r="Q1583" s="27">
        <v>56</v>
      </c>
      <c r="R1583" s="69">
        <v>1.59</v>
      </c>
      <c r="S1583" s="69">
        <v>97.38</v>
      </c>
      <c r="X1583" s="2">
        <f t="shared" si="72"/>
        <v>0.44</v>
      </c>
      <c r="Y1583" s="2">
        <f>SUMIF(收盤價!A:A,A1583,收盤價!C:C)</f>
        <v>278.5</v>
      </c>
      <c r="Z1583" s="2">
        <f t="shared" si="73"/>
        <v>2812916.48</v>
      </c>
      <c r="AA1583" s="2">
        <f t="shared" si="74"/>
        <v>8136656</v>
      </c>
    </row>
    <row r="1584" spans="1:27" ht="14.5" customHeight="1">
      <c r="A1584" s="7" t="s">
        <v>6948</v>
      </c>
      <c r="B1584" s="8" t="s">
        <v>2171</v>
      </c>
      <c r="C1584" s="27">
        <v>849954</v>
      </c>
      <c r="D1584" s="27">
        <v>1241581</v>
      </c>
      <c r="E1584" s="69">
        <v>-31.54</v>
      </c>
      <c r="F1584" s="27">
        <v>8114</v>
      </c>
      <c r="G1584" s="27">
        <v>88708</v>
      </c>
      <c r="H1584" s="27">
        <v>1676</v>
      </c>
      <c r="I1584" s="27">
        <v>22720</v>
      </c>
      <c r="J1584" s="27">
        <v>7411</v>
      </c>
      <c r="K1584" s="27">
        <v>75511</v>
      </c>
      <c r="L1584" s="69">
        <v>-90.19</v>
      </c>
      <c r="M1584" s="27">
        <v>441093</v>
      </c>
      <c r="N1584" s="69">
        <v>0.17</v>
      </c>
      <c r="O1584" s="69">
        <v>1.75</v>
      </c>
      <c r="P1584" s="69">
        <v>13.34</v>
      </c>
      <c r="Q1584" s="27">
        <v>68</v>
      </c>
      <c r="R1584" s="69">
        <v>3.51</v>
      </c>
      <c r="S1584" s="69">
        <v>308.12</v>
      </c>
      <c r="X1584" s="2">
        <f t="shared" si="72"/>
        <v>0.32</v>
      </c>
      <c r="Y1584" s="2">
        <f>SUMIF(收盤價!A:A,A1584,收盤價!C:C)</f>
        <v>16.45</v>
      </c>
      <c r="Z1584" s="2">
        <f t="shared" si="73"/>
        <v>588418.06200000003</v>
      </c>
      <c r="AA1584" s="2">
        <f t="shared" si="74"/>
        <v>725597.98499999999</v>
      </c>
    </row>
    <row r="1585" spans="1:27" ht="14.5" customHeight="1">
      <c r="A1585" s="7" t="s">
        <v>6949</v>
      </c>
      <c r="B1585" s="8" t="s">
        <v>2177</v>
      </c>
      <c r="C1585" s="27">
        <v>2519925</v>
      </c>
      <c r="D1585" s="27">
        <v>2211612</v>
      </c>
      <c r="E1585" s="69">
        <v>13.94</v>
      </c>
      <c r="F1585" s="27">
        <v>-211114</v>
      </c>
      <c r="G1585" s="27">
        <v>-282065</v>
      </c>
      <c r="H1585" s="27">
        <v>-17200</v>
      </c>
      <c r="I1585" s="27">
        <v>-15106</v>
      </c>
      <c r="J1585" s="27">
        <v>76927</v>
      </c>
      <c r="K1585" s="27">
        <v>-189798</v>
      </c>
      <c r="L1585" s="69">
        <v>140.53</v>
      </c>
      <c r="M1585" s="27">
        <v>935751</v>
      </c>
      <c r="N1585" s="69">
        <v>1.1000000000000001</v>
      </c>
      <c r="O1585" s="69">
        <v>-2.99</v>
      </c>
      <c r="P1585" s="69">
        <v>43.44</v>
      </c>
      <c r="Q1585" s="27">
        <v>46</v>
      </c>
      <c r="R1585" s="69">
        <v>1</v>
      </c>
      <c r="S1585" s="69">
        <v>99.58</v>
      </c>
      <c r="X1585" s="2">
        <f t="shared" si="72"/>
        <v>0.54</v>
      </c>
      <c r="Y1585" s="2">
        <f>SUMIF(收盤價!A:A,A1585,收盤價!C:C)</f>
        <v>48</v>
      </c>
      <c r="Z1585" s="2">
        <f t="shared" si="73"/>
        <v>4064902.3439999996</v>
      </c>
      <c r="AA1585" s="2">
        <f t="shared" si="74"/>
        <v>4491604.8</v>
      </c>
    </row>
    <row r="1586" spans="1:27" ht="14.5" customHeight="1">
      <c r="A1586" s="7" t="s">
        <v>6950</v>
      </c>
      <c r="B1586" s="8" t="s">
        <v>2187</v>
      </c>
      <c r="C1586" s="27">
        <v>2502081</v>
      </c>
      <c r="D1586" s="27">
        <v>2488090</v>
      </c>
      <c r="E1586" s="69">
        <v>0.56000000000000005</v>
      </c>
      <c r="F1586" s="27">
        <v>272179</v>
      </c>
      <c r="G1586" s="27">
        <v>227510</v>
      </c>
      <c r="H1586" s="27">
        <v>-16164</v>
      </c>
      <c r="I1586" s="27">
        <v>25845</v>
      </c>
      <c r="J1586" s="27">
        <v>208395</v>
      </c>
      <c r="K1586" s="27">
        <v>209316</v>
      </c>
      <c r="L1586" s="69">
        <v>-0.44</v>
      </c>
      <c r="M1586" s="27">
        <v>960896</v>
      </c>
      <c r="N1586" s="69">
        <v>2.21</v>
      </c>
      <c r="O1586" s="69">
        <v>2.2000000000000002</v>
      </c>
      <c r="P1586" s="69">
        <v>19.09</v>
      </c>
      <c r="Q1586" s="27">
        <v>59</v>
      </c>
      <c r="R1586" s="69">
        <v>1.72</v>
      </c>
      <c r="S1586" s="69">
        <v>119.79</v>
      </c>
      <c r="X1586" s="2">
        <f t="shared" si="72"/>
        <v>0.41</v>
      </c>
      <c r="Y1586" s="2">
        <f>SUMIF(收盤價!A:A,A1586,收盤價!C:C)</f>
        <v>24.85</v>
      </c>
      <c r="Z1586" s="2">
        <f t="shared" si="73"/>
        <v>1834350.4640000002</v>
      </c>
      <c r="AA1586" s="2">
        <f t="shared" si="74"/>
        <v>2387826.56</v>
      </c>
    </row>
    <row r="1587" spans="1:27" ht="14.5" customHeight="1">
      <c r="A1587" s="7" t="s">
        <v>6951</v>
      </c>
      <c r="B1587" s="8" t="s">
        <v>2201</v>
      </c>
      <c r="C1587" s="27">
        <v>10247561</v>
      </c>
      <c r="D1587" s="27">
        <v>7654265</v>
      </c>
      <c r="E1587" s="69">
        <v>33.880000000000003</v>
      </c>
      <c r="F1587" s="27">
        <v>1188268</v>
      </c>
      <c r="G1587" s="27">
        <v>182386</v>
      </c>
      <c r="H1587" s="27">
        <v>25257</v>
      </c>
      <c r="I1587" s="27">
        <v>111916</v>
      </c>
      <c r="J1587" s="27">
        <v>963971</v>
      </c>
      <c r="K1587" s="27">
        <v>232987</v>
      </c>
      <c r="L1587" s="69">
        <v>313.74</v>
      </c>
      <c r="M1587" s="27">
        <v>864498</v>
      </c>
      <c r="N1587" s="69">
        <v>11.71</v>
      </c>
      <c r="O1587" s="69">
        <v>2.9</v>
      </c>
      <c r="P1587" s="69">
        <v>41.33</v>
      </c>
      <c r="Q1587" s="27">
        <v>46</v>
      </c>
      <c r="R1587" s="69">
        <v>1.48</v>
      </c>
      <c r="S1587" s="69">
        <v>113.78</v>
      </c>
      <c r="X1587" s="2">
        <f t="shared" si="72"/>
        <v>0.54</v>
      </c>
      <c r="Y1587" s="2">
        <f>SUMIF(收盤價!A:A,A1587,收盤價!C:C)</f>
        <v>220</v>
      </c>
      <c r="Z1587" s="2">
        <f t="shared" si="73"/>
        <v>3572970.2339999997</v>
      </c>
      <c r="AA1587" s="2">
        <f t="shared" si="74"/>
        <v>19018956</v>
      </c>
    </row>
    <row r="1588" spans="1:27" ht="14.5" customHeight="1">
      <c r="A1588" s="7" t="s">
        <v>6952</v>
      </c>
      <c r="B1588" s="8" t="s">
        <v>2219</v>
      </c>
      <c r="C1588" s="27">
        <v>784901</v>
      </c>
      <c r="D1588" s="27">
        <v>815176</v>
      </c>
      <c r="E1588" s="69">
        <v>-3.71</v>
      </c>
      <c r="F1588" s="27">
        <v>30255</v>
      </c>
      <c r="G1588" s="27">
        <v>10485</v>
      </c>
      <c r="H1588" s="27">
        <v>5576</v>
      </c>
      <c r="I1588" s="27">
        <v>9318</v>
      </c>
      <c r="J1588" s="27">
        <v>28766</v>
      </c>
      <c r="K1588" s="27">
        <v>14230</v>
      </c>
      <c r="L1588" s="69">
        <v>102.15</v>
      </c>
      <c r="M1588" s="27">
        <v>432898</v>
      </c>
      <c r="N1588" s="69">
        <v>0.66</v>
      </c>
      <c r="O1588" s="69">
        <v>0.33</v>
      </c>
      <c r="P1588" s="69">
        <v>15.22</v>
      </c>
      <c r="Q1588" s="27">
        <v>83</v>
      </c>
      <c r="R1588" s="69">
        <v>4.8</v>
      </c>
      <c r="S1588" s="69">
        <v>294.97000000000003</v>
      </c>
      <c r="X1588" s="2">
        <f t="shared" si="72"/>
        <v>0.17</v>
      </c>
      <c r="Y1588" s="2">
        <f>SUMIF(收盤價!A:A,A1588,收盤價!C:C)</f>
        <v>16.649999999999999</v>
      </c>
      <c r="Z1588" s="2">
        <f t="shared" si="73"/>
        <v>658870.75600000005</v>
      </c>
      <c r="AA1588" s="2">
        <f t="shared" si="74"/>
        <v>720775.16999999993</v>
      </c>
    </row>
    <row r="1589" spans="1:27" ht="14.5" customHeight="1">
      <c r="A1589" s="7" t="s">
        <v>6953</v>
      </c>
      <c r="B1589" s="8" t="s">
        <v>2229</v>
      </c>
      <c r="C1589" s="27">
        <v>2753767</v>
      </c>
      <c r="D1589" s="27">
        <v>3719899</v>
      </c>
      <c r="E1589" s="69">
        <v>-25.97</v>
      </c>
      <c r="F1589" s="27">
        <v>250491</v>
      </c>
      <c r="G1589" s="27">
        <v>301746</v>
      </c>
      <c r="H1589" s="27">
        <v>14195</v>
      </c>
      <c r="I1589" s="27">
        <v>43902</v>
      </c>
      <c r="J1589" s="27">
        <v>190646</v>
      </c>
      <c r="K1589" s="27">
        <v>259884</v>
      </c>
      <c r="L1589" s="69">
        <v>-26.64</v>
      </c>
      <c r="M1589" s="27">
        <v>730476</v>
      </c>
      <c r="N1589" s="69">
        <v>2.61</v>
      </c>
      <c r="O1589" s="69">
        <v>3.56</v>
      </c>
      <c r="P1589" s="69">
        <v>19.100000000000001</v>
      </c>
      <c r="Q1589" s="27">
        <v>47</v>
      </c>
      <c r="R1589" s="69">
        <v>1.72</v>
      </c>
      <c r="S1589" s="69">
        <v>146.85</v>
      </c>
      <c r="X1589" s="2">
        <f t="shared" si="72"/>
        <v>0.53</v>
      </c>
      <c r="Y1589" s="2">
        <f>SUMIF(收盤價!A:A,A1589,收盤價!C:C)</f>
        <v>31.15</v>
      </c>
      <c r="Z1589" s="2">
        <f t="shared" si="73"/>
        <v>1395209.1600000001</v>
      </c>
      <c r="AA1589" s="2">
        <f t="shared" si="74"/>
        <v>2275432.7399999998</v>
      </c>
    </row>
    <row r="1590" spans="1:27" ht="14.5" customHeight="1">
      <c r="A1590" s="7" t="s">
        <v>6954</v>
      </c>
      <c r="B1590" s="8" t="s">
        <v>2261</v>
      </c>
      <c r="C1590" s="27">
        <v>1476277</v>
      </c>
      <c r="D1590" s="27">
        <v>1909640</v>
      </c>
      <c r="E1590" s="69">
        <v>-22.69</v>
      </c>
      <c r="F1590" s="27">
        <v>-391385</v>
      </c>
      <c r="G1590" s="27">
        <v>-156751</v>
      </c>
      <c r="H1590" s="27">
        <v>-29724</v>
      </c>
      <c r="I1590" s="27">
        <v>106542</v>
      </c>
      <c r="J1590" s="27">
        <v>-433467</v>
      </c>
      <c r="K1590" s="27">
        <v>-50558</v>
      </c>
      <c r="L1590" s="69">
        <v>-757.37</v>
      </c>
      <c r="M1590" s="27">
        <v>641730</v>
      </c>
      <c r="N1590" s="69">
        <v>-6.89</v>
      </c>
      <c r="O1590" s="69">
        <v>-0.63</v>
      </c>
      <c r="P1590" s="69">
        <v>37.46</v>
      </c>
      <c r="Q1590" s="27">
        <v>66</v>
      </c>
      <c r="R1590" s="69">
        <v>2.36</v>
      </c>
      <c r="S1590" s="69">
        <v>169.71</v>
      </c>
      <c r="X1590" s="2">
        <f t="shared" si="72"/>
        <v>0.34</v>
      </c>
      <c r="Y1590" s="2">
        <f>SUMIF(收盤價!A:A,A1590,收盤價!C:C)</f>
        <v>26.15</v>
      </c>
      <c r="Z1590" s="2">
        <f t="shared" si="73"/>
        <v>2403920.58</v>
      </c>
      <c r="AA1590" s="2">
        <f t="shared" si="74"/>
        <v>1678123.95</v>
      </c>
    </row>
    <row r="1591" spans="1:27" ht="14.5" customHeight="1">
      <c r="A1591" s="7" t="s">
        <v>6955</v>
      </c>
      <c r="B1591" s="8" t="s">
        <v>2265</v>
      </c>
      <c r="C1591" s="27">
        <v>1016179</v>
      </c>
      <c r="D1591" s="27">
        <v>1148094</v>
      </c>
      <c r="E1591" s="69">
        <v>-11.49</v>
      </c>
      <c r="F1591" s="27">
        <v>-330483</v>
      </c>
      <c r="G1591" s="27">
        <v>-254754</v>
      </c>
      <c r="H1591" s="27">
        <v>-20711</v>
      </c>
      <c r="I1591" s="27">
        <v>146163</v>
      </c>
      <c r="J1591" s="27">
        <v>-332477</v>
      </c>
      <c r="K1591" s="27">
        <v>-90746</v>
      </c>
      <c r="L1591" s="69">
        <v>-266.38</v>
      </c>
      <c r="M1591" s="27">
        <v>1023157</v>
      </c>
      <c r="N1591" s="69">
        <v>-3.41</v>
      </c>
      <c r="O1591" s="69">
        <v>-0.96</v>
      </c>
      <c r="P1591" s="69">
        <v>13.71</v>
      </c>
      <c r="Q1591" s="27">
        <v>47</v>
      </c>
      <c r="R1591" s="69">
        <v>0.95</v>
      </c>
      <c r="S1591" s="69">
        <v>84.3</v>
      </c>
      <c r="X1591" s="2">
        <f t="shared" si="72"/>
        <v>0.53</v>
      </c>
      <c r="Y1591" s="2">
        <f>SUMIF(收盤價!A:A,A1591,收盤價!C:C)</f>
        <v>29.7</v>
      </c>
      <c r="Z1591" s="2">
        <f t="shared" si="73"/>
        <v>1402748.247</v>
      </c>
      <c r="AA1591" s="2">
        <f t="shared" si="74"/>
        <v>3038776.29</v>
      </c>
    </row>
    <row r="1592" spans="1:27" ht="14.5" customHeight="1">
      <c r="A1592" s="7" t="s">
        <v>6956</v>
      </c>
      <c r="B1592" s="8" t="s">
        <v>2293</v>
      </c>
      <c r="C1592" s="27">
        <v>2240220</v>
      </c>
      <c r="D1592" s="27">
        <v>1877481</v>
      </c>
      <c r="E1592" s="69">
        <v>19.32</v>
      </c>
      <c r="F1592" s="27">
        <v>366827</v>
      </c>
      <c r="G1592" s="27">
        <v>234618</v>
      </c>
      <c r="H1592" s="27">
        <v>-9647</v>
      </c>
      <c r="I1592" s="27">
        <v>18387</v>
      </c>
      <c r="J1592" s="27">
        <v>292947</v>
      </c>
      <c r="K1592" s="27">
        <v>208915</v>
      </c>
      <c r="L1592" s="69">
        <v>40.22</v>
      </c>
      <c r="M1592" s="27">
        <v>493211</v>
      </c>
      <c r="N1592" s="69">
        <v>5.96</v>
      </c>
      <c r="O1592" s="69">
        <v>4.24</v>
      </c>
      <c r="P1592" s="69">
        <v>22.11</v>
      </c>
      <c r="Q1592" s="27">
        <v>56</v>
      </c>
      <c r="R1592" s="69">
        <v>1.83</v>
      </c>
      <c r="S1592" s="69">
        <v>137.08000000000001</v>
      </c>
      <c r="X1592" s="2">
        <f t="shared" si="72"/>
        <v>0.44</v>
      </c>
      <c r="Y1592" s="2">
        <f>SUMIF(收盤價!A:A,A1592,收盤價!C:C)</f>
        <v>83.9</v>
      </c>
      <c r="Z1592" s="2">
        <f t="shared" si="73"/>
        <v>1090489.5209999999</v>
      </c>
      <c r="AA1592" s="2">
        <f t="shared" si="74"/>
        <v>4138040.2900000005</v>
      </c>
    </row>
    <row r="1593" spans="1:27" ht="14.5" customHeight="1">
      <c r="A1593" s="7" t="s">
        <v>6957</v>
      </c>
      <c r="B1593" s="8" t="s">
        <v>2299</v>
      </c>
      <c r="C1593" s="27">
        <v>2151647</v>
      </c>
      <c r="D1593" s="27">
        <v>1858922</v>
      </c>
      <c r="E1593" s="69">
        <v>15.75</v>
      </c>
      <c r="F1593" s="27">
        <v>298173</v>
      </c>
      <c r="G1593" s="27">
        <v>197872</v>
      </c>
      <c r="H1593" s="27">
        <v>-25014</v>
      </c>
      <c r="I1593" s="27">
        <v>25643</v>
      </c>
      <c r="J1593" s="27">
        <v>212461</v>
      </c>
      <c r="K1593" s="27">
        <v>177098</v>
      </c>
      <c r="L1593" s="69">
        <v>19.97</v>
      </c>
      <c r="M1593" s="27">
        <v>567749</v>
      </c>
      <c r="N1593" s="69">
        <v>3.74</v>
      </c>
      <c r="O1593" s="69">
        <v>3.12</v>
      </c>
      <c r="P1593" s="69">
        <v>49.04</v>
      </c>
      <c r="Q1593" s="27">
        <v>69</v>
      </c>
      <c r="R1593" s="69">
        <v>2.71</v>
      </c>
      <c r="S1593" s="69">
        <v>256.89</v>
      </c>
      <c r="X1593" s="2">
        <f t="shared" si="72"/>
        <v>0.31</v>
      </c>
      <c r="Y1593" s="2">
        <f>SUMIF(收盤價!A:A,A1593,收盤價!C:C)</f>
        <v>53.5</v>
      </c>
      <c r="Z1593" s="2">
        <f t="shared" si="73"/>
        <v>2784241.0959999999</v>
      </c>
      <c r="AA1593" s="2">
        <f t="shared" si="74"/>
        <v>3037457.15</v>
      </c>
    </row>
    <row r="1594" spans="1:27" ht="14.5" customHeight="1">
      <c r="A1594" s="7" t="s">
        <v>6958</v>
      </c>
      <c r="B1594" s="8" t="s">
        <v>2301</v>
      </c>
      <c r="C1594" s="27">
        <v>7260042</v>
      </c>
      <c r="D1594" s="27">
        <v>7437613</v>
      </c>
      <c r="E1594" s="69">
        <v>-2.39</v>
      </c>
      <c r="F1594" s="27">
        <v>-204139</v>
      </c>
      <c r="G1594" s="27">
        <v>-248618</v>
      </c>
      <c r="H1594" s="27">
        <v>-30690</v>
      </c>
      <c r="I1594" s="27">
        <v>-51643</v>
      </c>
      <c r="J1594" s="27">
        <v>-191161</v>
      </c>
      <c r="K1594" s="27">
        <v>-260968</v>
      </c>
      <c r="L1594" s="69">
        <v>26.75</v>
      </c>
      <c r="M1594" s="27">
        <v>855929</v>
      </c>
      <c r="N1594" s="69">
        <v>-2.23</v>
      </c>
      <c r="O1594" s="69">
        <v>-3.05</v>
      </c>
      <c r="P1594" s="69">
        <v>37.67</v>
      </c>
      <c r="Q1594" s="27">
        <v>34</v>
      </c>
      <c r="R1594" s="69">
        <v>1.23</v>
      </c>
      <c r="S1594" s="69">
        <v>96.74</v>
      </c>
      <c r="X1594" s="2">
        <f t="shared" si="72"/>
        <v>0.66</v>
      </c>
      <c r="Y1594" s="2">
        <f>SUMIF(收盤價!A:A,A1594,收盤價!C:C)</f>
        <v>72.3</v>
      </c>
      <c r="Z1594" s="2">
        <f t="shared" si="73"/>
        <v>3224284.5430000001</v>
      </c>
      <c r="AA1594" s="2">
        <f t="shared" si="74"/>
        <v>6188366.6699999999</v>
      </c>
    </row>
    <row r="1595" spans="1:27" ht="14.5" customHeight="1">
      <c r="A1595" s="7" t="s">
        <v>6959</v>
      </c>
      <c r="B1595" s="8" t="s">
        <v>2317</v>
      </c>
      <c r="C1595" s="27">
        <v>750362</v>
      </c>
      <c r="D1595" s="27">
        <v>916181</v>
      </c>
      <c r="E1595" s="69">
        <v>-18.100000000000001</v>
      </c>
      <c r="F1595" s="27">
        <v>108396</v>
      </c>
      <c r="G1595" s="27">
        <v>106625</v>
      </c>
      <c r="H1595" s="27">
        <v>8595</v>
      </c>
      <c r="I1595" s="27">
        <v>27630</v>
      </c>
      <c r="J1595" s="27">
        <v>94751</v>
      </c>
      <c r="K1595" s="27">
        <v>115571</v>
      </c>
      <c r="L1595" s="69">
        <v>-18.010000000000002</v>
      </c>
      <c r="M1595" s="27">
        <v>394707</v>
      </c>
      <c r="N1595" s="69">
        <v>2.4300000000000002</v>
      </c>
      <c r="O1595" s="69">
        <v>3.11</v>
      </c>
      <c r="P1595" s="69">
        <v>17.579999999999998</v>
      </c>
      <c r="Q1595" s="27">
        <v>73</v>
      </c>
      <c r="R1595" s="69">
        <v>3.32</v>
      </c>
      <c r="S1595" s="69">
        <v>288.88</v>
      </c>
      <c r="X1595" s="2">
        <f t="shared" si="72"/>
        <v>0.27</v>
      </c>
      <c r="Y1595" s="2">
        <f>SUMIF(收盤價!A:A,A1595,收盤價!C:C)</f>
        <v>29.85</v>
      </c>
      <c r="Z1595" s="2">
        <f t="shared" si="73"/>
        <v>693894.90599999996</v>
      </c>
      <c r="AA1595" s="2">
        <f t="shared" si="74"/>
        <v>1178200.395</v>
      </c>
    </row>
    <row r="1596" spans="1:27" ht="14.5" customHeight="1">
      <c r="A1596" s="7" t="s">
        <v>6960</v>
      </c>
      <c r="B1596" s="8" t="s">
        <v>2321</v>
      </c>
      <c r="C1596" s="27">
        <v>2541447</v>
      </c>
      <c r="D1596" s="27">
        <v>2081046</v>
      </c>
      <c r="E1596" s="69">
        <v>22.12</v>
      </c>
      <c r="F1596" s="27">
        <v>325284</v>
      </c>
      <c r="G1596" s="27">
        <v>314018</v>
      </c>
      <c r="H1596" s="27">
        <v>-15636</v>
      </c>
      <c r="I1596" s="27">
        <v>6762</v>
      </c>
      <c r="J1596" s="27">
        <v>245943</v>
      </c>
      <c r="K1596" s="27">
        <v>256507</v>
      </c>
      <c r="L1596" s="69">
        <v>-4.12</v>
      </c>
      <c r="M1596" s="27">
        <v>623131</v>
      </c>
      <c r="N1596" s="69">
        <v>3.95</v>
      </c>
      <c r="O1596" s="69">
        <v>4.13</v>
      </c>
      <c r="P1596" s="69">
        <v>43.66</v>
      </c>
      <c r="Q1596" s="27">
        <v>64</v>
      </c>
      <c r="R1596" s="69">
        <v>2.2599999999999998</v>
      </c>
      <c r="S1596" s="69">
        <v>214.37</v>
      </c>
      <c r="X1596" s="2">
        <f t="shared" si="72"/>
        <v>0.36</v>
      </c>
      <c r="Y1596" s="2">
        <f>SUMIF(收盤價!A:A,A1596,收盤價!C:C)</f>
        <v>81.5</v>
      </c>
      <c r="Z1596" s="2">
        <f t="shared" si="73"/>
        <v>2720589.9459999995</v>
      </c>
      <c r="AA1596" s="2">
        <f t="shared" si="74"/>
        <v>5078517.6500000004</v>
      </c>
    </row>
    <row r="1597" spans="1:27" ht="14.5" customHeight="1">
      <c r="A1597" s="7" t="s">
        <v>6961</v>
      </c>
      <c r="B1597" s="8" t="s">
        <v>2339</v>
      </c>
      <c r="C1597" s="27">
        <v>2462390</v>
      </c>
      <c r="D1597" s="27">
        <v>2530613</v>
      </c>
      <c r="E1597" s="69">
        <v>-2.7</v>
      </c>
      <c r="F1597" s="27">
        <v>25864</v>
      </c>
      <c r="G1597" s="27">
        <v>84632</v>
      </c>
      <c r="H1597" s="27">
        <v>17481</v>
      </c>
      <c r="I1597" s="27">
        <v>19402</v>
      </c>
      <c r="J1597" s="27">
        <v>39500</v>
      </c>
      <c r="K1597" s="27">
        <v>73156</v>
      </c>
      <c r="L1597" s="69">
        <v>-46.01</v>
      </c>
      <c r="M1597" s="27">
        <v>450000</v>
      </c>
      <c r="N1597" s="69">
        <v>0.88</v>
      </c>
      <c r="O1597" s="69">
        <v>1.63</v>
      </c>
      <c r="P1597" s="69">
        <v>32.64</v>
      </c>
      <c r="Q1597" s="27">
        <v>51</v>
      </c>
      <c r="R1597" s="69">
        <v>1.47</v>
      </c>
      <c r="S1597" s="69">
        <v>65.040000000000006</v>
      </c>
      <c r="X1597" s="2">
        <f t="shared" si="72"/>
        <v>0.49</v>
      </c>
      <c r="Y1597" s="2">
        <f>SUMIF(收盤價!A:A,A1597,收盤價!C:C)</f>
        <v>33.5</v>
      </c>
      <c r="Z1597" s="2">
        <f t="shared" si="73"/>
        <v>1468800</v>
      </c>
      <c r="AA1597" s="2">
        <f t="shared" si="74"/>
        <v>1507500</v>
      </c>
    </row>
    <row r="1598" spans="1:27" ht="14.5" customHeight="1">
      <c r="A1598" s="7" t="s">
        <v>6962</v>
      </c>
      <c r="B1598" s="8" t="s">
        <v>2349</v>
      </c>
      <c r="C1598" s="27">
        <v>280860</v>
      </c>
      <c r="D1598" s="27">
        <v>234818</v>
      </c>
      <c r="E1598" s="69">
        <v>19.61</v>
      </c>
      <c r="F1598" s="27">
        <v>-64516</v>
      </c>
      <c r="G1598" s="27">
        <v>-95658</v>
      </c>
      <c r="H1598" s="27">
        <v>14516</v>
      </c>
      <c r="I1598" s="27">
        <v>12537</v>
      </c>
      <c r="J1598" s="27">
        <v>-41595</v>
      </c>
      <c r="K1598" s="27">
        <v>-58842</v>
      </c>
      <c r="L1598" s="69">
        <v>29.31</v>
      </c>
      <c r="M1598" s="27">
        <v>343687</v>
      </c>
      <c r="N1598" s="69">
        <v>-1.23</v>
      </c>
      <c r="O1598" s="69">
        <v>-1.8</v>
      </c>
      <c r="P1598" s="69">
        <v>10.01</v>
      </c>
      <c r="Q1598" s="27">
        <v>73</v>
      </c>
      <c r="R1598" s="69">
        <v>2.89</v>
      </c>
      <c r="S1598" s="69">
        <v>230.29</v>
      </c>
      <c r="X1598" s="2">
        <f t="shared" si="72"/>
        <v>0.27</v>
      </c>
      <c r="Y1598" s="2">
        <f>SUMIF(收盤價!A:A,A1598,收盤價!C:C)</f>
        <v>20.9</v>
      </c>
      <c r="Z1598" s="2">
        <f t="shared" si="73"/>
        <v>344030.68700000003</v>
      </c>
      <c r="AA1598" s="2">
        <f t="shared" si="74"/>
        <v>718305.83</v>
      </c>
    </row>
    <row r="1599" spans="1:27" ht="14.5" customHeight="1">
      <c r="A1599" s="7" t="s">
        <v>6963</v>
      </c>
      <c r="B1599" s="8" t="s">
        <v>2355</v>
      </c>
      <c r="C1599" s="27">
        <v>2141708</v>
      </c>
      <c r="D1599" s="27">
        <v>2373894</v>
      </c>
      <c r="E1599" s="69">
        <v>-9.7799999999999994</v>
      </c>
      <c r="F1599" s="27">
        <v>21591</v>
      </c>
      <c r="G1599" s="27">
        <v>40785</v>
      </c>
      <c r="H1599" s="27">
        <v>59109</v>
      </c>
      <c r="I1599" s="27">
        <v>8206</v>
      </c>
      <c r="J1599" s="27">
        <v>118924</v>
      </c>
      <c r="K1599" s="27">
        <v>43481</v>
      </c>
      <c r="L1599" s="69">
        <v>173.51</v>
      </c>
      <c r="M1599" s="27">
        <v>734980</v>
      </c>
      <c r="N1599" s="69">
        <v>1.62</v>
      </c>
      <c r="O1599" s="69">
        <v>0.59</v>
      </c>
      <c r="P1599" s="69">
        <v>16.14</v>
      </c>
      <c r="Q1599" s="27">
        <v>69</v>
      </c>
      <c r="R1599" s="69">
        <v>3.03</v>
      </c>
      <c r="S1599" s="69">
        <v>151.37</v>
      </c>
      <c r="X1599" s="2">
        <f t="shared" si="72"/>
        <v>0.31</v>
      </c>
      <c r="Y1599" s="2">
        <f>SUMIF(收盤價!A:A,A1599,收盤價!C:C)</f>
        <v>22.2</v>
      </c>
      <c r="Z1599" s="2">
        <f t="shared" si="73"/>
        <v>1186257.7200000002</v>
      </c>
      <c r="AA1599" s="2">
        <f t="shared" si="74"/>
        <v>1631655.6</v>
      </c>
    </row>
    <row r="1600" spans="1:27" ht="14.5" customHeight="1">
      <c r="A1600" s="7" t="s">
        <v>6964</v>
      </c>
      <c r="B1600" s="8" t="s">
        <v>2535</v>
      </c>
      <c r="C1600" s="27">
        <v>346766</v>
      </c>
      <c r="D1600" s="27">
        <v>374339</v>
      </c>
      <c r="E1600" s="69">
        <v>-7.37</v>
      </c>
      <c r="F1600" s="27">
        <v>10077</v>
      </c>
      <c r="G1600" s="27">
        <v>-32122</v>
      </c>
      <c r="H1600" s="27">
        <v>-2780</v>
      </c>
      <c r="I1600" s="27">
        <v>8806</v>
      </c>
      <c r="J1600" s="27">
        <v>5278</v>
      </c>
      <c r="K1600" s="27">
        <v>-23298</v>
      </c>
      <c r="L1600" s="69">
        <v>122.65</v>
      </c>
      <c r="M1600" s="27">
        <v>213749</v>
      </c>
      <c r="N1600" s="69">
        <v>0.25</v>
      </c>
      <c r="O1600" s="69">
        <v>-1.0900000000000001</v>
      </c>
      <c r="P1600" s="69">
        <v>18.13</v>
      </c>
      <c r="Q1600" s="27">
        <v>68</v>
      </c>
      <c r="R1600" s="69">
        <v>3.17</v>
      </c>
      <c r="S1600" s="69">
        <v>256.10000000000002</v>
      </c>
      <c r="X1600" s="2">
        <f t="shared" si="72"/>
        <v>0.32</v>
      </c>
      <c r="Y1600" s="2">
        <f>SUMIF(收盤價!A:A,A1600,收盤價!C:C)</f>
        <v>24.35</v>
      </c>
      <c r="Z1600" s="2">
        <f t="shared" si="73"/>
        <v>387526.93699999998</v>
      </c>
      <c r="AA1600" s="2">
        <f t="shared" si="74"/>
        <v>520478.81500000006</v>
      </c>
    </row>
    <row r="1601" spans="1:27" ht="14.5" customHeight="1">
      <c r="A1601" s="7" t="s">
        <v>6081</v>
      </c>
      <c r="B1601" s="8" t="s">
        <v>2587</v>
      </c>
      <c r="C1601" s="27">
        <v>589199</v>
      </c>
      <c r="D1601" s="27">
        <v>713249</v>
      </c>
      <c r="E1601" s="69">
        <v>-17.39</v>
      </c>
      <c r="F1601" s="27">
        <v>39299</v>
      </c>
      <c r="G1601" s="27">
        <v>67890</v>
      </c>
      <c r="H1601" s="27">
        <v>-2269</v>
      </c>
      <c r="I1601" s="27">
        <v>2828</v>
      </c>
      <c r="J1601" s="27">
        <v>29427</v>
      </c>
      <c r="K1601" s="27">
        <v>56040</v>
      </c>
      <c r="L1601" s="69">
        <v>-47.49</v>
      </c>
      <c r="M1601" s="27">
        <v>295000</v>
      </c>
      <c r="N1601" s="69">
        <v>1.03</v>
      </c>
      <c r="O1601" s="69">
        <v>2.2000000000000002</v>
      </c>
      <c r="P1601" s="69">
        <v>16.989999999999998</v>
      </c>
      <c r="Q1601" s="27">
        <v>58</v>
      </c>
      <c r="R1601" s="69">
        <v>1.82</v>
      </c>
      <c r="S1601" s="69">
        <v>116.05</v>
      </c>
      <c r="X1601" s="2">
        <f t="shared" si="72"/>
        <v>0.42</v>
      </c>
      <c r="Y1601" s="2">
        <f>SUMIF(收盤價!A:A,A1601,收盤價!C:C)</f>
        <v>71.22</v>
      </c>
      <c r="Z1601" s="2">
        <f t="shared" si="73"/>
        <v>501205</v>
      </c>
      <c r="AA1601" s="2">
        <f t="shared" si="74"/>
        <v>2100990</v>
      </c>
    </row>
    <row r="1602" spans="1:27" ht="14.5" customHeight="1">
      <c r="A1602" s="7" t="s">
        <v>6965</v>
      </c>
      <c r="B1602" s="8" t="s">
        <v>2663</v>
      </c>
      <c r="C1602" s="27">
        <v>1471</v>
      </c>
      <c r="D1602" s="27">
        <v>6863</v>
      </c>
      <c r="E1602" s="69">
        <v>-78.569999999999993</v>
      </c>
      <c r="F1602" s="27">
        <v>-17102</v>
      </c>
      <c r="G1602" s="27">
        <v>-20882</v>
      </c>
      <c r="H1602" s="27">
        <v>1062</v>
      </c>
      <c r="I1602" s="27">
        <v>21976</v>
      </c>
      <c r="J1602" s="27">
        <v>-16039</v>
      </c>
      <c r="K1602" s="27">
        <v>1004</v>
      </c>
      <c r="L1602" s="28" t="s">
        <v>6413</v>
      </c>
      <c r="M1602" s="27">
        <v>180052</v>
      </c>
      <c r="N1602" s="69">
        <v>-0.94</v>
      </c>
      <c r="O1602" s="69">
        <v>0.06</v>
      </c>
      <c r="P1602" s="69">
        <v>0.43</v>
      </c>
      <c r="Q1602" s="27">
        <v>28</v>
      </c>
      <c r="R1602" s="69">
        <v>1.29</v>
      </c>
      <c r="S1602" s="69">
        <v>101.85</v>
      </c>
      <c r="X1602" s="2">
        <f t="shared" si="72"/>
        <v>0.72</v>
      </c>
      <c r="Y1602" s="2">
        <f>SUMIF(收盤價!A:A,A1602,收盤價!C:C)</f>
        <v>0</v>
      </c>
      <c r="Z1602" s="2">
        <f t="shared" si="73"/>
        <v>7742.2359999999999</v>
      </c>
      <c r="AA1602" s="2">
        <f t="shared" si="74"/>
        <v>0</v>
      </c>
    </row>
    <row r="1603" spans="1:27" ht="14.5" customHeight="1">
      <c r="A1603" s="7" t="s">
        <v>6966</v>
      </c>
      <c r="B1603" s="8" t="s">
        <v>2759</v>
      </c>
      <c r="C1603" s="27">
        <v>974516</v>
      </c>
      <c r="D1603" s="27">
        <v>1306674</v>
      </c>
      <c r="E1603" s="69">
        <v>-25.42</v>
      </c>
      <c r="F1603" s="27">
        <v>-206771</v>
      </c>
      <c r="G1603" s="27">
        <v>-13746</v>
      </c>
      <c r="H1603" s="27">
        <v>-16104</v>
      </c>
      <c r="I1603" s="27">
        <v>2399</v>
      </c>
      <c r="J1603" s="27">
        <v>-182081</v>
      </c>
      <c r="K1603" s="27">
        <v>-57665</v>
      </c>
      <c r="L1603" s="69">
        <v>-215.76</v>
      </c>
      <c r="M1603" s="27">
        <v>494004</v>
      </c>
      <c r="N1603" s="69">
        <v>-3.69</v>
      </c>
      <c r="O1603" s="69">
        <v>-1.17</v>
      </c>
      <c r="P1603" s="69">
        <v>6.22</v>
      </c>
      <c r="Q1603" s="27">
        <v>20</v>
      </c>
      <c r="R1603" s="69">
        <v>1.39</v>
      </c>
      <c r="S1603" s="69">
        <v>95.8</v>
      </c>
      <c r="X1603" s="2">
        <f t="shared" si="72"/>
        <v>0.8</v>
      </c>
      <c r="Y1603" s="2">
        <f>SUMIF(收盤價!A:A,A1603,收盤價!C:C)</f>
        <v>18.399999999999999</v>
      </c>
      <c r="Z1603" s="2">
        <f t="shared" si="73"/>
        <v>307270.48800000001</v>
      </c>
      <c r="AA1603" s="2">
        <f t="shared" si="74"/>
        <v>908967.36</v>
      </c>
    </row>
    <row r="1604" spans="1:27" ht="14.5" customHeight="1">
      <c r="A1604" s="7" t="s">
        <v>6967</v>
      </c>
      <c r="B1604" s="8" t="s">
        <v>2785</v>
      </c>
      <c r="C1604" s="27">
        <v>4804938</v>
      </c>
      <c r="D1604" s="27">
        <v>5355881</v>
      </c>
      <c r="E1604" s="69">
        <v>-10.29</v>
      </c>
      <c r="F1604" s="27">
        <v>108377</v>
      </c>
      <c r="G1604" s="27">
        <v>15375</v>
      </c>
      <c r="H1604" s="27">
        <v>-42878</v>
      </c>
      <c r="I1604" s="27">
        <v>29711</v>
      </c>
      <c r="J1604" s="27">
        <v>36021</v>
      </c>
      <c r="K1604" s="27">
        <v>11383</v>
      </c>
      <c r="L1604" s="69">
        <v>216.45</v>
      </c>
      <c r="M1604" s="27">
        <v>1487637</v>
      </c>
      <c r="N1604" s="69">
        <v>0.24</v>
      </c>
      <c r="O1604" s="69">
        <v>0.08</v>
      </c>
      <c r="P1604" s="69">
        <v>12.69</v>
      </c>
      <c r="Q1604" s="27">
        <v>58</v>
      </c>
      <c r="R1604" s="69">
        <v>2.5</v>
      </c>
      <c r="S1604" s="69">
        <v>199.5</v>
      </c>
      <c r="X1604" s="2">
        <f t="shared" si="72"/>
        <v>0.42</v>
      </c>
      <c r="Y1604" s="2">
        <f>SUMIF(收盤價!A:A,A1604,收盤價!C:C)</f>
        <v>7.13</v>
      </c>
      <c r="Z1604" s="2">
        <f t="shared" si="73"/>
        <v>1887811.3529999997</v>
      </c>
      <c r="AA1604" s="2">
        <f t="shared" si="74"/>
        <v>1060685.1810000001</v>
      </c>
    </row>
    <row r="1605" spans="1:27" ht="14.5" customHeight="1">
      <c r="A1605" s="7" t="s">
        <v>6968</v>
      </c>
      <c r="B1605" s="8" t="s">
        <v>2813</v>
      </c>
      <c r="C1605" s="27">
        <v>1802135</v>
      </c>
      <c r="D1605" s="27">
        <v>2071999</v>
      </c>
      <c r="E1605" s="69">
        <v>-13.02</v>
      </c>
      <c r="F1605" s="27">
        <v>233073</v>
      </c>
      <c r="G1605" s="27">
        <v>247504</v>
      </c>
      <c r="H1605" s="27">
        <v>-7195</v>
      </c>
      <c r="I1605" s="27">
        <v>88610</v>
      </c>
      <c r="J1605" s="27">
        <v>194320</v>
      </c>
      <c r="K1605" s="27">
        <v>297247</v>
      </c>
      <c r="L1605" s="69">
        <v>-34.630000000000003</v>
      </c>
      <c r="M1605" s="27">
        <v>1027064</v>
      </c>
      <c r="N1605" s="69">
        <v>1.95</v>
      </c>
      <c r="O1605" s="69">
        <v>3</v>
      </c>
      <c r="P1605" s="69">
        <v>22.54</v>
      </c>
      <c r="Q1605" s="27">
        <v>72</v>
      </c>
      <c r="R1605" s="69">
        <v>3.02</v>
      </c>
      <c r="S1605" s="69">
        <v>249.34</v>
      </c>
      <c r="X1605" s="2">
        <f t="shared" ref="X1605:X1668" si="75">IF(W1605&lt;&gt;"",ROUND(W1605/U1605,2),(100-Q1605)/100)</f>
        <v>0.28000000000000003</v>
      </c>
      <c r="Y1605" s="2">
        <f>SUMIF(收盤價!A:A,A1605,收盤價!C:C)</f>
        <v>32.950000000000003</v>
      </c>
      <c r="Z1605" s="2">
        <f t="shared" ref="Z1605:Z1668" si="76">IF(W1605&lt;&gt;"",U1605-W1605,M1605*P1605/10)</f>
        <v>2315002.2560000001</v>
      </c>
      <c r="AA1605" s="2">
        <f t="shared" ref="AA1605:AA1668" si="77">Y1605*M1605/10</f>
        <v>3384175.8800000004</v>
      </c>
    </row>
    <row r="1606" spans="1:27" ht="14.5" customHeight="1">
      <c r="A1606" s="7" t="s">
        <v>6969</v>
      </c>
      <c r="B1606" s="8" t="s">
        <v>2817</v>
      </c>
      <c r="C1606" s="27">
        <v>2497934</v>
      </c>
      <c r="D1606" s="27">
        <v>2394696</v>
      </c>
      <c r="E1606" s="69">
        <v>4.3099999999999996</v>
      </c>
      <c r="F1606" s="27">
        <v>176872</v>
      </c>
      <c r="G1606" s="27">
        <v>198796</v>
      </c>
      <c r="H1606" s="27">
        <v>170368</v>
      </c>
      <c r="I1606" s="27">
        <v>74748</v>
      </c>
      <c r="J1606" s="27">
        <v>190399</v>
      </c>
      <c r="K1606" s="27">
        <v>110631</v>
      </c>
      <c r="L1606" s="69">
        <v>72.099999999999994</v>
      </c>
      <c r="M1606" s="27">
        <v>442646</v>
      </c>
      <c r="N1606" s="69">
        <v>4.32</v>
      </c>
      <c r="O1606" s="69">
        <v>2.5</v>
      </c>
      <c r="P1606" s="69">
        <v>28.71</v>
      </c>
      <c r="Q1606" s="27">
        <v>35</v>
      </c>
      <c r="R1606" s="69">
        <v>1.44</v>
      </c>
      <c r="S1606" s="69">
        <v>98.92</v>
      </c>
      <c r="X1606" s="2">
        <f t="shared" si="75"/>
        <v>0.65</v>
      </c>
      <c r="Y1606" s="2">
        <f>SUMIF(收盤價!A:A,A1606,收盤價!C:C)</f>
        <v>37.65</v>
      </c>
      <c r="Z1606" s="2">
        <f t="shared" si="76"/>
        <v>1270836.666</v>
      </c>
      <c r="AA1606" s="2">
        <f t="shared" si="77"/>
        <v>1666562.19</v>
      </c>
    </row>
    <row r="1607" spans="1:27" ht="14.5" customHeight="1">
      <c r="A1607" s="7" t="s">
        <v>6970</v>
      </c>
      <c r="B1607" s="8" t="s">
        <v>2839</v>
      </c>
      <c r="C1607" s="27">
        <v>12674886</v>
      </c>
      <c r="D1607" s="27">
        <v>14220653</v>
      </c>
      <c r="E1607" s="69">
        <v>-10.87</v>
      </c>
      <c r="F1607" s="27">
        <v>1778512</v>
      </c>
      <c r="G1607" s="27">
        <v>1721618</v>
      </c>
      <c r="H1607" s="27">
        <v>87954</v>
      </c>
      <c r="I1607" s="27">
        <v>117428</v>
      </c>
      <c r="J1607" s="27">
        <v>1036094</v>
      </c>
      <c r="K1607" s="27">
        <v>1049020</v>
      </c>
      <c r="L1607" s="69">
        <v>-1.23</v>
      </c>
      <c r="M1607" s="27">
        <v>541868</v>
      </c>
      <c r="N1607" s="69">
        <v>19.16</v>
      </c>
      <c r="O1607" s="69">
        <v>19.52</v>
      </c>
      <c r="P1607" s="69">
        <v>83.11</v>
      </c>
      <c r="Q1607" s="27">
        <v>38</v>
      </c>
      <c r="R1607" s="69">
        <v>1.89</v>
      </c>
      <c r="S1607" s="69">
        <v>180.61</v>
      </c>
      <c r="X1607" s="2">
        <f t="shared" si="75"/>
        <v>0.62</v>
      </c>
      <c r="Y1607" s="2">
        <f>SUMIF(收盤價!A:A,A1607,收盤價!C:C)</f>
        <v>184.5</v>
      </c>
      <c r="Z1607" s="2">
        <f t="shared" si="76"/>
        <v>4503464.9479999999</v>
      </c>
      <c r="AA1607" s="2">
        <f t="shared" si="77"/>
        <v>9997464.5999999996</v>
      </c>
    </row>
    <row r="1608" spans="1:27" ht="14.5" customHeight="1">
      <c r="A1608" s="7" t="s">
        <v>6971</v>
      </c>
      <c r="B1608" s="8" t="s">
        <v>2927</v>
      </c>
      <c r="C1608" s="27">
        <v>2985023</v>
      </c>
      <c r="D1608" s="27">
        <v>2996644</v>
      </c>
      <c r="E1608" s="69">
        <v>-0.39</v>
      </c>
      <c r="F1608" s="27">
        <v>831521</v>
      </c>
      <c r="G1608" s="27">
        <v>852527</v>
      </c>
      <c r="H1608" s="27">
        <v>-5787</v>
      </c>
      <c r="I1608" s="27">
        <v>23550</v>
      </c>
      <c r="J1608" s="27">
        <v>671262</v>
      </c>
      <c r="K1608" s="27">
        <v>700180</v>
      </c>
      <c r="L1608" s="69">
        <v>-4.13</v>
      </c>
      <c r="M1608" s="27">
        <v>923966</v>
      </c>
      <c r="N1608" s="69">
        <v>7.27</v>
      </c>
      <c r="O1608" s="69">
        <v>7.58</v>
      </c>
      <c r="P1608" s="69">
        <v>39.090000000000003</v>
      </c>
      <c r="Q1608" s="27">
        <v>76</v>
      </c>
      <c r="R1608" s="69">
        <v>2.99</v>
      </c>
      <c r="S1608" s="69">
        <v>296</v>
      </c>
      <c r="X1608" s="2">
        <f t="shared" si="75"/>
        <v>0.24</v>
      </c>
      <c r="Y1608" s="2">
        <f>SUMIF(收盤價!A:A,A1608,收盤價!C:C)</f>
        <v>213</v>
      </c>
      <c r="Z1608" s="2">
        <f t="shared" si="76"/>
        <v>3611783.0940000005</v>
      </c>
      <c r="AA1608" s="2">
        <f t="shared" si="77"/>
        <v>19680475.800000001</v>
      </c>
    </row>
    <row r="1609" spans="1:27" ht="14.5" customHeight="1">
      <c r="A1609" s="7" t="s">
        <v>6972</v>
      </c>
      <c r="B1609" s="8" t="s">
        <v>2935</v>
      </c>
      <c r="C1609" s="27">
        <v>1674669</v>
      </c>
      <c r="D1609" s="27">
        <v>1916280</v>
      </c>
      <c r="E1609" s="69">
        <v>-12.61</v>
      </c>
      <c r="F1609" s="27">
        <v>81584</v>
      </c>
      <c r="G1609" s="27">
        <v>110244</v>
      </c>
      <c r="H1609" s="27">
        <v>7219</v>
      </c>
      <c r="I1609" s="27">
        <v>-2987</v>
      </c>
      <c r="J1609" s="27">
        <v>73299</v>
      </c>
      <c r="K1609" s="27">
        <v>80583</v>
      </c>
      <c r="L1609" s="69">
        <v>-9.0399999999999991</v>
      </c>
      <c r="M1609" s="27">
        <v>552573</v>
      </c>
      <c r="N1609" s="69">
        <v>1.33</v>
      </c>
      <c r="O1609" s="69">
        <v>1.46</v>
      </c>
      <c r="P1609" s="69">
        <v>16.420000000000002</v>
      </c>
      <c r="Q1609" s="27">
        <v>65</v>
      </c>
      <c r="R1609" s="69">
        <v>2.0499999999999998</v>
      </c>
      <c r="S1609" s="69">
        <v>149.47</v>
      </c>
      <c r="X1609" s="2">
        <f t="shared" si="75"/>
        <v>0.35</v>
      </c>
      <c r="Y1609" s="2">
        <f>SUMIF(收盤價!A:A,A1609,收盤價!C:C)</f>
        <v>20.149999999999999</v>
      </c>
      <c r="Z1609" s="2">
        <f t="shared" si="76"/>
        <v>907324.86600000004</v>
      </c>
      <c r="AA1609" s="2">
        <f t="shared" si="77"/>
        <v>1113434.595</v>
      </c>
    </row>
    <row r="1610" spans="1:27" ht="14.5" customHeight="1">
      <c r="A1610" s="7" t="s">
        <v>6973</v>
      </c>
      <c r="B1610" s="8" t="s">
        <v>2973</v>
      </c>
      <c r="C1610" s="27">
        <v>1032376</v>
      </c>
      <c r="D1610" s="27">
        <v>1925869</v>
      </c>
      <c r="E1610" s="69">
        <v>-46.39</v>
      </c>
      <c r="F1610" s="27">
        <v>83504</v>
      </c>
      <c r="G1610" s="27">
        <v>328132</v>
      </c>
      <c r="H1610" s="27">
        <v>10475</v>
      </c>
      <c r="I1610" s="27">
        <v>41686</v>
      </c>
      <c r="J1610" s="27">
        <v>83441</v>
      </c>
      <c r="K1610" s="27">
        <v>314416</v>
      </c>
      <c r="L1610" s="69">
        <v>-73.459999999999994</v>
      </c>
      <c r="M1610" s="27">
        <v>833239</v>
      </c>
      <c r="N1610" s="69">
        <v>1</v>
      </c>
      <c r="O1610" s="69">
        <v>3.74</v>
      </c>
      <c r="P1610" s="69">
        <v>20.260000000000002</v>
      </c>
      <c r="Q1610" s="27">
        <v>78</v>
      </c>
      <c r="R1610" s="69">
        <v>3.76</v>
      </c>
      <c r="S1610" s="69">
        <v>323.38</v>
      </c>
      <c r="X1610" s="2">
        <f t="shared" si="75"/>
        <v>0.22</v>
      </c>
      <c r="Y1610" s="2">
        <f>SUMIF(收盤價!A:A,A1610,收盤價!C:C)</f>
        <v>41.4</v>
      </c>
      <c r="Z1610" s="2">
        <f t="shared" si="76"/>
        <v>1688142.2140000002</v>
      </c>
      <c r="AA1610" s="2">
        <f t="shared" si="77"/>
        <v>3449609.46</v>
      </c>
    </row>
    <row r="1611" spans="1:27" ht="14.5" customHeight="1">
      <c r="A1611" s="7" t="s">
        <v>6974</v>
      </c>
      <c r="B1611" s="8" t="s">
        <v>3029</v>
      </c>
      <c r="C1611" s="27">
        <v>2318050</v>
      </c>
      <c r="D1611" s="27">
        <v>2278237</v>
      </c>
      <c r="E1611" s="69">
        <v>1.75</v>
      </c>
      <c r="F1611" s="27">
        <v>391401</v>
      </c>
      <c r="G1611" s="27">
        <v>513024</v>
      </c>
      <c r="H1611" s="27">
        <v>-41794</v>
      </c>
      <c r="I1611" s="27">
        <v>68528</v>
      </c>
      <c r="J1611" s="27">
        <v>269668</v>
      </c>
      <c r="K1611" s="27">
        <v>492147</v>
      </c>
      <c r="L1611" s="69">
        <v>-45.21</v>
      </c>
      <c r="M1611" s="27">
        <v>579951</v>
      </c>
      <c r="N1611" s="69">
        <v>5.1100000000000003</v>
      </c>
      <c r="O1611" s="69">
        <v>9.86</v>
      </c>
      <c r="P1611" s="69">
        <v>37.81</v>
      </c>
      <c r="Q1611" s="27">
        <v>72</v>
      </c>
      <c r="R1611" s="69">
        <v>2.2000000000000002</v>
      </c>
      <c r="S1611" s="69">
        <v>197.45</v>
      </c>
      <c r="X1611" s="2">
        <f t="shared" si="75"/>
        <v>0.28000000000000003</v>
      </c>
      <c r="Y1611" s="2">
        <f>SUMIF(收盤價!A:A,A1611,收盤價!C:C)</f>
        <v>178</v>
      </c>
      <c r="Z1611" s="2">
        <f t="shared" si="76"/>
        <v>2192794.7310000001</v>
      </c>
      <c r="AA1611" s="2">
        <f t="shared" si="77"/>
        <v>10323127.800000001</v>
      </c>
    </row>
    <row r="1612" spans="1:27" ht="14.5" customHeight="1">
      <c r="A1612" s="7" t="s">
        <v>6975</v>
      </c>
      <c r="B1612" s="8" t="s">
        <v>3043</v>
      </c>
      <c r="C1612" s="27">
        <v>780529</v>
      </c>
      <c r="D1612" s="27">
        <v>799954</v>
      </c>
      <c r="E1612" s="69">
        <v>-2.4300000000000002</v>
      </c>
      <c r="F1612" s="27">
        <v>-123162</v>
      </c>
      <c r="G1612" s="27">
        <v>-127724</v>
      </c>
      <c r="H1612" s="27">
        <v>62319</v>
      </c>
      <c r="I1612" s="27">
        <v>75367</v>
      </c>
      <c r="J1612" s="27">
        <v>-64353</v>
      </c>
      <c r="K1612" s="27">
        <v>-53366</v>
      </c>
      <c r="L1612" s="69">
        <v>-20.59</v>
      </c>
      <c r="M1612" s="27">
        <v>603210</v>
      </c>
      <c r="N1612" s="69">
        <v>-1.07</v>
      </c>
      <c r="O1612" s="69">
        <v>-0.88</v>
      </c>
      <c r="P1612" s="69">
        <v>10.35</v>
      </c>
      <c r="Q1612" s="27">
        <v>46</v>
      </c>
      <c r="R1612" s="69">
        <v>1.1599999999999999</v>
      </c>
      <c r="S1612" s="69">
        <v>78.23</v>
      </c>
      <c r="X1612" s="2">
        <f t="shared" si="75"/>
        <v>0.54</v>
      </c>
      <c r="Y1612" s="2">
        <f>SUMIF(收盤價!A:A,A1612,收盤價!C:C)</f>
        <v>10</v>
      </c>
      <c r="Z1612" s="2">
        <f t="shared" si="76"/>
        <v>624322.35</v>
      </c>
      <c r="AA1612" s="2">
        <f t="shared" si="77"/>
        <v>603210</v>
      </c>
    </row>
    <row r="1613" spans="1:27" ht="14.5" customHeight="1">
      <c r="A1613" s="7" t="s">
        <v>6976</v>
      </c>
      <c r="B1613" s="8" t="s">
        <v>3063</v>
      </c>
      <c r="C1613" s="27">
        <v>2986079</v>
      </c>
      <c r="D1613" s="27">
        <v>2569289</v>
      </c>
      <c r="E1613" s="69">
        <v>16.22</v>
      </c>
      <c r="F1613" s="27">
        <v>70809</v>
      </c>
      <c r="G1613" s="27">
        <v>95749</v>
      </c>
      <c r="H1613" s="27">
        <v>5900</v>
      </c>
      <c r="I1613" s="27">
        <v>15472</v>
      </c>
      <c r="J1613" s="27">
        <v>50466</v>
      </c>
      <c r="K1613" s="27">
        <v>-31551</v>
      </c>
      <c r="L1613" s="69">
        <v>259.95</v>
      </c>
      <c r="M1613" s="27">
        <v>697869</v>
      </c>
      <c r="N1613" s="69">
        <v>0.73</v>
      </c>
      <c r="O1613" s="69">
        <v>-0.47</v>
      </c>
      <c r="P1613" s="69">
        <v>13.53</v>
      </c>
      <c r="Q1613" s="27">
        <v>39</v>
      </c>
      <c r="R1613" s="69">
        <v>1.54</v>
      </c>
      <c r="S1613" s="69">
        <v>91.34</v>
      </c>
      <c r="X1613" s="2">
        <f t="shared" si="75"/>
        <v>0.61</v>
      </c>
      <c r="Y1613" s="2">
        <f>SUMIF(收盤價!A:A,A1613,收盤價!C:C)</f>
        <v>19.95</v>
      </c>
      <c r="Z1613" s="2">
        <f t="shared" si="76"/>
        <v>944216.75699999998</v>
      </c>
      <c r="AA1613" s="2">
        <f t="shared" si="77"/>
        <v>1392248.6549999998</v>
      </c>
    </row>
    <row r="1614" spans="1:27" ht="14.5" customHeight="1">
      <c r="A1614" s="7" t="s">
        <v>6977</v>
      </c>
      <c r="B1614" s="8" t="s">
        <v>3099</v>
      </c>
      <c r="C1614" s="27">
        <v>2967728</v>
      </c>
      <c r="D1614" s="27">
        <v>3753387</v>
      </c>
      <c r="E1614" s="69">
        <v>-20.93</v>
      </c>
      <c r="F1614" s="27">
        <v>57041</v>
      </c>
      <c r="G1614" s="27">
        <v>250361</v>
      </c>
      <c r="H1614" s="27">
        <v>-4498</v>
      </c>
      <c r="I1614" s="27">
        <v>6383</v>
      </c>
      <c r="J1614" s="27">
        <v>67813</v>
      </c>
      <c r="K1614" s="27">
        <v>232408</v>
      </c>
      <c r="L1614" s="69">
        <v>-70.819999999999993</v>
      </c>
      <c r="M1614" s="27">
        <v>578000</v>
      </c>
      <c r="N1614" s="69">
        <v>1.17</v>
      </c>
      <c r="O1614" s="69">
        <v>4.04</v>
      </c>
      <c r="P1614" s="69">
        <v>28.73</v>
      </c>
      <c r="Q1614" s="27">
        <v>46</v>
      </c>
      <c r="R1614" s="69">
        <v>2.08</v>
      </c>
      <c r="S1614" s="69">
        <v>165.58</v>
      </c>
      <c r="X1614" s="2">
        <f t="shared" si="75"/>
        <v>0.54</v>
      </c>
      <c r="Y1614" s="2">
        <f>SUMIF(收盤價!A:A,A1614,收盤價!C:C)</f>
        <v>77.5</v>
      </c>
      <c r="Z1614" s="2">
        <f t="shared" si="76"/>
        <v>1660594</v>
      </c>
      <c r="AA1614" s="2">
        <f t="shared" si="77"/>
        <v>4479500</v>
      </c>
    </row>
    <row r="1615" spans="1:27" ht="14.5" customHeight="1">
      <c r="A1615" s="7" t="s">
        <v>6978</v>
      </c>
      <c r="B1615" s="8" t="s">
        <v>3145</v>
      </c>
      <c r="C1615" s="27">
        <v>286477</v>
      </c>
      <c r="D1615" s="27">
        <v>388175</v>
      </c>
      <c r="E1615" s="69">
        <v>-26.2</v>
      </c>
      <c r="F1615" s="27">
        <v>-15985</v>
      </c>
      <c r="G1615" s="27">
        <v>5321</v>
      </c>
      <c r="H1615" s="27">
        <v>5727</v>
      </c>
      <c r="I1615" s="27">
        <v>10687</v>
      </c>
      <c r="J1615" s="27">
        <v>-6395</v>
      </c>
      <c r="K1615" s="27">
        <v>13112</v>
      </c>
      <c r="L1615" s="69">
        <v>-148.77000000000001</v>
      </c>
      <c r="M1615" s="27">
        <v>250000</v>
      </c>
      <c r="N1615" s="69">
        <v>-0.26</v>
      </c>
      <c r="O1615" s="69">
        <v>0.52</v>
      </c>
      <c r="P1615" s="69">
        <v>18.03</v>
      </c>
      <c r="Q1615" s="27">
        <v>88</v>
      </c>
      <c r="R1615" s="69">
        <v>7.03</v>
      </c>
      <c r="S1615" s="69">
        <v>601.95000000000005</v>
      </c>
      <c r="X1615" s="2">
        <f t="shared" si="75"/>
        <v>0.12</v>
      </c>
      <c r="Y1615" s="2">
        <f>SUMIF(收盤價!A:A,A1615,收盤價!C:C)</f>
        <v>15</v>
      </c>
      <c r="Z1615" s="2">
        <f t="shared" si="76"/>
        <v>450750</v>
      </c>
      <c r="AA1615" s="2">
        <f t="shared" si="77"/>
        <v>375000</v>
      </c>
    </row>
    <row r="1616" spans="1:27" ht="14.5" customHeight="1">
      <c r="A1616" s="7" t="s">
        <v>6979</v>
      </c>
      <c r="B1616" s="8" t="s">
        <v>3205</v>
      </c>
      <c r="C1616" s="27">
        <v>4406270</v>
      </c>
      <c r="D1616" s="27">
        <v>4866703</v>
      </c>
      <c r="E1616" s="69">
        <v>-9.4600000000000009</v>
      </c>
      <c r="F1616" s="27">
        <v>666136</v>
      </c>
      <c r="G1616" s="27">
        <v>705569</v>
      </c>
      <c r="H1616" s="27">
        <v>40396</v>
      </c>
      <c r="I1616" s="27">
        <v>99428</v>
      </c>
      <c r="J1616" s="27">
        <v>496941</v>
      </c>
      <c r="K1616" s="27">
        <v>559863</v>
      </c>
      <c r="L1616" s="69">
        <v>-11.24</v>
      </c>
      <c r="M1616" s="27">
        <v>339280</v>
      </c>
      <c r="N1616" s="69">
        <v>14.65</v>
      </c>
      <c r="O1616" s="69">
        <v>16.5</v>
      </c>
      <c r="P1616" s="69">
        <v>66.22</v>
      </c>
      <c r="Q1616" s="27">
        <v>52</v>
      </c>
      <c r="R1616" s="69">
        <v>2.2799999999999998</v>
      </c>
      <c r="S1616" s="69">
        <v>198.06</v>
      </c>
      <c r="X1616" s="2">
        <f t="shared" si="75"/>
        <v>0.48</v>
      </c>
      <c r="Y1616" s="2">
        <f>SUMIF(收盤價!A:A,A1616,收盤價!C:C)</f>
        <v>166</v>
      </c>
      <c r="Z1616" s="2">
        <f t="shared" si="76"/>
        <v>2246712.1599999997</v>
      </c>
      <c r="AA1616" s="2">
        <f t="shared" si="77"/>
        <v>5632048</v>
      </c>
    </row>
    <row r="1617" spans="1:27" ht="14.5" customHeight="1">
      <c r="A1617" s="7" t="s">
        <v>6980</v>
      </c>
      <c r="B1617" s="8" t="s">
        <v>3223</v>
      </c>
      <c r="C1617" s="27">
        <v>339976</v>
      </c>
      <c r="D1617" s="27">
        <v>1217871</v>
      </c>
      <c r="E1617" s="69">
        <v>-72.08</v>
      </c>
      <c r="F1617" s="27">
        <v>29306</v>
      </c>
      <c r="G1617" s="27">
        <v>340872</v>
      </c>
      <c r="H1617" s="27">
        <v>-1528</v>
      </c>
      <c r="I1617" s="27">
        <v>-1292</v>
      </c>
      <c r="J1617" s="27">
        <v>18736</v>
      </c>
      <c r="K1617" s="27">
        <v>256810</v>
      </c>
      <c r="L1617" s="69">
        <v>-92.7</v>
      </c>
      <c r="M1617" s="27">
        <v>331027</v>
      </c>
      <c r="N1617" s="69">
        <v>0.56999999999999995</v>
      </c>
      <c r="O1617" s="69">
        <v>8.65</v>
      </c>
      <c r="P1617" s="69">
        <v>22.28</v>
      </c>
      <c r="Q1617" s="27">
        <v>55</v>
      </c>
      <c r="R1617" s="69">
        <v>2.17</v>
      </c>
      <c r="S1617" s="69">
        <v>184.49</v>
      </c>
      <c r="X1617" s="2">
        <f t="shared" si="75"/>
        <v>0.45</v>
      </c>
      <c r="Y1617" s="2">
        <f>SUMIF(收盤價!A:A,A1617,收盤價!C:C)</f>
        <v>60.8</v>
      </c>
      <c r="Z1617" s="2">
        <f t="shared" si="76"/>
        <v>737528.15600000008</v>
      </c>
      <c r="AA1617" s="2">
        <f t="shared" si="77"/>
        <v>2012644.1599999997</v>
      </c>
    </row>
    <row r="1618" spans="1:27" ht="14.5" customHeight="1">
      <c r="A1618" s="7" t="s">
        <v>6981</v>
      </c>
      <c r="B1618" s="8" t="s">
        <v>3229</v>
      </c>
      <c r="C1618" s="27">
        <v>1245395</v>
      </c>
      <c r="D1618" s="27">
        <v>1004049</v>
      </c>
      <c r="E1618" s="69">
        <v>24.04</v>
      </c>
      <c r="F1618" s="27">
        <v>13492</v>
      </c>
      <c r="G1618" s="27">
        <v>101152</v>
      </c>
      <c r="H1618" s="27">
        <v>36786</v>
      </c>
      <c r="I1618" s="27">
        <v>29070</v>
      </c>
      <c r="J1618" s="27">
        <v>40065</v>
      </c>
      <c r="K1618" s="27">
        <v>103119</v>
      </c>
      <c r="L1618" s="69">
        <v>-61.15</v>
      </c>
      <c r="M1618" s="27">
        <v>350519</v>
      </c>
      <c r="N1618" s="69">
        <v>1.1499999999999999</v>
      </c>
      <c r="O1618" s="69">
        <v>3.24</v>
      </c>
      <c r="P1618" s="69">
        <v>21.53</v>
      </c>
      <c r="Q1618" s="27">
        <v>42</v>
      </c>
      <c r="R1618" s="69">
        <v>1.9</v>
      </c>
      <c r="S1618" s="69">
        <v>169.61</v>
      </c>
      <c r="X1618" s="2">
        <f t="shared" si="75"/>
        <v>0.57999999999999996</v>
      </c>
      <c r="Y1618" s="2">
        <f>SUMIF(收盤價!A:A,A1618,收盤價!C:C)</f>
        <v>71.5</v>
      </c>
      <c r="Z1618" s="2">
        <f t="shared" si="76"/>
        <v>754667.40700000001</v>
      </c>
      <c r="AA1618" s="2">
        <f t="shared" si="77"/>
        <v>2506210.85</v>
      </c>
    </row>
    <row r="1619" spans="1:27" ht="14.5" customHeight="1">
      <c r="A1619" s="7" t="s">
        <v>6982</v>
      </c>
      <c r="B1619" s="8" t="s">
        <v>3265</v>
      </c>
      <c r="C1619" s="27">
        <v>627885</v>
      </c>
      <c r="D1619" s="27">
        <v>667738</v>
      </c>
      <c r="E1619" s="69">
        <v>-5.97</v>
      </c>
      <c r="F1619" s="27">
        <v>-21822</v>
      </c>
      <c r="G1619" s="27">
        <v>-3116</v>
      </c>
      <c r="H1619" s="27">
        <v>2083</v>
      </c>
      <c r="I1619" s="27">
        <v>-3385</v>
      </c>
      <c r="J1619" s="27">
        <v>-20760</v>
      </c>
      <c r="K1619" s="27">
        <v>-6063</v>
      </c>
      <c r="L1619" s="69">
        <v>-242.4</v>
      </c>
      <c r="M1619" s="27">
        <v>416663</v>
      </c>
      <c r="N1619" s="69">
        <v>-0.5</v>
      </c>
      <c r="O1619" s="69">
        <v>-0.15</v>
      </c>
      <c r="P1619" s="69">
        <v>11.82</v>
      </c>
      <c r="Q1619" s="27">
        <v>79</v>
      </c>
      <c r="R1619" s="69">
        <v>3.59</v>
      </c>
      <c r="S1619" s="69">
        <v>223.75</v>
      </c>
      <c r="X1619" s="2">
        <f t="shared" si="75"/>
        <v>0.21</v>
      </c>
      <c r="Y1619" s="2">
        <f>SUMIF(收盤價!A:A,A1619,收盤價!C:C)</f>
        <v>10.65</v>
      </c>
      <c r="Z1619" s="2">
        <f t="shared" si="76"/>
        <v>492495.66600000003</v>
      </c>
      <c r="AA1619" s="2">
        <f t="shared" si="77"/>
        <v>443746.09500000003</v>
      </c>
    </row>
    <row r="1620" spans="1:27" ht="14.5" customHeight="1">
      <c r="A1620" s="7" t="s">
        <v>6983</v>
      </c>
      <c r="B1620" s="8" t="s">
        <v>3301</v>
      </c>
      <c r="C1620" s="27">
        <v>989445</v>
      </c>
      <c r="D1620" s="27">
        <v>1441177</v>
      </c>
      <c r="E1620" s="69">
        <v>-31.34</v>
      </c>
      <c r="F1620" s="27">
        <v>-155191</v>
      </c>
      <c r="G1620" s="27">
        <v>-65413</v>
      </c>
      <c r="H1620" s="27">
        <v>23713</v>
      </c>
      <c r="I1620" s="27">
        <v>-90365</v>
      </c>
      <c r="J1620" s="27">
        <v>-141948</v>
      </c>
      <c r="K1620" s="27">
        <v>-190096</v>
      </c>
      <c r="L1620" s="69">
        <v>25.33</v>
      </c>
      <c r="M1620" s="27">
        <v>1572572</v>
      </c>
      <c r="N1620" s="69">
        <v>-0.9</v>
      </c>
      <c r="O1620" s="69">
        <v>-1.21</v>
      </c>
      <c r="P1620" s="69">
        <v>9.2899999999999991</v>
      </c>
      <c r="Q1620" s="27">
        <v>51</v>
      </c>
      <c r="R1620" s="69">
        <v>6.71</v>
      </c>
      <c r="S1620" s="69">
        <v>622.47</v>
      </c>
      <c r="X1620" s="2">
        <f t="shared" si="75"/>
        <v>0.49</v>
      </c>
      <c r="Y1620" s="2">
        <f>SUMIF(收盤價!A:A,A1620,收盤價!C:C)</f>
        <v>4.5</v>
      </c>
      <c r="Z1620" s="2">
        <f t="shared" si="76"/>
        <v>1460919.3879999998</v>
      </c>
      <c r="AA1620" s="2">
        <f t="shared" si="77"/>
        <v>707657.4</v>
      </c>
    </row>
    <row r="1621" spans="1:27" ht="14.5" customHeight="1">
      <c r="A1621" s="7" t="s">
        <v>6984</v>
      </c>
      <c r="B1621" s="8" t="s">
        <v>3311</v>
      </c>
      <c r="C1621" s="27">
        <v>326248</v>
      </c>
      <c r="D1621" s="27">
        <v>426161</v>
      </c>
      <c r="E1621" s="69">
        <v>-23.44</v>
      </c>
      <c r="F1621" s="27">
        <v>-31399</v>
      </c>
      <c r="G1621" s="27">
        <v>-3144</v>
      </c>
      <c r="H1621" s="27">
        <v>-3465</v>
      </c>
      <c r="I1621" s="27">
        <v>4535</v>
      </c>
      <c r="J1621" s="27">
        <v>-34864</v>
      </c>
      <c r="K1621" s="27">
        <v>1298</v>
      </c>
      <c r="L1621" s="28" t="s">
        <v>6413</v>
      </c>
      <c r="M1621" s="27">
        <v>388506</v>
      </c>
      <c r="N1621" s="69">
        <v>-0.9</v>
      </c>
      <c r="O1621" s="69">
        <v>0.03</v>
      </c>
      <c r="P1621" s="69">
        <v>8.48</v>
      </c>
      <c r="Q1621" s="27">
        <v>38</v>
      </c>
      <c r="R1621" s="69">
        <v>1.21</v>
      </c>
      <c r="S1621" s="69">
        <v>28.5</v>
      </c>
      <c r="X1621" s="2">
        <f t="shared" si="75"/>
        <v>0.62</v>
      </c>
      <c r="Y1621" s="2">
        <f>SUMIF(收盤價!A:A,A1621,收盤價!C:C)</f>
        <v>8.25</v>
      </c>
      <c r="Z1621" s="2">
        <f t="shared" si="76"/>
        <v>329453.08800000005</v>
      </c>
      <c r="AA1621" s="2">
        <f t="shared" si="77"/>
        <v>320517.45</v>
      </c>
    </row>
    <row r="1622" spans="1:27" ht="14.5" customHeight="1">
      <c r="A1622" s="7" t="s">
        <v>6985</v>
      </c>
      <c r="B1622" s="8" t="s">
        <v>3339</v>
      </c>
      <c r="C1622" s="27">
        <v>3584256</v>
      </c>
      <c r="D1622" s="27">
        <v>4037962</v>
      </c>
      <c r="E1622" s="69">
        <v>-11.24</v>
      </c>
      <c r="F1622" s="27">
        <v>214259</v>
      </c>
      <c r="G1622" s="27">
        <v>201734</v>
      </c>
      <c r="H1622" s="27">
        <v>-14301</v>
      </c>
      <c r="I1622" s="27">
        <v>-27716</v>
      </c>
      <c r="J1622" s="27">
        <v>163087</v>
      </c>
      <c r="K1622" s="27">
        <v>144061</v>
      </c>
      <c r="L1622" s="69">
        <v>13.21</v>
      </c>
      <c r="M1622" s="27">
        <v>1212511</v>
      </c>
      <c r="N1622" s="69">
        <v>1.35</v>
      </c>
      <c r="O1622" s="69">
        <v>1.19</v>
      </c>
      <c r="P1622" s="69">
        <v>16.100000000000001</v>
      </c>
      <c r="Q1622" s="27">
        <v>56</v>
      </c>
      <c r="R1622" s="69">
        <v>1.62</v>
      </c>
      <c r="S1622" s="69">
        <v>135.69999999999999</v>
      </c>
      <c r="X1622" s="2">
        <f t="shared" si="75"/>
        <v>0.44</v>
      </c>
      <c r="Y1622" s="2">
        <f>SUMIF(收盤價!A:A,A1622,收盤價!C:C)</f>
        <v>16.8</v>
      </c>
      <c r="Z1622" s="2">
        <f t="shared" si="76"/>
        <v>1952142.7100000002</v>
      </c>
      <c r="AA1622" s="2">
        <f t="shared" si="77"/>
        <v>2037018.48</v>
      </c>
    </row>
    <row r="1623" spans="1:27" ht="14.5" customHeight="1">
      <c r="A1623" s="7" t="s">
        <v>6986</v>
      </c>
      <c r="B1623" s="8" t="s">
        <v>3367</v>
      </c>
      <c r="C1623" s="27">
        <v>3641030</v>
      </c>
      <c r="D1623" s="27">
        <v>3401148</v>
      </c>
      <c r="E1623" s="69">
        <v>7.05</v>
      </c>
      <c r="F1623" s="27">
        <v>325233</v>
      </c>
      <c r="G1623" s="27">
        <v>335132</v>
      </c>
      <c r="H1623" s="27">
        <v>34282</v>
      </c>
      <c r="I1623" s="27">
        <v>32569</v>
      </c>
      <c r="J1623" s="27">
        <v>296030</v>
      </c>
      <c r="K1623" s="27">
        <v>302925</v>
      </c>
      <c r="L1623" s="69">
        <v>-2.2799999999999998</v>
      </c>
      <c r="M1623" s="27">
        <v>1181925</v>
      </c>
      <c r="N1623" s="69">
        <v>2.5099999999999998</v>
      </c>
      <c r="O1623" s="69">
        <v>2.57</v>
      </c>
      <c r="P1623" s="69">
        <v>28.75</v>
      </c>
      <c r="Q1623" s="27">
        <v>68</v>
      </c>
      <c r="R1623" s="69">
        <v>1.81</v>
      </c>
      <c r="S1623" s="69">
        <v>124.73</v>
      </c>
      <c r="X1623" s="2">
        <f t="shared" si="75"/>
        <v>0.32</v>
      </c>
      <c r="Y1623" s="2">
        <f>SUMIF(收盤價!A:A,A1623,收盤價!C:C)</f>
        <v>37.200000000000003</v>
      </c>
      <c r="Z1623" s="2">
        <f t="shared" si="76"/>
        <v>3398034.375</v>
      </c>
      <c r="AA1623" s="2">
        <f t="shared" si="77"/>
        <v>4396761</v>
      </c>
    </row>
    <row r="1624" spans="1:27" ht="14.5" customHeight="1">
      <c r="A1624" s="7" t="s">
        <v>6987</v>
      </c>
      <c r="B1624" s="8" t="s">
        <v>3397</v>
      </c>
      <c r="C1624" s="27">
        <v>785125</v>
      </c>
      <c r="D1624" s="27">
        <v>1012959</v>
      </c>
      <c r="E1624" s="69">
        <v>-22.49</v>
      </c>
      <c r="F1624" s="27">
        <v>-72636</v>
      </c>
      <c r="G1624" s="27">
        <v>-92006</v>
      </c>
      <c r="H1624" s="27">
        <v>-28402</v>
      </c>
      <c r="I1624" s="27">
        <v>-14224</v>
      </c>
      <c r="J1624" s="27">
        <v>-82205</v>
      </c>
      <c r="K1624" s="27">
        <v>-80885</v>
      </c>
      <c r="L1624" s="69">
        <v>-1.63</v>
      </c>
      <c r="M1624" s="27">
        <v>444555</v>
      </c>
      <c r="N1624" s="69">
        <v>-1.85</v>
      </c>
      <c r="O1624" s="69">
        <v>-1.82</v>
      </c>
      <c r="P1624" s="69">
        <v>16.47</v>
      </c>
      <c r="Q1624" s="27">
        <v>55</v>
      </c>
      <c r="R1624" s="69">
        <v>1.38</v>
      </c>
      <c r="S1624" s="69">
        <v>128.34</v>
      </c>
      <c r="X1624" s="2">
        <f t="shared" si="75"/>
        <v>0.45</v>
      </c>
      <c r="Y1624" s="2">
        <f>SUMIF(收盤價!A:A,A1624,收盤價!C:C)</f>
        <v>54.7</v>
      </c>
      <c r="Z1624" s="2">
        <f t="shared" si="76"/>
        <v>732182.08499999996</v>
      </c>
      <c r="AA1624" s="2">
        <f t="shared" si="77"/>
        <v>2431715.85</v>
      </c>
    </row>
    <row r="1625" spans="1:27" ht="14.5" customHeight="1">
      <c r="A1625" s="7" t="s">
        <v>6988</v>
      </c>
      <c r="B1625" s="8" t="s">
        <v>2043</v>
      </c>
      <c r="C1625" s="27">
        <v>5323689</v>
      </c>
      <c r="D1625" s="27">
        <v>4543479</v>
      </c>
      <c r="E1625" s="69">
        <v>17.170000000000002</v>
      </c>
      <c r="F1625" s="27">
        <v>472363</v>
      </c>
      <c r="G1625" s="27">
        <v>314078</v>
      </c>
      <c r="H1625" s="27">
        <v>-165699</v>
      </c>
      <c r="I1625" s="27">
        <v>123464</v>
      </c>
      <c r="J1625" s="27">
        <v>233270</v>
      </c>
      <c r="K1625" s="27">
        <v>346768</v>
      </c>
      <c r="L1625" s="69">
        <v>-32.729999999999997</v>
      </c>
      <c r="M1625" s="27">
        <v>473897</v>
      </c>
      <c r="N1625" s="69">
        <v>4.92</v>
      </c>
      <c r="O1625" s="69">
        <v>7.32</v>
      </c>
      <c r="P1625" s="69">
        <v>26.74</v>
      </c>
      <c r="Q1625" s="27">
        <v>8</v>
      </c>
      <c r="R1625" s="69">
        <v>0.71</v>
      </c>
      <c r="S1625" s="69">
        <v>57.5</v>
      </c>
      <c r="X1625" s="2">
        <f t="shared" si="75"/>
        <v>0.92</v>
      </c>
      <c r="Y1625" s="2">
        <f>SUMIF(收盤價!A:A,A1625,收盤價!C:C)</f>
        <v>115</v>
      </c>
      <c r="Z1625" s="2">
        <f t="shared" si="76"/>
        <v>1267200.578</v>
      </c>
      <c r="AA1625" s="2">
        <f t="shared" si="77"/>
        <v>5449815.5</v>
      </c>
    </row>
    <row r="1626" spans="1:27" ht="14.5" customHeight="1">
      <c r="A1626" s="7" t="s">
        <v>6989</v>
      </c>
      <c r="B1626" s="8" t="s">
        <v>2049</v>
      </c>
      <c r="C1626" s="27">
        <v>147342</v>
      </c>
      <c r="D1626" s="27">
        <v>141389</v>
      </c>
      <c r="E1626" s="69">
        <v>4.21</v>
      </c>
      <c r="F1626" s="27">
        <v>-306120</v>
      </c>
      <c r="G1626" s="27">
        <v>-234634</v>
      </c>
      <c r="H1626" s="27">
        <v>-17128</v>
      </c>
      <c r="I1626" s="27">
        <v>87449</v>
      </c>
      <c r="J1626" s="27">
        <v>-315959</v>
      </c>
      <c r="K1626" s="27">
        <v>-146645</v>
      </c>
      <c r="L1626" s="69">
        <v>-115.46</v>
      </c>
      <c r="M1626" s="27">
        <v>841051</v>
      </c>
      <c r="N1626" s="69">
        <v>-3.78</v>
      </c>
      <c r="O1626" s="69">
        <v>-2.0299999999999998</v>
      </c>
      <c r="P1626" s="69">
        <v>1.69</v>
      </c>
      <c r="Q1626" s="27">
        <v>28</v>
      </c>
      <c r="R1626" s="69">
        <v>0.45</v>
      </c>
      <c r="S1626" s="69">
        <v>36.35</v>
      </c>
      <c r="X1626" s="2">
        <f t="shared" si="75"/>
        <v>0.72</v>
      </c>
      <c r="Y1626" s="2">
        <f>SUMIF(收盤價!A:A,A1626,收盤價!C:C)</f>
        <v>13.4</v>
      </c>
      <c r="Z1626" s="2">
        <f t="shared" si="76"/>
        <v>142137.61900000001</v>
      </c>
      <c r="AA1626" s="2">
        <f t="shared" si="77"/>
        <v>1127008.3400000001</v>
      </c>
    </row>
    <row r="1627" spans="1:27" ht="14.5" customHeight="1">
      <c r="A1627" s="7" t="s">
        <v>6990</v>
      </c>
      <c r="B1627" s="8" t="s">
        <v>2063</v>
      </c>
      <c r="C1627" s="27">
        <v>662928</v>
      </c>
      <c r="D1627" s="27">
        <v>600237</v>
      </c>
      <c r="E1627" s="69">
        <v>10.44</v>
      </c>
      <c r="F1627" s="27">
        <v>77283</v>
      </c>
      <c r="G1627" s="27">
        <v>51885</v>
      </c>
      <c r="H1627" s="27">
        <v>17530</v>
      </c>
      <c r="I1627" s="27">
        <v>14999</v>
      </c>
      <c r="J1627" s="27">
        <v>78849</v>
      </c>
      <c r="K1627" s="27">
        <v>38970</v>
      </c>
      <c r="L1627" s="69">
        <v>102.33</v>
      </c>
      <c r="M1627" s="27">
        <v>857044</v>
      </c>
      <c r="N1627" s="69">
        <v>0.92</v>
      </c>
      <c r="O1627" s="69">
        <v>0.45</v>
      </c>
      <c r="P1627" s="69">
        <v>13.33</v>
      </c>
      <c r="Q1627" s="27">
        <v>82</v>
      </c>
      <c r="R1627" s="69">
        <v>6.29</v>
      </c>
      <c r="S1627" s="69">
        <v>621.80999999999995</v>
      </c>
      <c r="X1627" s="2">
        <f t="shared" si="75"/>
        <v>0.18</v>
      </c>
      <c r="Y1627" s="2">
        <f>SUMIF(收盤價!A:A,A1627,收盤價!C:C)</f>
        <v>88.7</v>
      </c>
      <c r="Z1627" s="2">
        <f t="shared" si="76"/>
        <v>1142439.652</v>
      </c>
      <c r="AA1627" s="2">
        <f t="shared" si="77"/>
        <v>7601980.2799999993</v>
      </c>
    </row>
    <row r="1628" spans="1:27" ht="14.5" customHeight="1">
      <c r="A1628" s="7" t="s">
        <v>6991</v>
      </c>
      <c r="B1628" s="8" t="s">
        <v>2067</v>
      </c>
      <c r="C1628" s="27">
        <v>123407</v>
      </c>
      <c r="D1628" s="27">
        <v>77833</v>
      </c>
      <c r="E1628" s="69">
        <v>58.55</v>
      </c>
      <c r="F1628" s="27">
        <v>-8841</v>
      </c>
      <c r="G1628" s="27">
        <v>-46794</v>
      </c>
      <c r="H1628" s="27">
        <v>-4215</v>
      </c>
      <c r="I1628" s="27">
        <v>-6682</v>
      </c>
      <c r="J1628" s="27">
        <v>-13056</v>
      </c>
      <c r="K1628" s="27">
        <v>-60325</v>
      </c>
      <c r="L1628" s="69">
        <v>78.36</v>
      </c>
      <c r="M1628" s="27">
        <v>134174</v>
      </c>
      <c r="N1628" s="69">
        <v>-0.97</v>
      </c>
      <c r="O1628" s="69">
        <v>-4.5</v>
      </c>
      <c r="P1628" s="69">
        <v>9.0299999999999994</v>
      </c>
      <c r="Q1628" s="27">
        <v>40</v>
      </c>
      <c r="R1628" s="69">
        <v>1.54</v>
      </c>
      <c r="S1628" s="69">
        <v>148.72999999999999</v>
      </c>
      <c r="X1628" s="2">
        <f t="shared" si="75"/>
        <v>0.6</v>
      </c>
      <c r="Y1628" s="2">
        <f>SUMIF(收盤價!A:A,A1628,收盤價!C:C)</f>
        <v>7.06</v>
      </c>
      <c r="Z1628" s="2">
        <f t="shared" si="76"/>
        <v>121159.122</v>
      </c>
      <c r="AA1628" s="2">
        <f t="shared" si="77"/>
        <v>94726.843999999997</v>
      </c>
    </row>
    <row r="1629" spans="1:27" ht="14.5" customHeight="1">
      <c r="A1629" s="7" t="s">
        <v>6992</v>
      </c>
      <c r="B1629" s="8" t="s">
        <v>2181</v>
      </c>
      <c r="C1629" s="27">
        <v>5291153</v>
      </c>
      <c r="D1629" s="27">
        <v>3067118</v>
      </c>
      <c r="E1629" s="69">
        <v>72.510000000000005</v>
      </c>
      <c r="F1629" s="27">
        <v>2414462</v>
      </c>
      <c r="G1629" s="27">
        <v>955536</v>
      </c>
      <c r="H1629" s="27">
        <v>-53462</v>
      </c>
      <c r="I1629" s="27">
        <v>68156</v>
      </c>
      <c r="J1629" s="27">
        <v>1975505</v>
      </c>
      <c r="K1629" s="27">
        <v>876935</v>
      </c>
      <c r="L1629" s="69">
        <v>125.27</v>
      </c>
      <c r="M1629" s="27">
        <v>704441</v>
      </c>
      <c r="N1629" s="69">
        <v>28.08</v>
      </c>
      <c r="O1629" s="69">
        <v>12.51</v>
      </c>
      <c r="P1629" s="69">
        <v>70.86</v>
      </c>
      <c r="Q1629" s="27">
        <v>75</v>
      </c>
      <c r="R1629" s="69">
        <v>3.37</v>
      </c>
      <c r="S1629" s="69">
        <v>326.82</v>
      </c>
      <c r="X1629" s="2">
        <f t="shared" si="75"/>
        <v>0.25</v>
      </c>
      <c r="Y1629" s="2">
        <f>SUMIF(收盤價!A:A,A1629,收盤價!C:C)</f>
        <v>390</v>
      </c>
      <c r="Z1629" s="2">
        <f t="shared" si="76"/>
        <v>4991668.926</v>
      </c>
      <c r="AA1629" s="2">
        <f t="shared" si="77"/>
        <v>27473199</v>
      </c>
    </row>
    <row r="1630" spans="1:27" ht="14.5" customHeight="1">
      <c r="A1630" s="7" t="s">
        <v>6993</v>
      </c>
      <c r="B1630" s="8" t="s">
        <v>2295</v>
      </c>
      <c r="C1630" s="27">
        <v>1147961</v>
      </c>
      <c r="D1630" s="27">
        <v>1133343</v>
      </c>
      <c r="E1630" s="69">
        <v>1.29</v>
      </c>
      <c r="F1630" s="27">
        <v>218180</v>
      </c>
      <c r="G1630" s="27">
        <v>209276</v>
      </c>
      <c r="H1630" s="27">
        <v>21682</v>
      </c>
      <c r="I1630" s="27">
        <v>29497</v>
      </c>
      <c r="J1630" s="27">
        <v>198912</v>
      </c>
      <c r="K1630" s="27">
        <v>190518</v>
      </c>
      <c r="L1630" s="69">
        <v>4.41</v>
      </c>
      <c r="M1630" s="27">
        <v>417480</v>
      </c>
      <c r="N1630" s="69">
        <v>4.8099999999999996</v>
      </c>
      <c r="O1630" s="69">
        <v>4.62</v>
      </c>
      <c r="P1630" s="69">
        <v>28.53</v>
      </c>
      <c r="Q1630" s="27">
        <v>81</v>
      </c>
      <c r="R1630" s="69">
        <v>4.3</v>
      </c>
      <c r="S1630" s="69">
        <v>429.77</v>
      </c>
      <c r="X1630" s="2">
        <f t="shared" si="75"/>
        <v>0.19</v>
      </c>
      <c r="Y1630" s="2">
        <f>SUMIF(收盤價!A:A,A1630,收盤價!C:C)</f>
        <v>102.5</v>
      </c>
      <c r="Z1630" s="2">
        <f t="shared" si="76"/>
        <v>1191070.44</v>
      </c>
      <c r="AA1630" s="2">
        <f t="shared" si="77"/>
        <v>4279170</v>
      </c>
    </row>
    <row r="1631" spans="1:27" ht="14.5" customHeight="1">
      <c r="A1631" s="7" t="s">
        <v>6994</v>
      </c>
      <c r="B1631" s="8" t="s">
        <v>2371</v>
      </c>
      <c r="C1631" s="27">
        <v>1063818</v>
      </c>
      <c r="D1631" s="27">
        <v>772187</v>
      </c>
      <c r="E1631" s="69">
        <v>37.770000000000003</v>
      </c>
      <c r="F1631" s="27">
        <v>98730</v>
      </c>
      <c r="G1631" s="27">
        <v>-128499</v>
      </c>
      <c r="H1631" s="27">
        <v>4314</v>
      </c>
      <c r="I1631" s="27">
        <v>-7491</v>
      </c>
      <c r="J1631" s="27">
        <v>3647</v>
      </c>
      <c r="K1631" s="27">
        <v>-98948</v>
      </c>
      <c r="L1631" s="69">
        <v>103.69</v>
      </c>
      <c r="M1631" s="27">
        <v>300596</v>
      </c>
      <c r="N1631" s="69">
        <v>0.12</v>
      </c>
      <c r="O1631" s="69">
        <v>-3.29</v>
      </c>
      <c r="P1631" s="69">
        <v>20.149999999999999</v>
      </c>
      <c r="Q1631" s="27">
        <v>14</v>
      </c>
      <c r="R1631" s="69">
        <v>1.51</v>
      </c>
      <c r="S1631" s="69">
        <v>150.83000000000001</v>
      </c>
      <c r="X1631" s="2">
        <f t="shared" si="75"/>
        <v>0.86</v>
      </c>
      <c r="Y1631" s="2">
        <f>SUMIF(收盤價!A:A,A1631,收盤價!C:C)</f>
        <v>43.5</v>
      </c>
      <c r="Z1631" s="2">
        <f t="shared" si="76"/>
        <v>605700.93999999994</v>
      </c>
      <c r="AA1631" s="2">
        <f t="shared" si="77"/>
        <v>1307592.6000000001</v>
      </c>
    </row>
    <row r="1632" spans="1:27" ht="14.5" customHeight="1">
      <c r="A1632" s="7" t="s">
        <v>6995</v>
      </c>
      <c r="B1632" s="8" t="s">
        <v>2595</v>
      </c>
      <c r="C1632" s="27">
        <v>20586</v>
      </c>
      <c r="D1632" s="27">
        <v>93419</v>
      </c>
      <c r="E1632" s="69">
        <v>-77.959999999999994</v>
      </c>
      <c r="F1632" s="27">
        <v>-147760</v>
      </c>
      <c r="G1632" s="27">
        <v>-209171</v>
      </c>
      <c r="H1632" s="27">
        <v>-64542</v>
      </c>
      <c r="I1632" s="27">
        <v>-99412</v>
      </c>
      <c r="J1632" s="27">
        <v>-218601</v>
      </c>
      <c r="K1632" s="27">
        <v>-305681</v>
      </c>
      <c r="L1632" s="69">
        <v>28.49</v>
      </c>
      <c r="M1632" s="27">
        <v>419741</v>
      </c>
      <c r="N1632" s="69">
        <v>-5.65</v>
      </c>
      <c r="O1632" s="69">
        <v>-9.4</v>
      </c>
      <c r="P1632" s="69">
        <v>9.9499999999999993</v>
      </c>
      <c r="Q1632" s="27">
        <v>54</v>
      </c>
      <c r="R1632" s="69">
        <v>2.44</v>
      </c>
      <c r="S1632" s="69">
        <v>14.55</v>
      </c>
      <c r="X1632" s="2">
        <f t="shared" si="75"/>
        <v>0.46</v>
      </c>
      <c r="Y1632" s="2">
        <f>SUMIF(收盤價!A:A,A1632,收盤價!C:C)</f>
        <v>10.1</v>
      </c>
      <c r="Z1632" s="2">
        <f t="shared" si="76"/>
        <v>417642.29499999998</v>
      </c>
      <c r="AA1632" s="2">
        <f t="shared" si="77"/>
        <v>423938.41</v>
      </c>
    </row>
    <row r="1633" spans="1:27" ht="14.5" customHeight="1">
      <c r="A1633" s="7" t="s">
        <v>6996</v>
      </c>
      <c r="B1633" s="8" t="s">
        <v>2619</v>
      </c>
      <c r="C1633" s="27">
        <v>337608</v>
      </c>
      <c r="D1633" s="27">
        <v>409585</v>
      </c>
      <c r="E1633" s="69">
        <v>-17.57</v>
      </c>
      <c r="F1633" s="27">
        <v>-146822</v>
      </c>
      <c r="G1633" s="27">
        <v>7082</v>
      </c>
      <c r="H1633" s="27">
        <v>-77137</v>
      </c>
      <c r="I1633" s="27">
        <v>32512</v>
      </c>
      <c r="J1633" s="27">
        <v>-194369</v>
      </c>
      <c r="K1633" s="27">
        <v>2436</v>
      </c>
      <c r="L1633" s="28" t="s">
        <v>6413</v>
      </c>
      <c r="M1633" s="27">
        <v>273208</v>
      </c>
      <c r="N1633" s="69">
        <v>-7.11</v>
      </c>
      <c r="O1633" s="69">
        <v>0.09</v>
      </c>
      <c r="P1633" s="69">
        <v>5.0199999999999996</v>
      </c>
      <c r="Q1633" s="27">
        <v>38</v>
      </c>
      <c r="R1633" s="69">
        <v>1.1499999999999999</v>
      </c>
      <c r="S1633" s="69">
        <v>109.8</v>
      </c>
      <c r="X1633" s="2">
        <f t="shared" si="75"/>
        <v>0.62</v>
      </c>
      <c r="Y1633" s="2">
        <f>SUMIF(收盤價!A:A,A1633,收盤價!C:C)</f>
        <v>27.8</v>
      </c>
      <c r="Z1633" s="2">
        <f t="shared" si="76"/>
        <v>137150.416</v>
      </c>
      <c r="AA1633" s="2">
        <f t="shared" si="77"/>
        <v>759518.24</v>
      </c>
    </row>
    <row r="1634" spans="1:27" ht="14.5" customHeight="1">
      <c r="A1634" s="7" t="s">
        <v>6997</v>
      </c>
      <c r="B1634" s="8" t="s">
        <v>2689</v>
      </c>
      <c r="C1634" s="27">
        <v>2080441</v>
      </c>
      <c r="D1634" s="27">
        <v>1637438</v>
      </c>
      <c r="E1634" s="69">
        <v>27.05</v>
      </c>
      <c r="F1634" s="27">
        <v>420809</v>
      </c>
      <c r="G1634" s="27">
        <v>289512</v>
      </c>
      <c r="H1634" s="27">
        <v>51092</v>
      </c>
      <c r="I1634" s="27">
        <v>31615</v>
      </c>
      <c r="J1634" s="27">
        <v>366525</v>
      </c>
      <c r="K1634" s="27">
        <v>257168</v>
      </c>
      <c r="L1634" s="69">
        <v>42.52</v>
      </c>
      <c r="M1634" s="27">
        <v>557474</v>
      </c>
      <c r="N1634" s="69">
        <v>6.57</v>
      </c>
      <c r="O1634" s="69">
        <v>4.6100000000000003</v>
      </c>
      <c r="P1634" s="69">
        <v>53.24</v>
      </c>
      <c r="Q1634" s="27">
        <v>57</v>
      </c>
      <c r="R1634" s="69">
        <v>3.24</v>
      </c>
      <c r="S1634" s="69">
        <v>275.27</v>
      </c>
      <c r="X1634" s="2">
        <f t="shared" si="75"/>
        <v>0.43</v>
      </c>
      <c r="Y1634" s="2">
        <f>SUMIF(收盤價!A:A,A1634,收盤價!C:C)</f>
        <v>174.5</v>
      </c>
      <c r="Z1634" s="2">
        <f t="shared" si="76"/>
        <v>2967991.5760000004</v>
      </c>
      <c r="AA1634" s="2">
        <f t="shared" si="77"/>
        <v>9727921.3000000007</v>
      </c>
    </row>
    <row r="1635" spans="1:27" ht="14.5" customHeight="1">
      <c r="A1635" s="7" t="s">
        <v>6998</v>
      </c>
      <c r="B1635" s="8" t="s">
        <v>2803</v>
      </c>
      <c r="C1635" s="27">
        <v>5828654</v>
      </c>
      <c r="D1635" s="27">
        <v>5552667</v>
      </c>
      <c r="E1635" s="69">
        <v>4.97</v>
      </c>
      <c r="F1635" s="27">
        <v>757528</v>
      </c>
      <c r="G1635" s="27">
        <v>585826</v>
      </c>
      <c r="H1635" s="27">
        <v>75194</v>
      </c>
      <c r="I1635" s="27">
        <v>67054</v>
      </c>
      <c r="J1635" s="27">
        <v>610580</v>
      </c>
      <c r="K1635" s="27">
        <v>461322</v>
      </c>
      <c r="L1635" s="69">
        <v>32.35</v>
      </c>
      <c r="M1635" s="27">
        <v>1274743</v>
      </c>
      <c r="N1635" s="69">
        <v>5</v>
      </c>
      <c r="O1635" s="69">
        <v>3.7</v>
      </c>
      <c r="P1635" s="69">
        <v>48.91</v>
      </c>
      <c r="Q1635" s="27">
        <v>46</v>
      </c>
      <c r="R1635" s="69">
        <v>2.06</v>
      </c>
      <c r="S1635" s="69">
        <v>203.6</v>
      </c>
      <c r="X1635" s="2">
        <f t="shared" si="75"/>
        <v>0.54</v>
      </c>
      <c r="Y1635" s="2">
        <f>SUMIF(收盤價!A:A,A1635,收盤價!C:C)</f>
        <v>83.2</v>
      </c>
      <c r="Z1635" s="2">
        <f t="shared" si="76"/>
        <v>6234768.0129999993</v>
      </c>
      <c r="AA1635" s="2">
        <f t="shared" si="77"/>
        <v>10605861.760000002</v>
      </c>
    </row>
    <row r="1636" spans="1:27" ht="14.5" customHeight="1">
      <c r="A1636" s="7" t="s">
        <v>6999</v>
      </c>
      <c r="B1636" s="8" t="s">
        <v>2883</v>
      </c>
      <c r="C1636" s="27">
        <v>284848</v>
      </c>
      <c r="D1636" s="27">
        <v>479063</v>
      </c>
      <c r="E1636" s="69">
        <v>-40.54</v>
      </c>
      <c r="F1636" s="27">
        <v>12255</v>
      </c>
      <c r="G1636" s="27">
        <v>31406</v>
      </c>
      <c r="H1636" s="27">
        <v>-2718</v>
      </c>
      <c r="I1636" s="27">
        <v>1103</v>
      </c>
      <c r="J1636" s="27">
        <v>4363</v>
      </c>
      <c r="K1636" s="27">
        <v>23352</v>
      </c>
      <c r="L1636" s="69">
        <v>-81.319999999999993</v>
      </c>
      <c r="M1636" s="27">
        <v>1164224</v>
      </c>
      <c r="N1636" s="69">
        <v>0.04</v>
      </c>
      <c r="O1636" s="69">
        <v>0.28999999999999998</v>
      </c>
      <c r="P1636" s="69">
        <v>11.57</v>
      </c>
      <c r="Q1636" s="27">
        <v>93</v>
      </c>
      <c r="R1636" s="69">
        <v>7.06</v>
      </c>
      <c r="S1636" s="69">
        <v>655.23</v>
      </c>
      <c r="X1636" s="2">
        <f t="shared" si="75"/>
        <v>7.0000000000000007E-2</v>
      </c>
      <c r="Y1636" s="2">
        <f>SUMIF(收盤價!A:A,A1636,收盤價!C:C)</f>
        <v>30.25</v>
      </c>
      <c r="Z1636" s="2">
        <f t="shared" si="76"/>
        <v>1347007.1680000001</v>
      </c>
      <c r="AA1636" s="2">
        <f t="shared" si="77"/>
        <v>3521777.6</v>
      </c>
    </row>
    <row r="1637" spans="1:27" ht="14.5" customHeight="1">
      <c r="A1637" s="7" t="s">
        <v>7000</v>
      </c>
      <c r="B1637" s="8" t="s">
        <v>2891</v>
      </c>
      <c r="C1637" s="27">
        <v>565818</v>
      </c>
      <c r="D1637" s="27">
        <v>855738</v>
      </c>
      <c r="E1637" s="69">
        <v>-33.880000000000003</v>
      </c>
      <c r="F1637" s="27">
        <v>-217580</v>
      </c>
      <c r="G1637" s="27">
        <v>146456</v>
      </c>
      <c r="H1637" s="27">
        <v>553447</v>
      </c>
      <c r="I1637" s="27">
        <v>-7894</v>
      </c>
      <c r="J1637" s="27">
        <v>326039</v>
      </c>
      <c r="K1637" s="27">
        <v>87823</v>
      </c>
      <c r="L1637" s="69">
        <v>271.25</v>
      </c>
      <c r="M1637" s="27">
        <v>492945</v>
      </c>
      <c r="N1637" s="69">
        <v>6.77</v>
      </c>
      <c r="O1637" s="69">
        <v>1.84</v>
      </c>
      <c r="P1637" s="69">
        <v>16.329999999999998</v>
      </c>
      <c r="Q1637" s="27">
        <v>65</v>
      </c>
      <c r="R1637" s="69">
        <v>1.23</v>
      </c>
      <c r="S1637" s="69">
        <v>106.93</v>
      </c>
      <c r="X1637" s="2">
        <f t="shared" si="75"/>
        <v>0.35</v>
      </c>
      <c r="Y1637" s="2">
        <f>SUMIF(收盤價!A:A,A1637,收盤價!C:C)</f>
        <v>96</v>
      </c>
      <c r="Z1637" s="2">
        <f t="shared" si="76"/>
        <v>804979.18499999982</v>
      </c>
      <c r="AA1637" s="2">
        <f t="shared" si="77"/>
        <v>4732272</v>
      </c>
    </row>
    <row r="1638" spans="1:27" ht="14.5" customHeight="1">
      <c r="A1638" s="7" t="s">
        <v>7001</v>
      </c>
      <c r="B1638" s="8" t="s">
        <v>2925</v>
      </c>
      <c r="C1638" s="27">
        <v>316893</v>
      </c>
      <c r="D1638" s="27">
        <v>395080</v>
      </c>
      <c r="E1638" s="69">
        <v>-19.79</v>
      </c>
      <c r="F1638" s="27">
        <v>-28987</v>
      </c>
      <c r="G1638" s="27">
        <v>-15957</v>
      </c>
      <c r="H1638" s="27">
        <v>-21966</v>
      </c>
      <c r="I1638" s="27">
        <v>1655</v>
      </c>
      <c r="J1638" s="27">
        <v>-75363</v>
      </c>
      <c r="K1638" s="27">
        <v>-27099</v>
      </c>
      <c r="L1638" s="69">
        <v>-178.1</v>
      </c>
      <c r="M1638" s="27">
        <v>731178</v>
      </c>
      <c r="N1638" s="69">
        <v>-1.03</v>
      </c>
      <c r="O1638" s="69">
        <v>-0.37</v>
      </c>
      <c r="P1638" s="69">
        <v>5.24</v>
      </c>
      <c r="Q1638" s="27">
        <v>80</v>
      </c>
      <c r="R1638" s="69">
        <v>4.3600000000000003</v>
      </c>
      <c r="S1638" s="69">
        <v>326.08</v>
      </c>
      <c r="X1638" s="2">
        <f t="shared" si="75"/>
        <v>0.2</v>
      </c>
      <c r="Y1638" s="2">
        <f>SUMIF(收盤價!A:A,A1638,收盤價!C:C)</f>
        <v>0</v>
      </c>
      <c r="Z1638" s="2">
        <f t="shared" si="76"/>
        <v>383137.272</v>
      </c>
      <c r="AA1638" s="2">
        <f t="shared" si="77"/>
        <v>0</v>
      </c>
    </row>
    <row r="1639" spans="1:27" ht="14.5" customHeight="1">
      <c r="A1639" s="7" t="s">
        <v>7002</v>
      </c>
      <c r="B1639" s="8" t="s">
        <v>2951</v>
      </c>
      <c r="C1639" s="27">
        <v>181915</v>
      </c>
      <c r="D1639" s="27">
        <v>742511</v>
      </c>
      <c r="E1639" s="69">
        <v>-75.5</v>
      </c>
      <c r="F1639" s="27">
        <v>-49197</v>
      </c>
      <c r="G1639" s="27">
        <v>-89807</v>
      </c>
      <c r="H1639" s="27">
        <v>23463</v>
      </c>
      <c r="I1639" s="27">
        <v>-11358</v>
      </c>
      <c r="J1639" s="27">
        <v>-30851</v>
      </c>
      <c r="K1639" s="27">
        <v>-100715</v>
      </c>
      <c r="L1639" s="69">
        <v>69.37</v>
      </c>
      <c r="M1639" s="27">
        <v>233950</v>
      </c>
      <c r="N1639" s="69">
        <v>-1.32</v>
      </c>
      <c r="O1639" s="69">
        <v>-4.42</v>
      </c>
      <c r="P1639" s="69">
        <v>8.82</v>
      </c>
      <c r="Q1639" s="27">
        <v>46</v>
      </c>
      <c r="R1639" s="69">
        <v>1.1599999999999999</v>
      </c>
      <c r="S1639" s="69">
        <v>114.14</v>
      </c>
      <c r="X1639" s="2">
        <f t="shared" si="75"/>
        <v>0.54</v>
      </c>
      <c r="Y1639" s="2">
        <f>SUMIF(收盤價!A:A,A1639,收盤價!C:C)</f>
        <v>27.1</v>
      </c>
      <c r="Z1639" s="2">
        <f t="shared" si="76"/>
        <v>206343.9</v>
      </c>
      <c r="AA1639" s="2">
        <f t="shared" si="77"/>
        <v>634004.5</v>
      </c>
    </row>
    <row r="1640" spans="1:27" ht="14.5" customHeight="1">
      <c r="A1640" s="7" t="s">
        <v>7003</v>
      </c>
      <c r="B1640" s="8" t="s">
        <v>2965</v>
      </c>
      <c r="C1640" s="27">
        <v>9681345</v>
      </c>
      <c r="D1640" s="27">
        <v>14334948</v>
      </c>
      <c r="E1640" s="69">
        <v>-32.46</v>
      </c>
      <c r="F1640" s="27">
        <v>1260034</v>
      </c>
      <c r="G1640" s="27">
        <v>2042366</v>
      </c>
      <c r="H1640" s="27">
        <v>-81627</v>
      </c>
      <c r="I1640" s="27">
        <v>115243</v>
      </c>
      <c r="J1640" s="27">
        <v>887895</v>
      </c>
      <c r="K1640" s="27">
        <v>1759973</v>
      </c>
      <c r="L1640" s="69">
        <v>-49.55</v>
      </c>
      <c r="M1640" s="27">
        <v>1754936</v>
      </c>
      <c r="N1640" s="69">
        <v>5.0999999999999996</v>
      </c>
      <c r="O1640" s="69">
        <v>10.31</v>
      </c>
      <c r="P1640" s="69">
        <v>26.84</v>
      </c>
      <c r="Q1640" s="27">
        <v>51</v>
      </c>
      <c r="R1640" s="69">
        <v>1.26</v>
      </c>
      <c r="S1640" s="69">
        <v>107.31</v>
      </c>
      <c r="X1640" s="2">
        <f t="shared" si="75"/>
        <v>0.49</v>
      </c>
      <c r="Y1640" s="2">
        <f>SUMIF(收盤價!A:A,A1640,收盤價!C:C)</f>
        <v>60.1</v>
      </c>
      <c r="Z1640" s="2">
        <f t="shared" si="76"/>
        <v>4710248.2240000004</v>
      </c>
      <c r="AA1640" s="2">
        <f t="shared" si="77"/>
        <v>10547165.360000001</v>
      </c>
    </row>
    <row r="1641" spans="1:27" ht="14.5" customHeight="1">
      <c r="A1641" s="7" t="s">
        <v>7004</v>
      </c>
      <c r="B1641" s="8" t="s">
        <v>3079</v>
      </c>
      <c r="C1641" s="27">
        <v>864104</v>
      </c>
      <c r="D1641" s="27">
        <v>815435</v>
      </c>
      <c r="E1641" s="69">
        <v>5.97</v>
      </c>
      <c r="F1641" s="27">
        <v>259059</v>
      </c>
      <c r="G1641" s="27">
        <v>220742</v>
      </c>
      <c r="H1641" s="27">
        <v>1508</v>
      </c>
      <c r="I1641" s="27">
        <v>4054</v>
      </c>
      <c r="J1641" s="27">
        <v>208532</v>
      </c>
      <c r="K1641" s="27">
        <v>201835</v>
      </c>
      <c r="L1641" s="69">
        <v>3.32</v>
      </c>
      <c r="M1641" s="27">
        <v>234026</v>
      </c>
      <c r="N1641" s="69">
        <v>8.91</v>
      </c>
      <c r="O1641" s="69">
        <v>8.6199999999999992</v>
      </c>
      <c r="P1641" s="69">
        <v>24.28</v>
      </c>
      <c r="Q1641" s="27">
        <v>41</v>
      </c>
      <c r="R1641" s="69">
        <v>1.36</v>
      </c>
      <c r="S1641" s="69">
        <v>134.16999999999999</v>
      </c>
      <c r="X1641" s="2">
        <f t="shared" si="75"/>
        <v>0.59</v>
      </c>
      <c r="Y1641" s="2">
        <f>SUMIF(收盤價!A:A,A1641,收盤價!C:C)</f>
        <v>102</v>
      </c>
      <c r="Z1641" s="2">
        <f t="shared" si="76"/>
        <v>568215.12800000003</v>
      </c>
      <c r="AA1641" s="2">
        <f t="shared" si="77"/>
        <v>2387065.2000000002</v>
      </c>
    </row>
    <row r="1642" spans="1:27" ht="14.5" customHeight="1">
      <c r="A1642" s="7" t="s">
        <v>7005</v>
      </c>
      <c r="B1642" s="8" t="s">
        <v>3119</v>
      </c>
      <c r="C1642" s="27">
        <v>149600</v>
      </c>
      <c r="D1642" s="27">
        <v>227067</v>
      </c>
      <c r="E1642" s="69">
        <v>-34.119999999999997</v>
      </c>
      <c r="F1642" s="27">
        <v>-14581</v>
      </c>
      <c r="G1642" s="27">
        <v>-27651</v>
      </c>
      <c r="H1642" s="27">
        <v>-1882</v>
      </c>
      <c r="I1642" s="27">
        <v>8066</v>
      </c>
      <c r="J1642" s="27">
        <v>-19645</v>
      </c>
      <c r="K1642" s="27">
        <v>-27870</v>
      </c>
      <c r="L1642" s="69">
        <v>29.51</v>
      </c>
      <c r="M1642" s="27">
        <v>171484</v>
      </c>
      <c r="N1642" s="69">
        <v>-1.1599999999999999</v>
      </c>
      <c r="O1642" s="69">
        <v>-1.64</v>
      </c>
      <c r="P1642" s="69">
        <v>16.62</v>
      </c>
      <c r="Q1642" s="27">
        <v>76</v>
      </c>
      <c r="R1642" s="69">
        <v>6.99</v>
      </c>
      <c r="S1642" s="69">
        <v>699.11</v>
      </c>
      <c r="X1642" s="2">
        <f t="shared" si="75"/>
        <v>0.24</v>
      </c>
      <c r="Y1642" s="2">
        <f>SUMIF(收盤價!A:A,A1642,收盤價!C:C)</f>
        <v>0</v>
      </c>
      <c r="Z1642" s="2">
        <f t="shared" si="76"/>
        <v>285006.408</v>
      </c>
      <c r="AA1642" s="2">
        <f t="shared" si="77"/>
        <v>0</v>
      </c>
    </row>
    <row r="1643" spans="1:27" ht="14.5" customHeight="1">
      <c r="A1643" s="7" t="s">
        <v>7006</v>
      </c>
      <c r="B1643" s="8" t="s">
        <v>3163</v>
      </c>
      <c r="C1643" s="27">
        <v>1484434</v>
      </c>
      <c r="D1643" s="27">
        <v>2354631</v>
      </c>
      <c r="E1643" s="69">
        <v>-36.96</v>
      </c>
      <c r="F1643" s="27">
        <v>87845</v>
      </c>
      <c r="G1643" s="27">
        <v>292441</v>
      </c>
      <c r="H1643" s="27">
        <v>-77098</v>
      </c>
      <c r="I1643" s="27">
        <v>20653</v>
      </c>
      <c r="J1643" s="27">
        <v>-107038</v>
      </c>
      <c r="K1643" s="27">
        <v>127047</v>
      </c>
      <c r="L1643" s="69">
        <v>-184.25</v>
      </c>
      <c r="M1643" s="27">
        <v>420006</v>
      </c>
      <c r="N1643" s="69">
        <v>-2.5499999999999998</v>
      </c>
      <c r="O1643" s="69">
        <v>3.49</v>
      </c>
      <c r="P1643" s="69">
        <v>14.87</v>
      </c>
      <c r="Q1643" s="27">
        <v>58</v>
      </c>
      <c r="R1643" s="69">
        <v>2.27</v>
      </c>
      <c r="S1643" s="69">
        <v>210.73</v>
      </c>
      <c r="X1643" s="2">
        <f t="shared" si="75"/>
        <v>0.42</v>
      </c>
      <c r="Y1643" s="2">
        <f>SUMIF(收盤價!A:A,A1643,收盤價!C:C)</f>
        <v>64.5</v>
      </c>
      <c r="Z1643" s="2">
        <f t="shared" si="76"/>
        <v>624548.92200000002</v>
      </c>
      <c r="AA1643" s="2">
        <f t="shared" si="77"/>
        <v>2709038.7</v>
      </c>
    </row>
    <row r="1644" spans="1:27" ht="14.5" customHeight="1">
      <c r="A1644" s="7" t="s">
        <v>7007</v>
      </c>
      <c r="B1644" s="8" t="s">
        <v>3197</v>
      </c>
      <c r="C1644" s="27">
        <v>1612320</v>
      </c>
      <c r="D1644" s="27">
        <v>1157957</v>
      </c>
      <c r="E1644" s="69">
        <v>39.24</v>
      </c>
      <c r="F1644" s="27">
        <v>276604</v>
      </c>
      <c r="G1644" s="27">
        <v>40859</v>
      </c>
      <c r="H1644" s="27">
        <v>2915</v>
      </c>
      <c r="I1644" s="27">
        <v>-1651</v>
      </c>
      <c r="J1644" s="27">
        <v>223597</v>
      </c>
      <c r="K1644" s="27">
        <v>31394</v>
      </c>
      <c r="L1644" s="69">
        <v>612.23</v>
      </c>
      <c r="M1644" s="27">
        <v>278300</v>
      </c>
      <c r="N1644" s="69">
        <v>8.0299999999999994</v>
      </c>
      <c r="O1644" s="69">
        <v>1.1299999999999999</v>
      </c>
      <c r="P1644" s="69">
        <v>25.44</v>
      </c>
      <c r="Q1644" s="27">
        <v>67</v>
      </c>
      <c r="R1644" s="69">
        <v>1.9</v>
      </c>
      <c r="S1644" s="69">
        <v>154.08000000000001</v>
      </c>
      <c r="X1644" s="2">
        <f t="shared" si="75"/>
        <v>0.33</v>
      </c>
      <c r="Y1644" s="2">
        <f>SUMIF(收盤價!A:A,A1644,收盤價!C:C)</f>
        <v>69.900000000000006</v>
      </c>
      <c r="Z1644" s="2">
        <f t="shared" si="76"/>
        <v>707995.2</v>
      </c>
      <c r="AA1644" s="2">
        <f t="shared" si="77"/>
        <v>1945317</v>
      </c>
    </row>
    <row r="1645" spans="1:27" ht="14.5" customHeight="1">
      <c r="A1645" s="7" t="s">
        <v>7008</v>
      </c>
      <c r="B1645" s="8" t="s">
        <v>3413</v>
      </c>
      <c r="C1645" s="27">
        <v>1499606</v>
      </c>
      <c r="D1645" s="27">
        <v>1695938</v>
      </c>
      <c r="E1645" s="69">
        <v>-11.58</v>
      </c>
      <c r="F1645" s="27">
        <v>602117</v>
      </c>
      <c r="G1645" s="27">
        <v>511833</v>
      </c>
      <c r="H1645" s="27">
        <v>55511</v>
      </c>
      <c r="I1645" s="27">
        <v>72610</v>
      </c>
      <c r="J1645" s="27">
        <v>540961</v>
      </c>
      <c r="K1645" s="27">
        <v>478529</v>
      </c>
      <c r="L1645" s="69">
        <v>13.05</v>
      </c>
      <c r="M1645" s="27">
        <v>529144</v>
      </c>
      <c r="N1645" s="69">
        <v>10.220000000000001</v>
      </c>
      <c r="O1645" s="69">
        <v>8.86</v>
      </c>
      <c r="P1645" s="69">
        <v>25.08</v>
      </c>
      <c r="Q1645" s="27">
        <v>51</v>
      </c>
      <c r="R1645" s="69">
        <v>0.97</v>
      </c>
      <c r="S1645" s="69">
        <v>95.1</v>
      </c>
      <c r="X1645" s="2">
        <f t="shared" si="75"/>
        <v>0.49</v>
      </c>
      <c r="Y1645" s="2">
        <f>SUMIF(收盤價!A:A,A1645,收盤價!C:C)</f>
        <v>123.5</v>
      </c>
      <c r="Z1645" s="2">
        <f t="shared" si="76"/>
        <v>1327093.152</v>
      </c>
      <c r="AA1645" s="2">
        <f t="shared" si="77"/>
        <v>6534928.4000000004</v>
      </c>
    </row>
    <row r="1646" spans="1:27" ht="14.5" customHeight="1">
      <c r="A1646" s="7" t="s">
        <v>7009</v>
      </c>
      <c r="B1646" s="8" t="s">
        <v>3415</v>
      </c>
      <c r="C1646" s="27">
        <v>594709</v>
      </c>
      <c r="D1646" s="27">
        <v>665769</v>
      </c>
      <c r="E1646" s="69">
        <v>-10.67</v>
      </c>
      <c r="F1646" s="27">
        <v>-77612</v>
      </c>
      <c r="G1646" s="27">
        <v>44152</v>
      </c>
      <c r="H1646" s="27">
        <v>14624</v>
      </c>
      <c r="I1646" s="27">
        <v>55347</v>
      </c>
      <c r="J1646" s="27">
        <v>-59696</v>
      </c>
      <c r="K1646" s="27">
        <v>103716</v>
      </c>
      <c r="L1646" s="69">
        <v>-157.56</v>
      </c>
      <c r="M1646" s="27">
        <v>513099</v>
      </c>
      <c r="N1646" s="69">
        <v>-1.1599999999999999</v>
      </c>
      <c r="O1646" s="69">
        <v>2.02</v>
      </c>
      <c r="P1646" s="69">
        <v>29.71</v>
      </c>
      <c r="Q1646" s="27">
        <v>84</v>
      </c>
      <c r="R1646" s="69">
        <v>7.58</v>
      </c>
      <c r="S1646" s="69">
        <v>615.42999999999995</v>
      </c>
      <c r="X1646" s="2">
        <f t="shared" si="75"/>
        <v>0.16</v>
      </c>
      <c r="Y1646" s="2">
        <f>SUMIF(收盤價!A:A,A1646,收盤價!C:C)</f>
        <v>38.25</v>
      </c>
      <c r="Z1646" s="2">
        <f t="shared" si="76"/>
        <v>1524417.1290000002</v>
      </c>
      <c r="AA1646" s="2">
        <f t="shared" si="77"/>
        <v>1962603.675</v>
      </c>
    </row>
    <row r="1647" spans="1:27" ht="14.5" customHeight="1">
      <c r="A1647" s="7" t="s">
        <v>7010</v>
      </c>
      <c r="B1647" s="8" t="s">
        <v>3425</v>
      </c>
      <c r="C1647" s="27">
        <v>1484770</v>
      </c>
      <c r="D1647" s="27">
        <v>1623655</v>
      </c>
      <c r="E1647" s="69">
        <v>-8.5500000000000007</v>
      </c>
      <c r="F1647" s="27">
        <v>210751</v>
      </c>
      <c r="G1647" s="27">
        <v>541118</v>
      </c>
      <c r="H1647" s="27">
        <v>39949</v>
      </c>
      <c r="I1647" s="27">
        <v>8831</v>
      </c>
      <c r="J1647" s="27">
        <v>106678</v>
      </c>
      <c r="K1647" s="27">
        <v>366895</v>
      </c>
      <c r="L1647" s="69">
        <v>-70.92</v>
      </c>
      <c r="M1647" s="27">
        <v>377525</v>
      </c>
      <c r="N1647" s="69">
        <v>2.94</v>
      </c>
      <c r="O1647" s="69">
        <v>9.7799999999999994</v>
      </c>
      <c r="P1647" s="69">
        <v>19.68</v>
      </c>
      <c r="Q1647" s="27">
        <v>38</v>
      </c>
      <c r="R1647" s="69">
        <v>1.92</v>
      </c>
      <c r="S1647" s="69">
        <v>187.2</v>
      </c>
      <c r="X1647" s="2">
        <f t="shared" si="75"/>
        <v>0.62</v>
      </c>
      <c r="Y1647" s="2">
        <f>SUMIF(收盤價!A:A,A1647,收盤價!C:C)</f>
        <v>108</v>
      </c>
      <c r="Z1647" s="2">
        <f t="shared" si="76"/>
        <v>742969.2</v>
      </c>
      <c r="AA1647" s="2">
        <f t="shared" si="77"/>
        <v>4077270</v>
      </c>
    </row>
    <row r="1648" spans="1:27" ht="14.5" customHeight="1">
      <c r="A1648" s="7" t="s">
        <v>7011</v>
      </c>
      <c r="B1648" s="8" t="s">
        <v>3439</v>
      </c>
      <c r="C1648" s="27">
        <v>427717</v>
      </c>
      <c r="D1648" s="27">
        <v>421906</v>
      </c>
      <c r="E1648" s="69">
        <v>1.38</v>
      </c>
      <c r="F1648" s="27">
        <v>17478</v>
      </c>
      <c r="G1648" s="27">
        <v>20849</v>
      </c>
      <c r="H1648" s="27">
        <v>18220</v>
      </c>
      <c r="I1648" s="27">
        <v>10550</v>
      </c>
      <c r="J1648" s="27">
        <v>30299</v>
      </c>
      <c r="K1648" s="27">
        <v>28954</v>
      </c>
      <c r="L1648" s="69">
        <v>4.6500000000000004</v>
      </c>
      <c r="M1648" s="27">
        <v>303758</v>
      </c>
      <c r="N1648" s="69">
        <v>1</v>
      </c>
      <c r="O1648" s="69">
        <v>0.95</v>
      </c>
      <c r="P1648" s="69">
        <v>14.41</v>
      </c>
      <c r="Q1648" s="27">
        <v>56</v>
      </c>
      <c r="R1648" s="69">
        <v>1.66</v>
      </c>
      <c r="S1648" s="69">
        <v>120.36</v>
      </c>
      <c r="X1648" s="2">
        <f t="shared" si="75"/>
        <v>0.44</v>
      </c>
      <c r="Y1648" s="2">
        <f>SUMIF(收盤價!A:A,A1648,收盤價!C:C)</f>
        <v>0</v>
      </c>
      <c r="Z1648" s="2">
        <f t="shared" si="76"/>
        <v>437715.27800000005</v>
      </c>
      <c r="AA1648" s="2">
        <f t="shared" si="77"/>
        <v>0</v>
      </c>
    </row>
    <row r="1649" spans="1:27" ht="14.5" customHeight="1">
      <c r="A1649" s="7" t="s">
        <v>7012</v>
      </c>
      <c r="B1649" s="8" t="s">
        <v>3473</v>
      </c>
      <c r="C1649" s="27">
        <v>251914</v>
      </c>
      <c r="D1649" s="27">
        <v>274617</v>
      </c>
      <c r="E1649" s="69">
        <v>-8.27</v>
      </c>
      <c r="F1649" s="27">
        <v>-28481</v>
      </c>
      <c r="G1649" s="27">
        <v>-37114</v>
      </c>
      <c r="H1649" s="27">
        <v>4397</v>
      </c>
      <c r="I1649" s="27">
        <v>6700</v>
      </c>
      <c r="J1649" s="27">
        <v>-20762</v>
      </c>
      <c r="K1649" s="27">
        <v>-23953</v>
      </c>
      <c r="L1649" s="69">
        <v>13.32</v>
      </c>
      <c r="M1649" s="27">
        <v>470334</v>
      </c>
      <c r="N1649" s="69">
        <v>-0.47</v>
      </c>
      <c r="O1649" s="69">
        <v>-0.54</v>
      </c>
      <c r="P1649" s="69">
        <v>11.19</v>
      </c>
      <c r="Q1649" s="27">
        <v>82</v>
      </c>
      <c r="R1649" s="69">
        <v>5.8</v>
      </c>
      <c r="S1649" s="69">
        <v>250.91</v>
      </c>
      <c r="X1649" s="2">
        <f t="shared" si="75"/>
        <v>0.18</v>
      </c>
      <c r="Y1649" s="2">
        <f>SUMIF(收盤價!A:A,A1649,收盤價!C:C)</f>
        <v>13</v>
      </c>
      <c r="Z1649" s="2">
        <f t="shared" si="76"/>
        <v>526303.74600000004</v>
      </c>
      <c r="AA1649" s="2">
        <f t="shared" si="77"/>
        <v>611434.19999999995</v>
      </c>
    </row>
    <row r="1650" spans="1:27" ht="14.5" customHeight="1">
      <c r="A1650" s="7" t="s">
        <v>7013</v>
      </c>
      <c r="B1650" s="8" t="s">
        <v>1927</v>
      </c>
      <c r="C1650" s="27">
        <v>1818705</v>
      </c>
      <c r="D1650" s="27">
        <v>1488400</v>
      </c>
      <c r="E1650" s="69">
        <v>22.19</v>
      </c>
      <c r="F1650" s="27">
        <v>101096</v>
      </c>
      <c r="G1650" s="27">
        <v>66464</v>
      </c>
      <c r="H1650" s="27">
        <v>65450</v>
      </c>
      <c r="I1650" s="27">
        <v>45606</v>
      </c>
      <c r="J1650" s="27">
        <v>136414</v>
      </c>
      <c r="K1650" s="27">
        <v>99930</v>
      </c>
      <c r="L1650" s="69">
        <v>36.51</v>
      </c>
      <c r="M1650" s="27">
        <v>339900</v>
      </c>
      <c r="N1650" s="69">
        <v>4.01</v>
      </c>
      <c r="O1650" s="69">
        <v>3.1</v>
      </c>
      <c r="P1650" s="69">
        <v>29.79</v>
      </c>
      <c r="Q1650" s="27">
        <v>58</v>
      </c>
      <c r="R1650" s="69">
        <v>1.67</v>
      </c>
      <c r="S1650" s="69">
        <v>129.6</v>
      </c>
      <c r="X1650" s="2">
        <f t="shared" si="75"/>
        <v>0.42</v>
      </c>
      <c r="Y1650" s="2">
        <f>SUMIF(收盤價!A:A,A1650,收盤價!C:C)</f>
        <v>52.8</v>
      </c>
      <c r="Z1650" s="2">
        <f t="shared" si="76"/>
        <v>1012562.1</v>
      </c>
      <c r="AA1650" s="2">
        <f t="shared" si="77"/>
        <v>1794672</v>
      </c>
    </row>
    <row r="1651" spans="1:27" ht="14.5" customHeight="1">
      <c r="A1651" s="7" t="s">
        <v>7014</v>
      </c>
      <c r="B1651" s="8" t="s">
        <v>2447</v>
      </c>
      <c r="C1651" s="27">
        <v>365795</v>
      </c>
      <c r="D1651" s="27">
        <v>187418</v>
      </c>
      <c r="E1651" s="69">
        <v>95.18</v>
      </c>
      <c r="F1651" s="27">
        <v>111941</v>
      </c>
      <c r="G1651" s="27">
        <v>11376</v>
      </c>
      <c r="H1651" s="27">
        <v>-6451</v>
      </c>
      <c r="I1651" s="27">
        <v>17455</v>
      </c>
      <c r="J1651" s="27">
        <v>77180</v>
      </c>
      <c r="K1651" s="27">
        <v>28571</v>
      </c>
      <c r="L1651" s="69">
        <v>170.13</v>
      </c>
      <c r="M1651" s="27">
        <v>405900</v>
      </c>
      <c r="N1651" s="69">
        <v>2</v>
      </c>
      <c r="O1651" s="69">
        <v>0.83</v>
      </c>
      <c r="P1651" s="69">
        <v>13.69</v>
      </c>
      <c r="Q1651" s="27">
        <v>72</v>
      </c>
      <c r="R1651" s="69">
        <v>4.5599999999999996</v>
      </c>
      <c r="S1651" s="69">
        <v>327.85</v>
      </c>
      <c r="X1651" s="2">
        <f t="shared" si="75"/>
        <v>0.28000000000000003</v>
      </c>
      <c r="Y1651" s="2">
        <f>SUMIF(收盤價!A:A,A1651,收盤價!C:C)</f>
        <v>67.5</v>
      </c>
      <c r="Z1651" s="2">
        <f t="shared" si="76"/>
        <v>555677.1</v>
      </c>
      <c r="AA1651" s="2">
        <f t="shared" si="77"/>
        <v>2739825</v>
      </c>
    </row>
    <row r="1652" spans="1:27" ht="14.5" customHeight="1">
      <c r="A1652" s="7" t="s">
        <v>7015</v>
      </c>
      <c r="B1652" s="8" t="s">
        <v>3139</v>
      </c>
      <c r="C1652" s="27">
        <v>2077267</v>
      </c>
      <c r="D1652" s="27">
        <v>2168932</v>
      </c>
      <c r="E1652" s="69">
        <v>-4.2300000000000004</v>
      </c>
      <c r="F1652" s="27">
        <v>298067</v>
      </c>
      <c r="G1652" s="27">
        <v>214572</v>
      </c>
      <c r="H1652" s="27">
        <v>-4319</v>
      </c>
      <c r="I1652" s="27">
        <v>33482</v>
      </c>
      <c r="J1652" s="27">
        <v>226314</v>
      </c>
      <c r="K1652" s="27">
        <v>182324</v>
      </c>
      <c r="L1652" s="69">
        <v>24.13</v>
      </c>
      <c r="M1652" s="27">
        <v>847822</v>
      </c>
      <c r="N1652" s="69">
        <v>2.67</v>
      </c>
      <c r="O1652" s="69">
        <v>2.16</v>
      </c>
      <c r="P1652" s="69">
        <v>26.2</v>
      </c>
      <c r="Q1652" s="27">
        <v>72</v>
      </c>
      <c r="R1652" s="69">
        <v>3.04</v>
      </c>
      <c r="S1652" s="69">
        <v>179.36</v>
      </c>
      <c r="X1652" s="2">
        <f t="shared" si="75"/>
        <v>0.28000000000000003</v>
      </c>
      <c r="Y1652" s="2">
        <f>SUMIF(收盤價!A:A,A1652,收盤價!C:C)</f>
        <v>29.95</v>
      </c>
      <c r="Z1652" s="2">
        <f t="shared" si="76"/>
        <v>2221293.6399999997</v>
      </c>
      <c r="AA1652" s="2">
        <f t="shared" si="77"/>
        <v>2539226.8899999997</v>
      </c>
    </row>
    <row r="1653" spans="1:27" ht="14.5" customHeight="1">
      <c r="A1653" s="7" t="s">
        <v>7016</v>
      </c>
      <c r="B1653" s="8" t="s">
        <v>3187</v>
      </c>
      <c r="C1653" s="27">
        <v>646599</v>
      </c>
      <c r="D1653" s="27">
        <v>622850</v>
      </c>
      <c r="E1653" s="69">
        <v>3.81</v>
      </c>
      <c r="F1653" s="27">
        <v>39128</v>
      </c>
      <c r="G1653" s="27">
        <v>31242</v>
      </c>
      <c r="H1653" s="27">
        <v>-7424</v>
      </c>
      <c r="I1653" s="27">
        <v>2290</v>
      </c>
      <c r="J1653" s="27">
        <v>21192</v>
      </c>
      <c r="K1653" s="27">
        <v>25139</v>
      </c>
      <c r="L1653" s="69">
        <v>-15.7</v>
      </c>
      <c r="M1653" s="27">
        <v>293624</v>
      </c>
      <c r="N1653" s="69">
        <v>0.72</v>
      </c>
      <c r="O1653" s="69">
        <v>0.94</v>
      </c>
      <c r="P1653" s="69">
        <v>23.79</v>
      </c>
      <c r="Q1653" s="27">
        <v>76</v>
      </c>
      <c r="R1653" s="69">
        <v>2.19</v>
      </c>
      <c r="S1653" s="69">
        <v>165.05</v>
      </c>
      <c r="X1653" s="2">
        <f t="shared" si="75"/>
        <v>0.24</v>
      </c>
      <c r="Y1653" s="2">
        <f>SUMIF(收盤價!A:A,A1653,收盤價!C:C)</f>
        <v>24.15</v>
      </c>
      <c r="Z1653" s="2">
        <f t="shared" si="76"/>
        <v>698531.49600000004</v>
      </c>
      <c r="AA1653" s="2">
        <f t="shared" si="77"/>
        <v>709101.96</v>
      </c>
    </row>
    <row r="1654" spans="1:27" ht="14.5" customHeight="1">
      <c r="A1654" s="7" t="s">
        <v>7017</v>
      </c>
      <c r="B1654" s="8" t="s">
        <v>2065</v>
      </c>
      <c r="C1654" s="27">
        <v>356030</v>
      </c>
      <c r="D1654" s="27">
        <v>980432</v>
      </c>
      <c r="E1654" s="69">
        <v>-63.69</v>
      </c>
      <c r="F1654" s="27">
        <v>-219862</v>
      </c>
      <c r="G1654" s="27">
        <v>-302953</v>
      </c>
      <c r="H1654" s="27">
        <v>-86469</v>
      </c>
      <c r="I1654" s="27">
        <v>-86956</v>
      </c>
      <c r="J1654" s="27">
        <v>-265392</v>
      </c>
      <c r="K1654" s="27">
        <v>-304478</v>
      </c>
      <c r="L1654" s="69">
        <v>12.84</v>
      </c>
      <c r="M1654" s="27">
        <v>1180817</v>
      </c>
      <c r="N1654" s="69">
        <v>-2.25</v>
      </c>
      <c r="O1654" s="69">
        <v>-2.58</v>
      </c>
      <c r="P1654" s="69">
        <v>0.39</v>
      </c>
      <c r="Q1654" s="27">
        <v>10</v>
      </c>
      <c r="R1654" s="69">
        <v>0.27</v>
      </c>
      <c r="S1654" s="69">
        <v>9.2799999999999994</v>
      </c>
      <c r="X1654" s="2">
        <f t="shared" si="75"/>
        <v>0.9</v>
      </c>
      <c r="Y1654" s="2">
        <f>SUMIF(收盤價!A:A,A1654,收盤價!C:C)</f>
        <v>3.27</v>
      </c>
      <c r="Z1654" s="2">
        <f t="shared" si="76"/>
        <v>46051.862999999998</v>
      </c>
      <c r="AA1654" s="2">
        <f t="shared" si="77"/>
        <v>386127.15899999999</v>
      </c>
    </row>
    <row r="1655" spans="1:27" ht="14.5" customHeight="1">
      <c r="A1655" s="7" t="s">
        <v>7018</v>
      </c>
      <c r="B1655" s="8" t="s">
        <v>2697</v>
      </c>
      <c r="C1655" s="27">
        <v>1036927</v>
      </c>
      <c r="D1655" s="27">
        <v>829930</v>
      </c>
      <c r="E1655" s="69">
        <v>24.94</v>
      </c>
      <c r="F1655" s="27">
        <v>276799</v>
      </c>
      <c r="G1655" s="27">
        <v>203054</v>
      </c>
      <c r="H1655" s="27">
        <v>739</v>
      </c>
      <c r="I1655" s="27">
        <v>6211</v>
      </c>
      <c r="J1655" s="27">
        <v>216577</v>
      </c>
      <c r="K1655" s="27">
        <v>187681</v>
      </c>
      <c r="L1655" s="69">
        <v>15.4</v>
      </c>
      <c r="M1655" s="27">
        <v>143560</v>
      </c>
      <c r="N1655" s="69">
        <v>15.45</v>
      </c>
      <c r="O1655" s="69">
        <v>13.48</v>
      </c>
      <c r="P1655" s="69">
        <v>23.31</v>
      </c>
      <c r="Q1655" s="27">
        <v>56</v>
      </c>
      <c r="R1655" s="69">
        <v>2.93</v>
      </c>
      <c r="S1655" s="69">
        <v>287.58</v>
      </c>
      <c r="X1655" s="2">
        <f t="shared" si="75"/>
        <v>0.44</v>
      </c>
      <c r="Y1655" s="2">
        <f>SUMIF(收盤價!A:A,A1655,收盤價!C:C)</f>
        <v>134</v>
      </c>
      <c r="Z1655" s="2">
        <f t="shared" si="76"/>
        <v>334638.36</v>
      </c>
      <c r="AA1655" s="2">
        <f t="shared" si="77"/>
        <v>1923704</v>
      </c>
    </row>
    <row r="1656" spans="1:27" ht="14.5" customHeight="1">
      <c r="A1656" s="7" t="s">
        <v>7019</v>
      </c>
      <c r="B1656" s="8" t="s">
        <v>2701</v>
      </c>
      <c r="C1656" s="27">
        <v>1468031</v>
      </c>
      <c r="D1656" s="27">
        <v>1478744</v>
      </c>
      <c r="E1656" s="69">
        <v>-0.72</v>
      </c>
      <c r="F1656" s="27">
        <v>717142</v>
      </c>
      <c r="G1656" s="27">
        <v>728260</v>
      </c>
      <c r="H1656" s="27">
        <v>38412</v>
      </c>
      <c r="I1656" s="27">
        <v>25393</v>
      </c>
      <c r="J1656" s="27">
        <v>601159</v>
      </c>
      <c r="K1656" s="27">
        <v>595540</v>
      </c>
      <c r="L1656" s="69">
        <v>0.94</v>
      </c>
      <c r="M1656" s="27">
        <v>425755</v>
      </c>
      <c r="N1656" s="69">
        <v>14.14</v>
      </c>
      <c r="O1656" s="69">
        <v>14.04</v>
      </c>
      <c r="P1656" s="69">
        <v>41.13</v>
      </c>
      <c r="Q1656" s="27">
        <v>64</v>
      </c>
      <c r="R1656" s="69">
        <v>1.51</v>
      </c>
      <c r="S1656" s="69">
        <v>151.16999999999999</v>
      </c>
      <c r="X1656" s="2">
        <f t="shared" si="75"/>
        <v>0.36</v>
      </c>
      <c r="Y1656" s="2">
        <f>SUMIF(收盤價!A:A,A1656,收盤價!C:C)</f>
        <v>240.5</v>
      </c>
      <c r="Z1656" s="2">
        <f t="shared" si="76"/>
        <v>1751130.3150000002</v>
      </c>
      <c r="AA1656" s="2">
        <f t="shared" si="77"/>
        <v>10239407.75</v>
      </c>
    </row>
    <row r="1657" spans="1:27" ht="14.5" customHeight="1">
      <c r="A1657" s="7" t="s">
        <v>7020</v>
      </c>
      <c r="B1657" s="8" t="s">
        <v>3263</v>
      </c>
      <c r="C1657" s="27">
        <v>38883580</v>
      </c>
      <c r="D1657" s="27">
        <v>34594364</v>
      </c>
      <c r="E1657" s="69">
        <v>12.4</v>
      </c>
      <c r="F1657" s="27">
        <v>277916</v>
      </c>
      <c r="G1657" s="27">
        <v>-1726844</v>
      </c>
      <c r="H1657" s="27">
        <v>-45901</v>
      </c>
      <c r="I1657" s="27">
        <v>27041</v>
      </c>
      <c r="J1657" s="27">
        <v>162437</v>
      </c>
      <c r="K1657" s="27">
        <v>-994643</v>
      </c>
      <c r="L1657" s="69">
        <v>116.33</v>
      </c>
      <c r="M1657" s="27">
        <v>1171595</v>
      </c>
      <c r="N1657" s="69">
        <v>1.39</v>
      </c>
      <c r="O1657" s="69">
        <v>-8.49</v>
      </c>
      <c r="P1657" s="69">
        <v>25.97</v>
      </c>
      <c r="Q1657" s="27">
        <v>20</v>
      </c>
      <c r="R1657" s="69">
        <v>1.41</v>
      </c>
      <c r="S1657" s="69">
        <v>119.5</v>
      </c>
      <c r="X1657" s="2">
        <f t="shared" si="75"/>
        <v>0.8</v>
      </c>
      <c r="Y1657" s="2">
        <f>SUMIF(收盤價!A:A,A1657,收盤價!C:C)</f>
        <v>94.7</v>
      </c>
      <c r="Z1657" s="2">
        <f t="shared" si="76"/>
        <v>3042632.2149999999</v>
      </c>
      <c r="AA1657" s="2">
        <f t="shared" si="77"/>
        <v>11095004.65</v>
      </c>
    </row>
    <row r="1658" spans="1:27" ht="14.5" customHeight="1">
      <c r="A1658" s="7" t="s">
        <v>7021</v>
      </c>
      <c r="B1658" s="8" t="s">
        <v>3419</v>
      </c>
      <c r="C1658" s="27">
        <v>444750</v>
      </c>
      <c r="D1658" s="27">
        <v>438038</v>
      </c>
      <c r="E1658" s="69">
        <v>1.53</v>
      </c>
      <c r="F1658" s="27">
        <v>37554</v>
      </c>
      <c r="G1658" s="27">
        <v>-4937</v>
      </c>
      <c r="H1658" s="27">
        <v>6762</v>
      </c>
      <c r="I1658" s="27">
        <v>12475</v>
      </c>
      <c r="J1658" s="27">
        <v>35105</v>
      </c>
      <c r="K1658" s="27">
        <v>4752</v>
      </c>
      <c r="L1658" s="69">
        <v>638.74</v>
      </c>
      <c r="M1658" s="27">
        <v>183388</v>
      </c>
      <c r="N1658" s="69">
        <v>1.85</v>
      </c>
      <c r="O1658" s="69">
        <v>0.23</v>
      </c>
      <c r="P1658" s="69">
        <v>30.55</v>
      </c>
      <c r="Q1658" s="27">
        <v>47</v>
      </c>
      <c r="R1658" s="69">
        <v>1.54</v>
      </c>
      <c r="S1658" s="69">
        <v>133.4</v>
      </c>
      <c r="X1658" s="2">
        <f t="shared" si="75"/>
        <v>0.53</v>
      </c>
      <c r="Y1658" s="2">
        <f>SUMIF(收盤價!A:A,A1658,收盤價!C:C)</f>
        <v>28</v>
      </c>
      <c r="Z1658" s="2">
        <f t="shared" si="76"/>
        <v>560250.34000000008</v>
      </c>
      <c r="AA1658" s="2">
        <f t="shared" si="77"/>
        <v>513486.4</v>
      </c>
    </row>
    <row r="1659" spans="1:27" ht="14.5" customHeight="1">
      <c r="A1659" s="7" t="s">
        <v>7022</v>
      </c>
      <c r="B1659" s="8" t="s">
        <v>3423</v>
      </c>
      <c r="C1659" s="27">
        <v>5091386</v>
      </c>
      <c r="D1659" s="27">
        <v>4959316</v>
      </c>
      <c r="E1659" s="69">
        <v>2.66</v>
      </c>
      <c r="F1659" s="27">
        <v>38654</v>
      </c>
      <c r="G1659" s="27">
        <v>29642</v>
      </c>
      <c r="H1659" s="27">
        <v>16618</v>
      </c>
      <c r="I1659" s="27">
        <v>18967</v>
      </c>
      <c r="J1659" s="27">
        <v>38149</v>
      </c>
      <c r="K1659" s="27">
        <v>47295</v>
      </c>
      <c r="L1659" s="69">
        <v>-19.34</v>
      </c>
      <c r="M1659" s="27">
        <v>249611</v>
      </c>
      <c r="N1659" s="69">
        <v>1.53</v>
      </c>
      <c r="O1659" s="69">
        <v>1.9</v>
      </c>
      <c r="P1659" s="69">
        <v>17.47</v>
      </c>
      <c r="Q1659" s="27">
        <v>39</v>
      </c>
      <c r="R1659" s="69">
        <v>1.93</v>
      </c>
      <c r="S1659" s="69">
        <v>190.63</v>
      </c>
      <c r="X1659" s="2">
        <f t="shared" si="75"/>
        <v>0.61</v>
      </c>
      <c r="Y1659" s="2">
        <f>SUMIF(收盤價!A:A,A1659,收盤價!C:C)</f>
        <v>38.85</v>
      </c>
      <c r="Z1659" s="2">
        <f t="shared" si="76"/>
        <v>436070.41700000002</v>
      </c>
      <c r="AA1659" s="2">
        <f t="shared" si="77"/>
        <v>969738.73499999999</v>
      </c>
    </row>
    <row r="1660" spans="1:27" ht="14.5" customHeight="1">
      <c r="A1660" s="7" t="s">
        <v>7023</v>
      </c>
      <c r="B1660" s="8" t="s">
        <v>1963</v>
      </c>
      <c r="C1660" s="27">
        <v>1145320</v>
      </c>
      <c r="D1660" s="27">
        <v>423811</v>
      </c>
      <c r="E1660" s="69">
        <v>170.24</v>
      </c>
      <c r="F1660" s="27">
        <v>64736</v>
      </c>
      <c r="G1660" s="27">
        <v>-75218</v>
      </c>
      <c r="H1660" s="27">
        <v>-11404</v>
      </c>
      <c r="I1660" s="27">
        <v>-25668</v>
      </c>
      <c r="J1660" s="27">
        <v>53332</v>
      </c>
      <c r="K1660" s="27">
        <v>-100886</v>
      </c>
      <c r="L1660" s="69">
        <v>152.86000000000001</v>
      </c>
      <c r="M1660" s="27">
        <v>715500</v>
      </c>
      <c r="N1660" s="69">
        <v>0.88</v>
      </c>
      <c r="O1660" s="69">
        <v>-1.93</v>
      </c>
      <c r="P1660" s="69">
        <v>12.46</v>
      </c>
      <c r="Q1660" s="27">
        <v>59</v>
      </c>
      <c r="R1660" s="69">
        <v>2.02</v>
      </c>
      <c r="S1660" s="69">
        <v>129.19999999999999</v>
      </c>
      <c r="X1660" s="2">
        <f t="shared" si="75"/>
        <v>0.41</v>
      </c>
      <c r="Y1660" s="2">
        <f>SUMIF(收盤價!A:A,A1660,收盤價!C:C)</f>
        <v>20.25</v>
      </c>
      <c r="Z1660" s="2">
        <f t="shared" si="76"/>
        <v>891513</v>
      </c>
      <c r="AA1660" s="2">
        <f t="shared" si="77"/>
        <v>1448887.5</v>
      </c>
    </row>
    <row r="1661" spans="1:27" ht="14.5" customHeight="1">
      <c r="A1661" s="7" t="s">
        <v>7024</v>
      </c>
      <c r="B1661" s="8" t="s">
        <v>2549</v>
      </c>
      <c r="C1661" s="27">
        <v>1111997</v>
      </c>
      <c r="D1661" s="27">
        <v>439688</v>
      </c>
      <c r="E1661" s="69">
        <v>152.91</v>
      </c>
      <c r="F1661" s="27">
        <v>9181</v>
      </c>
      <c r="G1661" s="27">
        <v>-76259</v>
      </c>
      <c r="H1661" s="27">
        <v>69883</v>
      </c>
      <c r="I1661" s="27">
        <v>-465031</v>
      </c>
      <c r="J1661" s="27">
        <v>74435</v>
      </c>
      <c r="K1661" s="27">
        <v>-540164</v>
      </c>
      <c r="L1661" s="69">
        <v>113.78</v>
      </c>
      <c r="M1661" s="27">
        <v>723332</v>
      </c>
      <c r="N1661" s="69">
        <v>1.03</v>
      </c>
      <c r="O1661" s="69">
        <v>-7.48</v>
      </c>
      <c r="P1661" s="69">
        <v>13.18</v>
      </c>
      <c r="Q1661" s="27">
        <v>68</v>
      </c>
      <c r="R1661" s="69">
        <v>1.24</v>
      </c>
      <c r="S1661" s="69">
        <v>61.77</v>
      </c>
      <c r="X1661" s="2">
        <f t="shared" si="75"/>
        <v>0.32</v>
      </c>
      <c r="Y1661" s="2">
        <f>SUMIF(收盤價!A:A,A1661,收盤價!C:C)</f>
        <v>13.75</v>
      </c>
      <c r="Z1661" s="2">
        <f t="shared" si="76"/>
        <v>953351.576</v>
      </c>
      <c r="AA1661" s="2">
        <f t="shared" si="77"/>
        <v>994581.5</v>
      </c>
    </row>
    <row r="1662" spans="1:27" ht="14.5" customHeight="1">
      <c r="A1662" s="7" t="s">
        <v>7025</v>
      </c>
      <c r="B1662" s="8" t="s">
        <v>2551</v>
      </c>
      <c r="C1662" s="27">
        <v>1496504</v>
      </c>
      <c r="D1662" s="27">
        <v>1676157</v>
      </c>
      <c r="E1662" s="69">
        <v>-10.72</v>
      </c>
      <c r="F1662" s="27">
        <v>88159</v>
      </c>
      <c r="G1662" s="27">
        <v>129300</v>
      </c>
      <c r="H1662" s="27">
        <v>12478</v>
      </c>
      <c r="I1662" s="27">
        <v>2394</v>
      </c>
      <c r="J1662" s="27">
        <v>81505</v>
      </c>
      <c r="K1662" s="27">
        <v>102239</v>
      </c>
      <c r="L1662" s="69">
        <v>-20.28</v>
      </c>
      <c r="M1662" s="27">
        <v>790301</v>
      </c>
      <c r="N1662" s="69">
        <v>1.03</v>
      </c>
      <c r="O1662" s="69">
        <v>1.29</v>
      </c>
      <c r="P1662" s="69">
        <v>18.04</v>
      </c>
      <c r="Q1662" s="27">
        <v>85</v>
      </c>
      <c r="R1662" s="69">
        <v>6.32</v>
      </c>
      <c r="S1662" s="69">
        <v>385.3</v>
      </c>
      <c r="X1662" s="2">
        <f t="shared" si="75"/>
        <v>0.15</v>
      </c>
      <c r="Y1662" s="2">
        <f>SUMIF(收盤價!A:A,A1662,收盤價!C:C)</f>
        <v>18.7</v>
      </c>
      <c r="Z1662" s="2">
        <f t="shared" si="76"/>
        <v>1425703.004</v>
      </c>
      <c r="AA1662" s="2">
        <f t="shared" si="77"/>
        <v>1477862.8699999999</v>
      </c>
    </row>
    <row r="1663" spans="1:27" ht="14.5" customHeight="1">
      <c r="A1663" s="7" t="s">
        <v>7026</v>
      </c>
      <c r="B1663" s="8" t="s">
        <v>2553</v>
      </c>
      <c r="C1663" s="27">
        <v>1711425</v>
      </c>
      <c r="D1663" s="27">
        <v>1856511</v>
      </c>
      <c r="E1663" s="69">
        <v>-7.81</v>
      </c>
      <c r="F1663" s="27">
        <v>48391</v>
      </c>
      <c r="G1663" s="27">
        <v>-2513</v>
      </c>
      <c r="H1663" s="27">
        <v>249509</v>
      </c>
      <c r="I1663" s="27">
        <v>248462</v>
      </c>
      <c r="J1663" s="27">
        <v>290294</v>
      </c>
      <c r="K1663" s="27">
        <v>247122</v>
      </c>
      <c r="L1663" s="69">
        <v>17.47</v>
      </c>
      <c r="M1663" s="27">
        <v>2865672</v>
      </c>
      <c r="N1663" s="69">
        <v>1.01</v>
      </c>
      <c r="O1663" s="69">
        <v>0.86</v>
      </c>
      <c r="P1663" s="69">
        <v>15.93</v>
      </c>
      <c r="Q1663" s="27">
        <v>60</v>
      </c>
      <c r="R1663" s="69">
        <v>0.46</v>
      </c>
      <c r="S1663" s="69">
        <v>34.700000000000003</v>
      </c>
      <c r="X1663" s="2">
        <f t="shared" si="75"/>
        <v>0.4</v>
      </c>
      <c r="Y1663" s="2">
        <f>SUMIF(收盤價!A:A,A1663,收盤價!C:C)</f>
        <v>9.75</v>
      </c>
      <c r="Z1663" s="2">
        <f t="shared" si="76"/>
        <v>4565015.4960000003</v>
      </c>
      <c r="AA1663" s="2">
        <f t="shared" si="77"/>
        <v>2794030.2</v>
      </c>
    </row>
    <row r="1664" spans="1:27" ht="14.5" customHeight="1">
      <c r="A1664" s="7" t="s">
        <v>7027</v>
      </c>
      <c r="B1664" s="8" t="s">
        <v>2555</v>
      </c>
      <c r="C1664" s="27">
        <v>1046430</v>
      </c>
      <c r="D1664" s="27">
        <v>1167662</v>
      </c>
      <c r="E1664" s="69">
        <v>-10.38</v>
      </c>
      <c r="F1664" s="27">
        <v>31805</v>
      </c>
      <c r="G1664" s="27">
        <v>25266</v>
      </c>
      <c r="H1664" s="27">
        <v>2622</v>
      </c>
      <c r="I1664" s="27">
        <v>5772</v>
      </c>
      <c r="J1664" s="27">
        <v>33722</v>
      </c>
      <c r="K1664" s="27">
        <v>23538</v>
      </c>
      <c r="L1664" s="69">
        <v>43.27</v>
      </c>
      <c r="M1664" s="27">
        <v>610560</v>
      </c>
      <c r="N1664" s="69">
        <v>0.55000000000000004</v>
      </c>
      <c r="O1664" s="69">
        <v>0.39</v>
      </c>
      <c r="P1664" s="69">
        <v>17.899999999999999</v>
      </c>
      <c r="Q1664" s="27">
        <v>80</v>
      </c>
      <c r="R1664" s="69">
        <v>4.9000000000000004</v>
      </c>
      <c r="S1664" s="69">
        <v>346.19</v>
      </c>
      <c r="X1664" s="2">
        <f t="shared" si="75"/>
        <v>0.2</v>
      </c>
      <c r="Y1664" s="2">
        <f>SUMIF(收盤價!A:A,A1664,收盤價!C:C)</f>
        <v>14.25</v>
      </c>
      <c r="Z1664" s="2">
        <f t="shared" si="76"/>
        <v>1092902.3999999999</v>
      </c>
      <c r="AA1664" s="2">
        <f t="shared" si="77"/>
        <v>870048</v>
      </c>
    </row>
    <row r="1665" spans="1:27" ht="14.5" customHeight="1">
      <c r="A1665" s="7" t="s">
        <v>7028</v>
      </c>
      <c r="B1665" s="8" t="s">
        <v>2559</v>
      </c>
      <c r="C1665" s="27">
        <v>722639</v>
      </c>
      <c r="D1665" s="27">
        <v>491406</v>
      </c>
      <c r="E1665" s="69">
        <v>47.06</v>
      </c>
      <c r="F1665" s="27">
        <v>24748</v>
      </c>
      <c r="G1665" s="27">
        <v>-22165</v>
      </c>
      <c r="H1665" s="27">
        <v>37645</v>
      </c>
      <c r="I1665" s="27">
        <v>117001</v>
      </c>
      <c r="J1665" s="27">
        <v>103943</v>
      </c>
      <c r="K1665" s="27">
        <v>88839</v>
      </c>
      <c r="L1665" s="69">
        <v>17</v>
      </c>
      <c r="M1665" s="27">
        <v>1032671</v>
      </c>
      <c r="N1665" s="69">
        <v>1.01</v>
      </c>
      <c r="O1665" s="69">
        <v>0.98</v>
      </c>
      <c r="P1665" s="69">
        <v>12.37</v>
      </c>
      <c r="Q1665" s="27">
        <v>67</v>
      </c>
      <c r="R1665" s="69">
        <v>1.71</v>
      </c>
      <c r="S1665" s="69">
        <v>86.87</v>
      </c>
      <c r="X1665" s="2">
        <f t="shared" si="75"/>
        <v>0.33</v>
      </c>
      <c r="Y1665" s="2">
        <f>SUMIF(收盤價!A:A,A1665,收盤價!C:C)</f>
        <v>14.8</v>
      </c>
      <c r="Z1665" s="2">
        <f t="shared" si="76"/>
        <v>1277414.027</v>
      </c>
      <c r="AA1665" s="2">
        <f t="shared" si="77"/>
        <v>1528353.08</v>
      </c>
    </row>
    <row r="1666" spans="1:27" ht="14.5" customHeight="1">
      <c r="A1666" s="7" t="s">
        <v>7029</v>
      </c>
      <c r="B1666" s="8" t="s">
        <v>2561</v>
      </c>
      <c r="C1666" s="27">
        <v>992603</v>
      </c>
      <c r="D1666" s="27">
        <v>1083513</v>
      </c>
      <c r="E1666" s="69">
        <v>-8.39</v>
      </c>
      <c r="F1666" s="27">
        <v>36065</v>
      </c>
      <c r="G1666" s="27">
        <v>-2748</v>
      </c>
      <c r="H1666" s="27">
        <v>-3755</v>
      </c>
      <c r="I1666" s="27">
        <v>32914</v>
      </c>
      <c r="J1666" s="27">
        <v>31387</v>
      </c>
      <c r="K1666" s="27">
        <v>27406</v>
      </c>
      <c r="L1666" s="69">
        <v>14.53</v>
      </c>
      <c r="M1666" s="27">
        <v>751716</v>
      </c>
      <c r="N1666" s="69">
        <v>0.43</v>
      </c>
      <c r="O1666" s="69">
        <v>0.37</v>
      </c>
      <c r="P1666" s="69">
        <v>12.14</v>
      </c>
      <c r="Q1666" s="27">
        <v>57</v>
      </c>
      <c r="R1666" s="69">
        <v>2.2599999999999998</v>
      </c>
      <c r="S1666" s="69">
        <v>183.32</v>
      </c>
      <c r="X1666" s="2">
        <f t="shared" si="75"/>
        <v>0.43</v>
      </c>
      <c r="Y1666" s="2">
        <f>SUMIF(收盤價!A:A,A1666,收盤價!C:C)</f>
        <v>14.3</v>
      </c>
      <c r="Z1666" s="2">
        <f t="shared" si="76"/>
        <v>912583.22400000005</v>
      </c>
      <c r="AA1666" s="2">
        <f t="shared" si="77"/>
        <v>1074953.8800000001</v>
      </c>
    </row>
    <row r="1667" spans="1:27" ht="14.5" customHeight="1">
      <c r="A1667" s="7" t="s">
        <v>7030</v>
      </c>
      <c r="B1667" s="8" t="s">
        <v>2563</v>
      </c>
      <c r="C1667" s="27">
        <v>3314587</v>
      </c>
      <c r="D1667" s="27">
        <v>4917081</v>
      </c>
      <c r="E1667" s="69">
        <v>-32.590000000000003</v>
      </c>
      <c r="F1667" s="27">
        <v>231725</v>
      </c>
      <c r="G1667" s="27">
        <v>216739</v>
      </c>
      <c r="H1667" s="27">
        <v>45680</v>
      </c>
      <c r="I1667" s="27">
        <v>83967</v>
      </c>
      <c r="J1667" s="27">
        <v>218871</v>
      </c>
      <c r="K1667" s="27">
        <v>244138</v>
      </c>
      <c r="L1667" s="69">
        <v>-10.35</v>
      </c>
      <c r="M1667" s="27">
        <v>749863</v>
      </c>
      <c r="N1667" s="69">
        <v>2.92</v>
      </c>
      <c r="O1667" s="69">
        <v>3.26</v>
      </c>
      <c r="P1667" s="69">
        <v>16.420000000000002</v>
      </c>
      <c r="Q1667" s="27">
        <v>60</v>
      </c>
      <c r="R1667" s="69">
        <v>1.91</v>
      </c>
      <c r="S1667" s="69">
        <v>133.87</v>
      </c>
      <c r="X1667" s="2">
        <f t="shared" si="75"/>
        <v>0.4</v>
      </c>
      <c r="Y1667" s="2">
        <f>SUMIF(收盤價!A:A,A1667,收盤價!C:C)</f>
        <v>69.7</v>
      </c>
      <c r="Z1667" s="2">
        <f t="shared" si="76"/>
        <v>1231275.0460000001</v>
      </c>
      <c r="AA1667" s="2">
        <f t="shared" si="77"/>
        <v>5226545.1100000003</v>
      </c>
    </row>
    <row r="1668" spans="1:27" ht="14.5" customHeight="1">
      <c r="A1668" s="7" t="s">
        <v>7031</v>
      </c>
      <c r="B1668" s="8" t="s">
        <v>2575</v>
      </c>
      <c r="C1668" s="27">
        <v>707242</v>
      </c>
      <c r="D1668" s="27">
        <v>701813</v>
      </c>
      <c r="E1668" s="69">
        <v>0.77</v>
      </c>
      <c r="F1668" s="27">
        <v>43596</v>
      </c>
      <c r="G1668" s="27">
        <v>78148</v>
      </c>
      <c r="H1668" s="27">
        <v>3423</v>
      </c>
      <c r="I1668" s="27">
        <v>9832</v>
      </c>
      <c r="J1668" s="27">
        <v>38853</v>
      </c>
      <c r="K1668" s="27">
        <v>70990</v>
      </c>
      <c r="L1668" s="69">
        <v>-45.27</v>
      </c>
      <c r="M1668" s="27">
        <v>328416</v>
      </c>
      <c r="N1668" s="69">
        <v>1.18</v>
      </c>
      <c r="O1668" s="69">
        <v>2.16</v>
      </c>
      <c r="P1668" s="69">
        <v>27.42</v>
      </c>
      <c r="Q1668" s="27">
        <v>79</v>
      </c>
      <c r="R1668" s="69">
        <v>2.1800000000000002</v>
      </c>
      <c r="S1668" s="69">
        <v>174.14</v>
      </c>
      <c r="X1668" s="2">
        <f t="shared" si="75"/>
        <v>0.21</v>
      </c>
      <c r="Y1668" s="2">
        <f>SUMIF(收盤價!A:A,A1668,收盤價!C:C)</f>
        <v>30</v>
      </c>
      <c r="Z1668" s="2">
        <f t="shared" si="76"/>
        <v>900516.67200000002</v>
      </c>
      <c r="AA1668" s="2">
        <f t="shared" si="77"/>
        <v>985248</v>
      </c>
    </row>
    <row r="1669" spans="1:27" ht="14.5" customHeight="1">
      <c r="A1669" s="7" t="s">
        <v>7032</v>
      </c>
      <c r="B1669" s="8" t="s">
        <v>2585</v>
      </c>
      <c r="C1669" s="27">
        <v>571669</v>
      </c>
      <c r="D1669" s="27">
        <v>495797</v>
      </c>
      <c r="E1669" s="69">
        <v>15.3</v>
      </c>
      <c r="F1669" s="27">
        <v>84403</v>
      </c>
      <c r="G1669" s="27">
        <v>69013</v>
      </c>
      <c r="H1669" s="27">
        <v>-2613</v>
      </c>
      <c r="I1669" s="27">
        <v>13813</v>
      </c>
      <c r="J1669" s="27">
        <v>64083</v>
      </c>
      <c r="K1669" s="27">
        <v>65450</v>
      </c>
      <c r="L1669" s="69">
        <v>-2.09</v>
      </c>
      <c r="M1669" s="27">
        <v>187612</v>
      </c>
      <c r="N1669" s="69">
        <v>3.42</v>
      </c>
      <c r="O1669" s="69">
        <v>3.49</v>
      </c>
      <c r="P1669" s="69">
        <v>17.46</v>
      </c>
      <c r="Q1669" s="27">
        <v>46</v>
      </c>
      <c r="R1669" s="69">
        <v>2.08</v>
      </c>
      <c r="S1669" s="69">
        <v>170.34</v>
      </c>
      <c r="X1669" s="2">
        <f t="shared" ref="X1669:X1732" si="78">IF(W1669&lt;&gt;"",ROUND(W1669/U1669,2),(100-Q1669)/100)</f>
        <v>0.54</v>
      </c>
      <c r="Y1669" s="2">
        <f>SUMIF(收盤價!A:A,A1669,收盤價!C:C)</f>
        <v>52.6</v>
      </c>
      <c r="Z1669" s="2">
        <f t="shared" ref="Z1669:Z1732" si="79">IF(W1669&lt;&gt;"",U1669-W1669,M1669*P1669/10)</f>
        <v>327570.55200000003</v>
      </c>
      <c r="AA1669" s="2">
        <f t="shared" ref="AA1669:AA1732" si="80">Y1669*M1669/10</f>
        <v>986839.12000000011</v>
      </c>
    </row>
    <row r="1670" spans="1:27" ht="14.5" customHeight="1">
      <c r="A1670" s="7" t="s">
        <v>7033</v>
      </c>
      <c r="B1670" s="8" t="s">
        <v>2589</v>
      </c>
      <c r="C1670" s="27">
        <v>1123337</v>
      </c>
      <c r="D1670" s="27">
        <v>1061119</v>
      </c>
      <c r="E1670" s="69">
        <v>5.86</v>
      </c>
      <c r="F1670" s="27">
        <v>75709</v>
      </c>
      <c r="G1670" s="27">
        <v>51417</v>
      </c>
      <c r="H1670" s="27">
        <v>-4408</v>
      </c>
      <c r="I1670" s="27">
        <v>3113</v>
      </c>
      <c r="J1670" s="27">
        <v>60458</v>
      </c>
      <c r="K1670" s="27">
        <v>37973</v>
      </c>
      <c r="L1670" s="69">
        <v>59.21</v>
      </c>
      <c r="M1670" s="27">
        <v>314150</v>
      </c>
      <c r="N1670" s="69">
        <v>1.92</v>
      </c>
      <c r="O1670" s="69">
        <v>1.3</v>
      </c>
      <c r="P1670" s="69">
        <v>23.55</v>
      </c>
      <c r="Q1670" s="27">
        <v>56</v>
      </c>
      <c r="R1670" s="69">
        <v>3.17</v>
      </c>
      <c r="S1670" s="69">
        <v>240.56</v>
      </c>
      <c r="X1670" s="2">
        <f t="shared" si="78"/>
        <v>0.44</v>
      </c>
      <c r="Y1670" s="2">
        <f>SUMIF(收盤價!A:A,A1670,收盤價!C:C)</f>
        <v>0</v>
      </c>
      <c r="Z1670" s="2">
        <f t="shared" si="79"/>
        <v>739823.25</v>
      </c>
      <c r="AA1670" s="2">
        <f t="shared" si="80"/>
        <v>0</v>
      </c>
    </row>
    <row r="1671" spans="1:27" ht="14.5" customHeight="1">
      <c r="A1671" s="7" t="s">
        <v>7034</v>
      </c>
      <c r="B1671" s="8" t="s">
        <v>3137</v>
      </c>
      <c r="C1671" s="27">
        <v>2072967</v>
      </c>
      <c r="D1671" s="27">
        <v>2177211</v>
      </c>
      <c r="E1671" s="69">
        <v>-4.79</v>
      </c>
      <c r="F1671" s="27">
        <v>128472</v>
      </c>
      <c r="G1671" s="27">
        <v>122667</v>
      </c>
      <c r="H1671" s="27">
        <v>11151</v>
      </c>
      <c r="I1671" s="27">
        <v>1826</v>
      </c>
      <c r="J1671" s="27">
        <v>114837</v>
      </c>
      <c r="K1671" s="27">
        <v>106190</v>
      </c>
      <c r="L1671" s="69">
        <v>8.14</v>
      </c>
      <c r="M1671" s="27">
        <v>823608</v>
      </c>
      <c r="N1671" s="69">
        <v>1.39</v>
      </c>
      <c r="O1671" s="69">
        <v>1.29</v>
      </c>
      <c r="P1671" s="69">
        <v>15.03</v>
      </c>
      <c r="Q1671" s="27">
        <v>50</v>
      </c>
      <c r="R1671" s="69">
        <v>1.98</v>
      </c>
      <c r="S1671" s="69">
        <v>150.37</v>
      </c>
      <c r="X1671" s="2">
        <f t="shared" si="78"/>
        <v>0.5</v>
      </c>
      <c r="Y1671" s="2">
        <f>SUMIF(收盤價!A:A,A1671,收盤價!C:C)</f>
        <v>18.5</v>
      </c>
      <c r="Z1671" s="2">
        <f t="shared" si="79"/>
        <v>1237882.824</v>
      </c>
      <c r="AA1671" s="2">
        <f t="shared" si="80"/>
        <v>1523674.8</v>
      </c>
    </row>
    <row r="1672" spans="1:27" ht="14.5" customHeight="1">
      <c r="A1672" s="7" t="s">
        <v>7035</v>
      </c>
      <c r="B1672" s="8" t="s">
        <v>3141</v>
      </c>
      <c r="C1672" s="27">
        <v>3747684</v>
      </c>
      <c r="D1672" s="27">
        <v>3459556</v>
      </c>
      <c r="E1672" s="69">
        <v>8.33</v>
      </c>
      <c r="F1672" s="27">
        <v>289373</v>
      </c>
      <c r="G1672" s="27">
        <v>203572</v>
      </c>
      <c r="H1672" s="27">
        <v>-16007</v>
      </c>
      <c r="I1672" s="27">
        <v>11574</v>
      </c>
      <c r="J1672" s="27">
        <v>214001</v>
      </c>
      <c r="K1672" s="27">
        <v>169014</v>
      </c>
      <c r="L1672" s="69">
        <v>26.62</v>
      </c>
      <c r="M1672" s="27">
        <v>1761331</v>
      </c>
      <c r="N1672" s="69">
        <v>1.21</v>
      </c>
      <c r="O1672" s="69">
        <v>0.96</v>
      </c>
      <c r="P1672" s="69">
        <v>15.65</v>
      </c>
      <c r="Q1672" s="27">
        <v>47</v>
      </c>
      <c r="R1672" s="69">
        <v>1.18</v>
      </c>
      <c r="S1672" s="69">
        <v>77.33</v>
      </c>
      <c r="X1672" s="2">
        <f t="shared" si="78"/>
        <v>0.53</v>
      </c>
      <c r="Y1672" s="2">
        <f>SUMIF(收盤價!A:A,A1672,收盤價!C:C)</f>
        <v>18.5</v>
      </c>
      <c r="Z1672" s="2">
        <f t="shared" si="79"/>
        <v>2756483.0150000001</v>
      </c>
      <c r="AA1672" s="2">
        <f t="shared" si="80"/>
        <v>3258462.35</v>
      </c>
    </row>
    <row r="1673" spans="1:27" ht="14.5" customHeight="1">
      <c r="A1673" s="7" t="s">
        <v>7036</v>
      </c>
      <c r="B1673" s="8" t="s">
        <v>2857</v>
      </c>
      <c r="C1673" s="27">
        <v>8432197</v>
      </c>
      <c r="D1673" s="27">
        <v>8582626</v>
      </c>
      <c r="E1673" s="69">
        <v>-1.75</v>
      </c>
      <c r="F1673" s="27">
        <v>2415882</v>
      </c>
      <c r="G1673" s="27">
        <v>2606729</v>
      </c>
      <c r="H1673" s="28" t="s">
        <v>7037</v>
      </c>
      <c r="I1673" s="28" t="s">
        <v>7037</v>
      </c>
      <c r="J1673" s="27">
        <v>2273309</v>
      </c>
      <c r="K1673" s="27">
        <v>2509770</v>
      </c>
      <c r="L1673" s="69">
        <v>-9.42</v>
      </c>
      <c r="M1673" s="27">
        <v>37118197</v>
      </c>
      <c r="N1673" s="69">
        <v>0.62</v>
      </c>
      <c r="O1673" s="69">
        <v>0.69</v>
      </c>
      <c r="P1673" s="69">
        <v>12.29</v>
      </c>
      <c r="Q1673" s="27">
        <v>13</v>
      </c>
      <c r="R1673" s="28" t="s">
        <v>7037</v>
      </c>
      <c r="S1673" s="28">
        <v>0</v>
      </c>
      <c r="X1673" s="2">
        <f t="shared" si="78"/>
        <v>0.87</v>
      </c>
      <c r="Y1673" s="2">
        <f>SUMIF(收盤價!A:A,A1673,收盤價!C:C)</f>
        <v>9.75</v>
      </c>
      <c r="Z1673" s="2">
        <f t="shared" si="79"/>
        <v>45618264.112999998</v>
      </c>
      <c r="AA1673" s="2">
        <f t="shared" si="80"/>
        <v>36190242.075000003</v>
      </c>
    </row>
    <row r="1674" spans="1:27" ht="14.5" customHeight="1">
      <c r="A1674" s="7" t="s">
        <v>7038</v>
      </c>
      <c r="B1674" s="8" t="s">
        <v>2859</v>
      </c>
      <c r="C1674" s="27">
        <v>333592</v>
      </c>
      <c r="D1674" s="27">
        <v>378699</v>
      </c>
      <c r="E1674" s="69">
        <v>-11.91</v>
      </c>
      <c r="F1674" s="27">
        <v>112005</v>
      </c>
      <c r="G1674" s="27">
        <v>122197</v>
      </c>
      <c r="H1674" s="27">
        <v>26470</v>
      </c>
      <c r="I1674" s="27">
        <v>408522</v>
      </c>
      <c r="J1674" s="27">
        <v>135652</v>
      </c>
      <c r="K1674" s="27">
        <v>444988</v>
      </c>
      <c r="L1674" s="69">
        <v>-69.52</v>
      </c>
      <c r="M1674" s="27">
        <v>2374904</v>
      </c>
      <c r="N1674" s="69">
        <v>0.56999999999999995</v>
      </c>
      <c r="O1674" s="69">
        <v>1.9</v>
      </c>
      <c r="P1674" s="69">
        <v>14.89</v>
      </c>
      <c r="Q1674" s="27">
        <v>70</v>
      </c>
      <c r="R1674" s="69">
        <v>2.63</v>
      </c>
      <c r="S1674" s="69">
        <v>263.17</v>
      </c>
      <c r="X1674" s="2">
        <f t="shared" si="78"/>
        <v>0.3</v>
      </c>
      <c r="Y1674" s="2">
        <f>SUMIF(收盤價!A:A,A1674,收盤價!C:C)</f>
        <v>9.31</v>
      </c>
      <c r="Z1674" s="2">
        <f t="shared" si="79"/>
        <v>3536232.0560000003</v>
      </c>
      <c r="AA1674" s="2">
        <f t="shared" si="80"/>
        <v>2211035.6240000003</v>
      </c>
    </row>
    <row r="1675" spans="1:27" ht="14.5" customHeight="1">
      <c r="A1675" s="7" t="s">
        <v>7039</v>
      </c>
      <c r="B1675" s="8" t="s">
        <v>2861</v>
      </c>
      <c r="C1675" s="27">
        <v>863520</v>
      </c>
      <c r="D1675" s="27">
        <v>720606</v>
      </c>
      <c r="E1675" s="69">
        <v>19.829999999999998</v>
      </c>
      <c r="F1675" s="27">
        <v>85471</v>
      </c>
      <c r="G1675" s="27">
        <v>75987</v>
      </c>
      <c r="H1675" s="27">
        <v>2626</v>
      </c>
      <c r="I1675" s="27">
        <v>8051</v>
      </c>
      <c r="J1675" s="27">
        <v>74501</v>
      </c>
      <c r="K1675" s="27">
        <v>75806</v>
      </c>
      <c r="L1675" s="69">
        <v>-1.72</v>
      </c>
      <c r="M1675" s="27">
        <v>250243</v>
      </c>
      <c r="N1675" s="69">
        <v>3.04</v>
      </c>
      <c r="O1675" s="69">
        <v>3.2</v>
      </c>
      <c r="P1675" s="69">
        <v>21.43</v>
      </c>
      <c r="Q1675" s="27">
        <v>66</v>
      </c>
      <c r="R1675" s="69">
        <v>2.12</v>
      </c>
      <c r="S1675" s="69">
        <v>211.85</v>
      </c>
      <c r="X1675" s="2">
        <f t="shared" si="78"/>
        <v>0.34</v>
      </c>
      <c r="Y1675" s="2">
        <f>SUMIF(收盤價!A:A,A1675,收盤價!C:C)</f>
        <v>45.2</v>
      </c>
      <c r="Z1675" s="2">
        <f t="shared" si="79"/>
        <v>536270.74900000007</v>
      </c>
      <c r="AA1675" s="2">
        <f t="shared" si="80"/>
        <v>1131098.3600000001</v>
      </c>
    </row>
    <row r="1676" spans="1:27" ht="14.5" customHeight="1">
      <c r="A1676" s="7" t="s">
        <v>7040</v>
      </c>
      <c r="B1676" s="8" t="s">
        <v>2871</v>
      </c>
      <c r="C1676" s="27">
        <v>851358</v>
      </c>
      <c r="D1676" s="27">
        <v>297721</v>
      </c>
      <c r="E1676" s="69">
        <v>185.96</v>
      </c>
      <c r="F1676" s="27">
        <v>36534</v>
      </c>
      <c r="G1676" s="27">
        <v>-518563</v>
      </c>
      <c r="H1676" s="27">
        <v>102369</v>
      </c>
      <c r="I1676" s="27">
        <v>77070</v>
      </c>
      <c r="J1676" s="27">
        <v>140833</v>
      </c>
      <c r="K1676" s="27">
        <v>-440991</v>
      </c>
      <c r="L1676" s="69">
        <v>131.94</v>
      </c>
      <c r="M1676" s="27">
        <v>3505008</v>
      </c>
      <c r="N1676" s="69">
        <v>0.4</v>
      </c>
      <c r="O1676" s="69">
        <v>-1.2</v>
      </c>
      <c r="P1676" s="69">
        <v>11.25</v>
      </c>
      <c r="Q1676" s="27">
        <v>34</v>
      </c>
      <c r="R1676" s="69">
        <v>1.4</v>
      </c>
      <c r="S1676" s="69">
        <v>139.37</v>
      </c>
      <c r="X1676" s="2">
        <f t="shared" si="78"/>
        <v>0.66</v>
      </c>
      <c r="Y1676" s="2">
        <f>SUMIF(收盤價!A:A,A1676,收盤價!C:C)</f>
        <v>6.97</v>
      </c>
      <c r="Z1676" s="2">
        <f t="shared" si="79"/>
        <v>3943134</v>
      </c>
      <c r="AA1676" s="2">
        <f t="shared" si="80"/>
        <v>2442990.5759999999</v>
      </c>
    </row>
    <row r="1677" spans="1:27" ht="14.5" customHeight="1">
      <c r="A1677" s="7" t="s">
        <v>7041</v>
      </c>
      <c r="B1677" s="8" t="s">
        <v>2873</v>
      </c>
      <c r="C1677" s="27">
        <v>2173539</v>
      </c>
      <c r="D1677" s="27">
        <v>1395315</v>
      </c>
      <c r="E1677" s="69">
        <v>55.77</v>
      </c>
      <c r="F1677" s="27">
        <v>220362</v>
      </c>
      <c r="G1677" s="27">
        <v>-546622</v>
      </c>
      <c r="H1677" s="27">
        <v>88099</v>
      </c>
      <c r="I1677" s="27">
        <v>281068</v>
      </c>
      <c r="J1677" s="27">
        <v>284352</v>
      </c>
      <c r="K1677" s="27">
        <v>-278067</v>
      </c>
      <c r="L1677" s="69">
        <v>202.26</v>
      </c>
      <c r="M1677" s="27">
        <v>6103227</v>
      </c>
      <c r="N1677" s="69">
        <v>0.47</v>
      </c>
      <c r="O1677" s="69">
        <v>-0.43</v>
      </c>
      <c r="P1677" s="69">
        <v>12.23</v>
      </c>
      <c r="Q1677" s="27">
        <v>28</v>
      </c>
      <c r="R1677" s="69">
        <v>1.19</v>
      </c>
      <c r="S1677" s="69">
        <v>118.81</v>
      </c>
      <c r="X1677" s="2">
        <f t="shared" si="78"/>
        <v>0.72</v>
      </c>
      <c r="Y1677" s="2">
        <f>SUMIF(收盤價!A:A,A1677,收盤價!C:C)</f>
        <v>8.1</v>
      </c>
      <c r="Z1677" s="2">
        <f t="shared" si="79"/>
        <v>7464246.6210000012</v>
      </c>
      <c r="AA1677" s="2">
        <f t="shared" si="80"/>
        <v>4943613.8699999992</v>
      </c>
    </row>
    <row r="1678" spans="1:27" ht="14.5" customHeight="1">
      <c r="A1678" s="7" t="s">
        <v>7042</v>
      </c>
      <c r="B1678" s="8" t="s">
        <v>2875</v>
      </c>
      <c r="C1678" s="27">
        <v>228595</v>
      </c>
      <c r="D1678" s="27">
        <v>110777</v>
      </c>
      <c r="E1678" s="69">
        <v>106.36</v>
      </c>
      <c r="F1678" s="27">
        <v>73301</v>
      </c>
      <c r="G1678" s="27">
        <v>-26605</v>
      </c>
      <c r="H1678" s="27">
        <v>39855</v>
      </c>
      <c r="I1678" s="27">
        <v>32221</v>
      </c>
      <c r="J1678" s="27">
        <v>115838</v>
      </c>
      <c r="K1678" s="27">
        <v>2033</v>
      </c>
      <c r="L1678" s="28" t="s">
        <v>6378</v>
      </c>
      <c r="M1678" s="27">
        <v>2523532</v>
      </c>
      <c r="N1678" s="69">
        <v>0.46</v>
      </c>
      <c r="O1678" s="69">
        <v>0.01</v>
      </c>
      <c r="P1678" s="69">
        <v>15.83</v>
      </c>
      <c r="Q1678" s="27">
        <v>66</v>
      </c>
      <c r="R1678" s="69">
        <v>2.56</v>
      </c>
      <c r="S1678" s="69">
        <v>256.17</v>
      </c>
      <c r="X1678" s="2">
        <f t="shared" si="78"/>
        <v>0.34</v>
      </c>
      <c r="Y1678" s="2">
        <f>SUMIF(收盤價!A:A,A1678,收盤價!C:C)</f>
        <v>13</v>
      </c>
      <c r="Z1678" s="2">
        <f t="shared" si="79"/>
        <v>3994751.1560000004</v>
      </c>
      <c r="AA1678" s="2">
        <f t="shared" si="80"/>
        <v>3280591.6</v>
      </c>
    </row>
    <row r="1679" spans="1:27" ht="14.5" customHeight="1">
      <c r="A1679" s="7" t="s">
        <v>7043</v>
      </c>
      <c r="B1679" s="8" t="s">
        <v>2877</v>
      </c>
      <c r="C1679" s="27">
        <v>511627</v>
      </c>
      <c r="D1679" s="27">
        <v>613547</v>
      </c>
      <c r="E1679" s="69">
        <v>-16.61</v>
      </c>
      <c r="F1679" s="27">
        <v>-5413</v>
      </c>
      <c r="G1679" s="27">
        <v>93228</v>
      </c>
      <c r="H1679" s="27">
        <v>49451</v>
      </c>
      <c r="I1679" s="27">
        <v>146552</v>
      </c>
      <c r="J1679" s="27">
        <v>26087</v>
      </c>
      <c r="K1679" s="27">
        <v>196590</v>
      </c>
      <c r="L1679" s="69">
        <v>-86.73</v>
      </c>
      <c r="M1679" s="27">
        <v>3067559</v>
      </c>
      <c r="N1679" s="69">
        <v>0.09</v>
      </c>
      <c r="O1679" s="69">
        <v>0.64</v>
      </c>
      <c r="P1679" s="69">
        <v>15.13</v>
      </c>
      <c r="Q1679" s="27">
        <v>63</v>
      </c>
      <c r="R1679" s="69">
        <v>2.48</v>
      </c>
      <c r="S1679" s="69">
        <v>247.68</v>
      </c>
      <c r="X1679" s="2">
        <f t="shared" si="78"/>
        <v>0.37</v>
      </c>
      <c r="Y1679" s="2">
        <f>SUMIF(收盤價!A:A,A1679,收盤價!C:C)</f>
        <v>13.15</v>
      </c>
      <c r="Z1679" s="2">
        <f t="shared" si="79"/>
        <v>4641216.767</v>
      </c>
      <c r="AA1679" s="2">
        <f t="shared" si="80"/>
        <v>4033840.085</v>
      </c>
    </row>
    <row r="1680" spans="1:27" ht="14.5" customHeight="1">
      <c r="A1680" s="7" t="s">
        <v>7044</v>
      </c>
      <c r="B1680" s="8" t="s">
        <v>2879</v>
      </c>
      <c r="C1680" s="27">
        <v>2921105</v>
      </c>
      <c r="D1680" s="27">
        <v>3549183</v>
      </c>
      <c r="E1680" s="69">
        <v>-17.7</v>
      </c>
      <c r="F1680" s="27">
        <v>143087</v>
      </c>
      <c r="G1680" s="27">
        <v>415785</v>
      </c>
      <c r="H1680" s="27">
        <v>1266925</v>
      </c>
      <c r="I1680" s="27">
        <v>829797</v>
      </c>
      <c r="J1680" s="27">
        <v>1135799</v>
      </c>
      <c r="K1680" s="27">
        <v>1000045</v>
      </c>
      <c r="L1680" s="69">
        <v>13.57</v>
      </c>
      <c r="M1680" s="27">
        <v>2322763</v>
      </c>
      <c r="N1680" s="69">
        <v>4.8899999999999997</v>
      </c>
      <c r="O1680" s="69">
        <v>4.3099999999999996</v>
      </c>
      <c r="P1680" s="69">
        <v>38.130000000000003</v>
      </c>
      <c r="Q1680" s="27">
        <v>11</v>
      </c>
      <c r="R1680" s="69">
        <v>1.0900000000000001</v>
      </c>
      <c r="S1680" s="69">
        <v>109.05</v>
      </c>
      <c r="X1680" s="2">
        <f t="shared" si="78"/>
        <v>0.89</v>
      </c>
      <c r="Y1680" s="2">
        <f>SUMIF(收盤價!A:A,A1680,收盤價!C:C)</f>
        <v>55.6</v>
      </c>
      <c r="Z1680" s="2">
        <f t="shared" si="79"/>
        <v>8856695.319000002</v>
      </c>
      <c r="AA1680" s="2">
        <f t="shared" si="80"/>
        <v>12914562.279999999</v>
      </c>
    </row>
    <row r="1681" spans="1:27" ht="14.5" customHeight="1">
      <c r="A1681" s="7" t="s">
        <v>7045</v>
      </c>
      <c r="B1681" s="8" t="s">
        <v>2881</v>
      </c>
      <c r="C1681" s="27">
        <v>632281</v>
      </c>
      <c r="D1681" s="27">
        <v>362494</v>
      </c>
      <c r="E1681" s="69">
        <v>74.430000000000007</v>
      </c>
      <c r="F1681" s="27">
        <v>265858</v>
      </c>
      <c r="G1681" s="27">
        <v>21748</v>
      </c>
      <c r="H1681" s="27">
        <v>11634</v>
      </c>
      <c r="I1681" s="27">
        <v>53777</v>
      </c>
      <c r="J1681" s="27">
        <v>244345</v>
      </c>
      <c r="K1681" s="27">
        <v>37279</v>
      </c>
      <c r="L1681" s="69">
        <v>555.45000000000005</v>
      </c>
      <c r="M1681" s="27">
        <v>2448264</v>
      </c>
      <c r="N1681" s="69">
        <v>1</v>
      </c>
      <c r="O1681" s="69">
        <v>0.15</v>
      </c>
      <c r="P1681" s="69">
        <v>12.7</v>
      </c>
      <c r="Q1681" s="27">
        <v>57</v>
      </c>
      <c r="R1681" s="69">
        <v>2.38</v>
      </c>
      <c r="S1681" s="69">
        <v>237.52</v>
      </c>
      <c r="X1681" s="2">
        <f t="shared" si="78"/>
        <v>0.43</v>
      </c>
      <c r="Y1681" s="2">
        <f>SUMIF(收盤價!A:A,A1681,收盤價!C:C)</f>
        <v>9.41</v>
      </c>
      <c r="Z1681" s="2">
        <f t="shared" si="79"/>
        <v>3109295.28</v>
      </c>
      <c r="AA1681" s="2">
        <f t="shared" si="80"/>
        <v>2303816.4240000001</v>
      </c>
    </row>
    <row r="1682" spans="1:27" ht="14.5" customHeight="1">
      <c r="A1682" s="7" t="s">
        <v>7046</v>
      </c>
      <c r="B1682" s="8" t="s">
        <v>1929</v>
      </c>
      <c r="C1682" s="27">
        <v>3039331</v>
      </c>
      <c r="D1682" s="27">
        <v>2835038</v>
      </c>
      <c r="E1682" s="69">
        <v>7.21</v>
      </c>
      <c r="F1682" s="27">
        <v>-117583</v>
      </c>
      <c r="G1682" s="27">
        <v>-81406</v>
      </c>
      <c r="H1682" s="27">
        <v>-45701</v>
      </c>
      <c r="I1682" s="27">
        <v>-82482</v>
      </c>
      <c r="J1682" s="27">
        <v>-124691</v>
      </c>
      <c r="K1682" s="27">
        <v>-149192</v>
      </c>
      <c r="L1682" s="69">
        <v>16.420000000000002</v>
      </c>
      <c r="M1682" s="27">
        <v>368198</v>
      </c>
      <c r="N1682" s="69">
        <v>-3.39</v>
      </c>
      <c r="O1682" s="69">
        <v>-4.05</v>
      </c>
      <c r="P1682" s="69">
        <v>15.89</v>
      </c>
      <c r="Q1682" s="27">
        <v>20</v>
      </c>
      <c r="R1682" s="69">
        <v>0.94</v>
      </c>
      <c r="S1682" s="69">
        <v>86.1</v>
      </c>
      <c r="X1682" s="2">
        <f t="shared" si="78"/>
        <v>0.8</v>
      </c>
      <c r="Y1682" s="2">
        <f>SUMIF(收盤價!A:A,A1682,收盤價!C:C)</f>
        <v>17.899999999999999</v>
      </c>
      <c r="Z1682" s="2">
        <f t="shared" si="79"/>
        <v>585066.62200000009</v>
      </c>
      <c r="AA1682" s="2">
        <f t="shared" si="80"/>
        <v>659074.41999999993</v>
      </c>
    </row>
    <row r="1683" spans="1:27" ht="14.5" customHeight="1">
      <c r="A1683" s="7" t="s">
        <v>7047</v>
      </c>
      <c r="B1683" s="8" t="s">
        <v>1953</v>
      </c>
      <c r="C1683" s="27">
        <v>597361</v>
      </c>
      <c r="D1683" s="27">
        <v>840865</v>
      </c>
      <c r="E1683" s="69">
        <v>-28.96</v>
      </c>
      <c r="F1683" s="27">
        <v>-9253</v>
      </c>
      <c r="G1683" s="27">
        <v>55912</v>
      </c>
      <c r="H1683" s="27">
        <v>26610</v>
      </c>
      <c r="I1683" s="27">
        <v>-2144</v>
      </c>
      <c r="J1683" s="27">
        <v>8103</v>
      </c>
      <c r="K1683" s="27">
        <v>47741</v>
      </c>
      <c r="L1683" s="69">
        <v>-83.03</v>
      </c>
      <c r="M1683" s="27">
        <v>331648</v>
      </c>
      <c r="N1683" s="69">
        <v>0.24</v>
      </c>
      <c r="O1683" s="69">
        <v>1.44</v>
      </c>
      <c r="P1683" s="69">
        <v>11.87</v>
      </c>
      <c r="Q1683" s="27">
        <v>63</v>
      </c>
      <c r="R1683" s="69">
        <v>1.17</v>
      </c>
      <c r="S1683" s="69">
        <v>59.87</v>
      </c>
      <c r="X1683" s="2">
        <f t="shared" si="78"/>
        <v>0.37</v>
      </c>
      <c r="Y1683" s="2">
        <f>SUMIF(收盤價!A:A,A1683,收盤價!C:C)</f>
        <v>22.85</v>
      </c>
      <c r="Z1683" s="2">
        <f t="shared" si="79"/>
        <v>393666.17599999998</v>
      </c>
      <c r="AA1683" s="2">
        <f t="shared" si="80"/>
        <v>757815.68</v>
      </c>
    </row>
    <row r="1684" spans="1:27" ht="14.5" customHeight="1">
      <c r="A1684" s="7" t="s">
        <v>7048</v>
      </c>
      <c r="B1684" s="8" t="s">
        <v>2841</v>
      </c>
      <c r="C1684" s="27">
        <v>995002</v>
      </c>
      <c r="D1684" s="27">
        <v>1045564</v>
      </c>
      <c r="E1684" s="69">
        <v>-4.84</v>
      </c>
      <c r="F1684" s="27">
        <v>48334</v>
      </c>
      <c r="G1684" s="27">
        <v>29077</v>
      </c>
      <c r="H1684" s="27">
        <v>-1791</v>
      </c>
      <c r="I1684" s="27">
        <v>263</v>
      </c>
      <c r="J1684" s="27">
        <v>22510</v>
      </c>
      <c r="K1684" s="27">
        <v>18891</v>
      </c>
      <c r="L1684" s="69">
        <v>19.16</v>
      </c>
      <c r="M1684" s="27">
        <v>357000</v>
      </c>
      <c r="N1684" s="69">
        <v>0.63</v>
      </c>
      <c r="O1684" s="69">
        <v>0.61</v>
      </c>
      <c r="P1684" s="69">
        <v>17.25</v>
      </c>
      <c r="Q1684" s="27">
        <v>56</v>
      </c>
      <c r="R1684" s="69">
        <v>2.38</v>
      </c>
      <c r="S1684" s="69">
        <v>184.16</v>
      </c>
      <c r="X1684" s="2">
        <f t="shared" si="78"/>
        <v>0.44</v>
      </c>
      <c r="Y1684" s="2">
        <f>SUMIF(收盤價!A:A,A1684,收盤價!C:C)</f>
        <v>20.3</v>
      </c>
      <c r="Z1684" s="2">
        <f t="shared" si="79"/>
        <v>615825</v>
      </c>
      <c r="AA1684" s="2">
        <f t="shared" si="80"/>
        <v>724710</v>
      </c>
    </row>
    <row r="1685" spans="1:27" ht="14.5" customHeight="1">
      <c r="A1685" s="7" t="s">
        <v>7049</v>
      </c>
      <c r="B1685" s="8" t="s">
        <v>2019</v>
      </c>
      <c r="C1685" s="27">
        <v>437826</v>
      </c>
      <c r="D1685" s="27">
        <v>644489</v>
      </c>
      <c r="E1685" s="69">
        <v>-32.07</v>
      </c>
      <c r="F1685" s="27">
        <v>-35155</v>
      </c>
      <c r="G1685" s="27">
        <v>-118509</v>
      </c>
      <c r="H1685" s="27">
        <v>5905</v>
      </c>
      <c r="I1685" s="27">
        <v>117473</v>
      </c>
      <c r="J1685" s="27">
        <v>-29023</v>
      </c>
      <c r="K1685" s="27">
        <v>-4248</v>
      </c>
      <c r="L1685" s="69">
        <v>-583.22</v>
      </c>
      <c r="M1685" s="27">
        <v>681723</v>
      </c>
      <c r="N1685" s="69">
        <v>-0.43</v>
      </c>
      <c r="O1685" s="69">
        <v>-0.06</v>
      </c>
      <c r="P1685" s="69">
        <v>0.15</v>
      </c>
      <c r="Q1685" s="27">
        <v>1</v>
      </c>
      <c r="R1685" s="69">
        <v>0.22</v>
      </c>
      <c r="S1685" s="69">
        <v>18.690000000000001</v>
      </c>
      <c r="X1685" s="2">
        <f t="shared" si="78"/>
        <v>0.99</v>
      </c>
      <c r="Y1685" s="2">
        <f>SUMIF(收盤價!A:A,A1685,收盤價!C:C)</f>
        <v>3.01</v>
      </c>
      <c r="Z1685" s="2">
        <f t="shared" si="79"/>
        <v>10225.844999999999</v>
      </c>
      <c r="AA1685" s="2">
        <f t="shared" si="80"/>
        <v>205198.62299999996</v>
      </c>
    </row>
    <row r="1686" spans="1:27" ht="14.5" customHeight="1">
      <c r="A1686" s="7" t="s">
        <v>7050</v>
      </c>
      <c r="B1686" s="8" t="s">
        <v>2021</v>
      </c>
      <c r="C1686" s="27">
        <v>2217112</v>
      </c>
      <c r="D1686" s="27">
        <v>2173600</v>
      </c>
      <c r="E1686" s="69">
        <v>2</v>
      </c>
      <c r="F1686" s="27">
        <v>174542</v>
      </c>
      <c r="G1686" s="27">
        <v>139785</v>
      </c>
      <c r="H1686" s="27">
        <v>-703</v>
      </c>
      <c r="I1686" s="27">
        <v>-6486</v>
      </c>
      <c r="J1686" s="27">
        <v>129368</v>
      </c>
      <c r="K1686" s="27">
        <v>103081</v>
      </c>
      <c r="L1686" s="69">
        <v>25.5</v>
      </c>
      <c r="M1686" s="27">
        <v>349085</v>
      </c>
      <c r="N1686" s="69">
        <v>3.8</v>
      </c>
      <c r="O1686" s="69">
        <v>3.11</v>
      </c>
      <c r="P1686" s="69">
        <v>20.82</v>
      </c>
      <c r="Q1686" s="27">
        <v>39</v>
      </c>
      <c r="R1686" s="69">
        <v>1.58</v>
      </c>
      <c r="S1686" s="69">
        <v>143.55000000000001</v>
      </c>
      <c r="X1686" s="2">
        <f t="shared" si="78"/>
        <v>0.61</v>
      </c>
      <c r="Y1686" s="2">
        <f>SUMIF(收盤價!A:A,A1686,收盤價!C:C)</f>
        <v>64</v>
      </c>
      <c r="Z1686" s="2">
        <f t="shared" si="79"/>
        <v>726794.97</v>
      </c>
      <c r="AA1686" s="2">
        <f t="shared" si="80"/>
        <v>2234144</v>
      </c>
    </row>
    <row r="1687" spans="1:27" ht="14.5" customHeight="1">
      <c r="A1687" s="7" t="s">
        <v>7051</v>
      </c>
      <c r="B1687" s="8" t="s">
        <v>2045</v>
      </c>
      <c r="C1687" s="27">
        <v>6057597</v>
      </c>
      <c r="D1687" s="27">
        <v>5993801</v>
      </c>
      <c r="E1687" s="69">
        <v>1.06</v>
      </c>
      <c r="F1687" s="27">
        <v>202562</v>
      </c>
      <c r="G1687" s="27">
        <v>-115123</v>
      </c>
      <c r="H1687" s="27">
        <v>-39615</v>
      </c>
      <c r="I1687" s="27">
        <v>-588851</v>
      </c>
      <c r="J1687" s="27">
        <v>179141</v>
      </c>
      <c r="K1687" s="27">
        <v>-728030</v>
      </c>
      <c r="L1687" s="69">
        <v>124.61</v>
      </c>
      <c r="M1687" s="27">
        <v>473012</v>
      </c>
      <c r="N1687" s="69">
        <v>3.79</v>
      </c>
      <c r="O1687" s="69">
        <v>-15.39</v>
      </c>
      <c r="P1687" s="69">
        <v>13.38</v>
      </c>
      <c r="Q1687" s="27">
        <v>20</v>
      </c>
      <c r="R1687" s="69">
        <v>1.1200000000000001</v>
      </c>
      <c r="S1687" s="69">
        <v>102.71</v>
      </c>
      <c r="X1687" s="2">
        <f t="shared" si="78"/>
        <v>0.8</v>
      </c>
      <c r="Y1687" s="2">
        <f>SUMIF(收盤價!A:A,A1687,收盤價!C:C)</f>
        <v>33.75</v>
      </c>
      <c r="Z1687" s="2">
        <f t="shared" si="79"/>
        <v>632890.0560000001</v>
      </c>
      <c r="AA1687" s="2">
        <f t="shared" si="80"/>
        <v>1596415.5</v>
      </c>
    </row>
    <row r="1688" spans="1:27" ht="14.5" customHeight="1">
      <c r="A1688" s="7" t="s">
        <v>7052</v>
      </c>
      <c r="B1688" s="8" t="s">
        <v>2041</v>
      </c>
      <c r="C1688" s="27">
        <v>545276</v>
      </c>
      <c r="D1688" s="27">
        <v>676555</v>
      </c>
      <c r="E1688" s="69">
        <v>-19.399999999999999</v>
      </c>
      <c r="F1688" s="27">
        <v>-88338</v>
      </c>
      <c r="G1688" s="27">
        <v>-108339</v>
      </c>
      <c r="H1688" s="27">
        <v>3691</v>
      </c>
      <c r="I1688" s="27">
        <v>-14531</v>
      </c>
      <c r="J1688" s="27">
        <v>-83830</v>
      </c>
      <c r="K1688" s="27">
        <v>-127063</v>
      </c>
      <c r="L1688" s="69">
        <v>34.020000000000003</v>
      </c>
      <c r="M1688" s="27">
        <v>328051</v>
      </c>
      <c r="N1688" s="69">
        <v>-2.56</v>
      </c>
      <c r="O1688" s="69">
        <v>-3.84</v>
      </c>
      <c r="P1688" s="69">
        <v>10.9</v>
      </c>
      <c r="Q1688" s="27">
        <v>55</v>
      </c>
      <c r="R1688" s="69">
        <v>1.39</v>
      </c>
      <c r="S1688" s="69">
        <v>78.66</v>
      </c>
      <c r="X1688" s="2">
        <f t="shared" si="78"/>
        <v>0.45</v>
      </c>
      <c r="Y1688" s="2">
        <f>SUMIF(收盤價!A:A,A1688,收盤價!C:C)</f>
        <v>0</v>
      </c>
      <c r="Z1688" s="2">
        <f t="shared" si="79"/>
        <v>357575.58999999997</v>
      </c>
      <c r="AA1688" s="2">
        <f t="shared" si="80"/>
        <v>0</v>
      </c>
    </row>
    <row r="1689" spans="1:27" ht="14.5" customHeight="1">
      <c r="A1689" s="7" t="s">
        <v>7053</v>
      </c>
      <c r="B1689" s="8" t="s">
        <v>2695</v>
      </c>
      <c r="C1689" s="27">
        <v>548519</v>
      </c>
      <c r="D1689" s="27">
        <v>591571</v>
      </c>
      <c r="E1689" s="69">
        <v>-7.28</v>
      </c>
      <c r="F1689" s="27">
        <v>-6353</v>
      </c>
      <c r="G1689" s="27">
        <v>11126</v>
      </c>
      <c r="H1689" s="27">
        <v>17073</v>
      </c>
      <c r="I1689" s="27">
        <v>32484</v>
      </c>
      <c r="J1689" s="27">
        <v>-11651</v>
      </c>
      <c r="K1689" s="27">
        <v>24440</v>
      </c>
      <c r="L1689" s="69">
        <v>-147.66999999999999</v>
      </c>
      <c r="M1689" s="27">
        <v>395000</v>
      </c>
      <c r="N1689" s="69">
        <v>-0.28999999999999998</v>
      </c>
      <c r="O1689" s="69">
        <v>0.62</v>
      </c>
      <c r="P1689" s="69">
        <v>13.11</v>
      </c>
      <c r="Q1689" s="27">
        <v>80</v>
      </c>
      <c r="R1689" s="69">
        <v>3.23</v>
      </c>
      <c r="S1689" s="69">
        <v>249.71</v>
      </c>
      <c r="X1689" s="2">
        <f t="shared" si="78"/>
        <v>0.2</v>
      </c>
      <c r="Y1689" s="2">
        <f>SUMIF(收盤價!A:A,A1689,收盤價!C:C)</f>
        <v>11.35</v>
      </c>
      <c r="Z1689" s="2">
        <f t="shared" si="79"/>
        <v>517845</v>
      </c>
      <c r="AA1689" s="2">
        <f t="shared" si="80"/>
        <v>448325</v>
      </c>
    </row>
    <row r="1690" spans="1:27" ht="14.5" customHeight="1">
      <c r="A1690" s="7" t="s">
        <v>7054</v>
      </c>
      <c r="B1690" s="8" t="s">
        <v>3209</v>
      </c>
      <c r="C1690" s="27">
        <v>1386627</v>
      </c>
      <c r="D1690" s="27">
        <v>1082868</v>
      </c>
      <c r="E1690" s="69">
        <v>28.05</v>
      </c>
      <c r="F1690" s="27">
        <v>131816</v>
      </c>
      <c r="G1690" s="27">
        <v>53385</v>
      </c>
      <c r="H1690" s="27">
        <v>-3608</v>
      </c>
      <c r="I1690" s="27">
        <v>-1044</v>
      </c>
      <c r="J1690" s="27">
        <v>92038</v>
      </c>
      <c r="K1690" s="27">
        <v>37060</v>
      </c>
      <c r="L1690" s="69">
        <v>148.35</v>
      </c>
      <c r="M1690" s="27">
        <v>236250</v>
      </c>
      <c r="N1690" s="69">
        <v>3.9</v>
      </c>
      <c r="O1690" s="69">
        <v>1.57</v>
      </c>
      <c r="P1690" s="69">
        <v>15.98</v>
      </c>
      <c r="Q1690" s="27">
        <v>46</v>
      </c>
      <c r="R1690" s="69">
        <v>3.15</v>
      </c>
      <c r="S1690" s="69">
        <v>215.5</v>
      </c>
      <c r="X1690" s="2">
        <f t="shared" si="78"/>
        <v>0.54</v>
      </c>
      <c r="Y1690" s="2">
        <f>SUMIF(收盤價!A:A,A1690,收盤價!C:C)</f>
        <v>36.85</v>
      </c>
      <c r="Z1690" s="2">
        <f t="shared" si="79"/>
        <v>377527.5</v>
      </c>
      <c r="AA1690" s="2">
        <f t="shared" si="80"/>
        <v>870581.25</v>
      </c>
    </row>
    <row r="1691" spans="1:27" ht="14.5" customHeight="1">
      <c r="A1691" s="7" t="s">
        <v>7055</v>
      </c>
      <c r="B1691" s="8" t="s">
        <v>3213</v>
      </c>
      <c r="C1691" s="27">
        <v>1005820</v>
      </c>
      <c r="D1691" s="27">
        <v>894377</v>
      </c>
      <c r="E1691" s="69">
        <v>12.46</v>
      </c>
      <c r="F1691" s="27">
        <v>140103</v>
      </c>
      <c r="G1691" s="27">
        <v>79264</v>
      </c>
      <c r="H1691" s="27">
        <v>16011</v>
      </c>
      <c r="I1691" s="27">
        <v>10406</v>
      </c>
      <c r="J1691" s="27">
        <v>140441</v>
      </c>
      <c r="K1691" s="27">
        <v>73958</v>
      </c>
      <c r="L1691" s="69">
        <v>89.89</v>
      </c>
      <c r="M1691" s="27">
        <v>335300</v>
      </c>
      <c r="N1691" s="69">
        <v>4.38</v>
      </c>
      <c r="O1691" s="69">
        <v>2.4700000000000002</v>
      </c>
      <c r="P1691" s="69">
        <v>20.86</v>
      </c>
      <c r="Q1691" s="27">
        <v>57</v>
      </c>
      <c r="R1691" s="69">
        <v>1.51</v>
      </c>
      <c r="S1691" s="69">
        <v>88.58</v>
      </c>
      <c r="X1691" s="2">
        <f t="shared" si="78"/>
        <v>0.43</v>
      </c>
      <c r="Y1691" s="2">
        <f>SUMIF(收盤價!A:A,A1691,收盤價!C:C)</f>
        <v>52.1</v>
      </c>
      <c r="Z1691" s="2">
        <f t="shared" si="79"/>
        <v>699435.8</v>
      </c>
      <c r="AA1691" s="2">
        <f t="shared" si="80"/>
        <v>1746913</v>
      </c>
    </row>
    <row r="1692" spans="1:27" ht="14.5" customHeight="1">
      <c r="A1692" s="7" t="s">
        <v>7056</v>
      </c>
      <c r="B1692" s="8" t="s">
        <v>3385</v>
      </c>
      <c r="C1692" s="27">
        <v>1943221</v>
      </c>
      <c r="D1692" s="27">
        <v>1937991</v>
      </c>
      <c r="E1692" s="69">
        <v>0.27</v>
      </c>
      <c r="F1692" s="27">
        <v>-64774</v>
      </c>
      <c r="G1692" s="27">
        <v>-118231</v>
      </c>
      <c r="H1692" s="27">
        <v>-44553</v>
      </c>
      <c r="I1692" s="27">
        <v>-9712</v>
      </c>
      <c r="J1692" s="27">
        <v>-84634</v>
      </c>
      <c r="K1692" s="27">
        <v>-135372</v>
      </c>
      <c r="L1692" s="69">
        <v>37.479999999999997</v>
      </c>
      <c r="M1692" s="27">
        <v>759950</v>
      </c>
      <c r="N1692" s="69">
        <v>-1.1100000000000001</v>
      </c>
      <c r="O1692" s="69">
        <v>-1.81</v>
      </c>
      <c r="P1692" s="69">
        <v>15.41</v>
      </c>
      <c r="Q1692" s="27">
        <v>30</v>
      </c>
      <c r="R1692" s="69">
        <v>0.81</v>
      </c>
      <c r="S1692" s="69">
        <v>34.71</v>
      </c>
      <c r="X1692" s="2">
        <f t="shared" si="78"/>
        <v>0.7</v>
      </c>
      <c r="Y1692" s="2">
        <f>SUMIF(收盤價!A:A,A1692,收盤價!C:C)</f>
        <v>14.4</v>
      </c>
      <c r="Z1692" s="2">
        <f t="shared" si="79"/>
        <v>1171082.95</v>
      </c>
      <c r="AA1692" s="2">
        <f t="shared" si="80"/>
        <v>1094328</v>
      </c>
    </row>
    <row r="1693" spans="1:27" ht="14.5" customHeight="1">
      <c r="A1693" s="7" t="s">
        <v>7057</v>
      </c>
      <c r="B1693" s="8" t="s">
        <v>3391</v>
      </c>
      <c r="C1693" s="27">
        <v>330875</v>
      </c>
      <c r="D1693" s="27">
        <v>327531</v>
      </c>
      <c r="E1693" s="69">
        <v>1.02</v>
      </c>
      <c r="F1693" s="27">
        <v>37521</v>
      </c>
      <c r="G1693" s="27">
        <v>51613</v>
      </c>
      <c r="H1693" s="27">
        <v>572</v>
      </c>
      <c r="I1693" s="27">
        <v>-211</v>
      </c>
      <c r="J1693" s="27">
        <v>30579</v>
      </c>
      <c r="K1693" s="27">
        <v>43780</v>
      </c>
      <c r="L1693" s="69">
        <v>-30.15</v>
      </c>
      <c r="M1693" s="27">
        <v>220750</v>
      </c>
      <c r="N1693" s="69">
        <v>1.39</v>
      </c>
      <c r="O1693" s="69">
        <v>1.98</v>
      </c>
      <c r="P1693" s="69">
        <v>15.37</v>
      </c>
      <c r="Q1693" s="27">
        <v>61</v>
      </c>
      <c r="R1693" s="69">
        <v>2.42</v>
      </c>
      <c r="S1693" s="69">
        <v>200.45</v>
      </c>
      <c r="X1693" s="2">
        <f t="shared" si="78"/>
        <v>0.39</v>
      </c>
      <c r="Y1693" s="2">
        <f>SUMIF(收盤價!A:A,A1693,收盤價!C:C)</f>
        <v>20.65</v>
      </c>
      <c r="Z1693" s="2">
        <f t="shared" si="79"/>
        <v>339292.75</v>
      </c>
      <c r="AA1693" s="2">
        <f t="shared" si="80"/>
        <v>455848.75</v>
      </c>
    </row>
    <row r="1694" spans="1:27" ht="14.5" customHeight="1">
      <c r="A1694" s="7" t="s">
        <v>7058</v>
      </c>
      <c r="B1694" s="8" t="s">
        <v>3395</v>
      </c>
      <c r="C1694" s="27">
        <v>1654214</v>
      </c>
      <c r="D1694" s="27">
        <v>1506228</v>
      </c>
      <c r="E1694" s="69">
        <v>9.82</v>
      </c>
      <c r="F1694" s="27">
        <v>46232</v>
      </c>
      <c r="G1694" s="27">
        <v>-6305</v>
      </c>
      <c r="H1694" s="27">
        <v>-842</v>
      </c>
      <c r="I1694" s="27">
        <v>-10553</v>
      </c>
      <c r="J1694" s="27">
        <v>29761</v>
      </c>
      <c r="K1694" s="27">
        <v>-24483</v>
      </c>
      <c r="L1694" s="69">
        <v>221.56</v>
      </c>
      <c r="M1694" s="27">
        <v>502425</v>
      </c>
      <c r="N1694" s="69">
        <v>0.59</v>
      </c>
      <c r="O1694" s="69">
        <v>-0.49</v>
      </c>
      <c r="P1694" s="69">
        <v>18.170000000000002</v>
      </c>
      <c r="Q1694" s="27">
        <v>48</v>
      </c>
      <c r="R1694" s="69">
        <v>1.49</v>
      </c>
      <c r="S1694" s="69">
        <v>125.47</v>
      </c>
      <c r="X1694" s="2">
        <f t="shared" si="78"/>
        <v>0.52</v>
      </c>
      <c r="Y1694" s="2">
        <f>SUMIF(收盤價!A:A,A1694,收盤價!C:C)</f>
        <v>22.7</v>
      </c>
      <c r="Z1694" s="2">
        <f t="shared" si="79"/>
        <v>912906.22499999998</v>
      </c>
      <c r="AA1694" s="2">
        <f t="shared" si="80"/>
        <v>1140504.75</v>
      </c>
    </row>
    <row r="1695" spans="1:27" ht="14.5" customHeight="1">
      <c r="A1695" s="7" t="s">
        <v>7059</v>
      </c>
      <c r="B1695" s="8" t="s">
        <v>3407</v>
      </c>
      <c r="C1695" s="27">
        <v>1095345</v>
      </c>
      <c r="D1695" s="27">
        <v>977388</v>
      </c>
      <c r="E1695" s="69">
        <v>12.07</v>
      </c>
      <c r="F1695" s="27">
        <v>762331</v>
      </c>
      <c r="G1695" s="27">
        <v>666850</v>
      </c>
      <c r="H1695" s="27">
        <v>76324</v>
      </c>
      <c r="I1695" s="27">
        <v>35651</v>
      </c>
      <c r="J1695" s="27">
        <v>710947</v>
      </c>
      <c r="K1695" s="27">
        <v>525446</v>
      </c>
      <c r="L1695" s="69">
        <v>35.299999999999997</v>
      </c>
      <c r="M1695" s="27">
        <v>478511</v>
      </c>
      <c r="N1695" s="69">
        <v>14.86</v>
      </c>
      <c r="O1695" s="69">
        <v>11.1</v>
      </c>
      <c r="P1695" s="69">
        <v>56.63</v>
      </c>
      <c r="Q1695" s="27">
        <v>72</v>
      </c>
      <c r="R1695" s="69">
        <v>2.57</v>
      </c>
      <c r="S1695" s="69">
        <v>241.3</v>
      </c>
      <c r="X1695" s="2">
        <f t="shared" si="78"/>
        <v>0.28000000000000003</v>
      </c>
      <c r="Y1695" s="2">
        <f>SUMIF(收盤價!A:A,A1695,收盤價!C:C)</f>
        <v>240.5</v>
      </c>
      <c r="Z1695" s="2">
        <f t="shared" si="79"/>
        <v>2709807.7930000001</v>
      </c>
      <c r="AA1695" s="2">
        <f t="shared" si="80"/>
        <v>11508189.550000001</v>
      </c>
    </row>
    <row r="1696" spans="1:27" ht="14.5" customHeight="1">
      <c r="A1696" s="7" t="s">
        <v>7060</v>
      </c>
      <c r="B1696" s="8" t="s">
        <v>3411</v>
      </c>
      <c r="C1696" s="27">
        <v>2806854</v>
      </c>
      <c r="D1696" s="27">
        <v>3203850</v>
      </c>
      <c r="E1696" s="69">
        <v>-12.39</v>
      </c>
      <c r="F1696" s="27">
        <v>-267854</v>
      </c>
      <c r="G1696" s="27">
        <v>-114513</v>
      </c>
      <c r="H1696" s="27">
        <v>-64940</v>
      </c>
      <c r="I1696" s="27">
        <v>36008</v>
      </c>
      <c r="J1696" s="27">
        <v>-306643</v>
      </c>
      <c r="K1696" s="27">
        <v>-100939</v>
      </c>
      <c r="L1696" s="69">
        <v>-203.79</v>
      </c>
      <c r="M1696" s="27">
        <v>737703</v>
      </c>
      <c r="N1696" s="69">
        <v>-4.18</v>
      </c>
      <c r="O1696" s="69">
        <v>-1.35</v>
      </c>
      <c r="P1696" s="69">
        <v>35.49</v>
      </c>
      <c r="Q1696" s="27">
        <v>29</v>
      </c>
      <c r="R1696" s="69">
        <v>0.93</v>
      </c>
      <c r="S1696" s="69">
        <v>77.83</v>
      </c>
      <c r="X1696" s="2">
        <f t="shared" si="78"/>
        <v>0.71</v>
      </c>
      <c r="Y1696" s="2">
        <f>SUMIF(收盤價!A:A,A1696,收盤價!C:C)</f>
        <v>65</v>
      </c>
      <c r="Z1696" s="2">
        <f t="shared" si="79"/>
        <v>2618107.9470000002</v>
      </c>
      <c r="AA1696" s="2">
        <f t="shared" si="80"/>
        <v>4795069.5</v>
      </c>
    </row>
    <row r="1697" spans="1:27" ht="14.5" customHeight="1">
      <c r="A1697" s="7" t="s">
        <v>7061</v>
      </c>
      <c r="B1697" s="8" t="s">
        <v>2423</v>
      </c>
      <c r="C1697" s="27">
        <v>1020189</v>
      </c>
      <c r="D1697" s="27">
        <v>930954</v>
      </c>
      <c r="E1697" s="69">
        <v>9.59</v>
      </c>
      <c r="F1697" s="27">
        <v>14123</v>
      </c>
      <c r="G1697" s="27">
        <v>-18229</v>
      </c>
      <c r="H1697" s="27">
        <v>55670</v>
      </c>
      <c r="I1697" s="27">
        <v>48306</v>
      </c>
      <c r="J1697" s="27">
        <v>67619</v>
      </c>
      <c r="K1697" s="27">
        <v>27113</v>
      </c>
      <c r="L1697" s="69">
        <v>149.4</v>
      </c>
      <c r="M1697" s="27">
        <v>419624</v>
      </c>
      <c r="N1697" s="69">
        <v>1.61</v>
      </c>
      <c r="O1697" s="69">
        <v>0.65</v>
      </c>
      <c r="P1697" s="69">
        <v>12.63</v>
      </c>
      <c r="Q1697" s="27">
        <v>38</v>
      </c>
      <c r="R1697" s="69">
        <v>0.92</v>
      </c>
      <c r="S1697" s="69">
        <v>68.61</v>
      </c>
      <c r="X1697" s="2">
        <f t="shared" si="78"/>
        <v>0.62</v>
      </c>
      <c r="Y1697" s="2">
        <f>SUMIF(收盤價!A:A,A1697,收盤價!C:C)</f>
        <v>39.6</v>
      </c>
      <c r="Z1697" s="2">
        <f t="shared" si="79"/>
        <v>529985.11199999996</v>
      </c>
      <c r="AA1697" s="2">
        <f t="shared" si="80"/>
        <v>1661711.04</v>
      </c>
    </row>
    <row r="1698" spans="1:27" ht="14.5" customHeight="1">
      <c r="A1698" s="7" t="s">
        <v>7062</v>
      </c>
      <c r="B1698" s="8" t="s">
        <v>2431</v>
      </c>
      <c r="C1698" s="27">
        <v>712622</v>
      </c>
      <c r="D1698" s="27">
        <v>495611</v>
      </c>
      <c r="E1698" s="69">
        <v>43.79</v>
      </c>
      <c r="F1698" s="27">
        <v>-45456</v>
      </c>
      <c r="G1698" s="27">
        <v>-51293</v>
      </c>
      <c r="H1698" s="27">
        <v>-7697</v>
      </c>
      <c r="I1698" s="27">
        <v>8851</v>
      </c>
      <c r="J1698" s="27">
        <v>-54139</v>
      </c>
      <c r="K1698" s="27">
        <v>-43828</v>
      </c>
      <c r="L1698" s="69">
        <v>-23.53</v>
      </c>
      <c r="M1698" s="27">
        <v>243260</v>
      </c>
      <c r="N1698" s="69">
        <v>-2.23</v>
      </c>
      <c r="O1698" s="69">
        <v>-2.06</v>
      </c>
      <c r="P1698" s="69">
        <v>8.59</v>
      </c>
      <c r="Q1698" s="27">
        <v>36</v>
      </c>
      <c r="R1698" s="69">
        <v>1.74</v>
      </c>
      <c r="S1698" s="69">
        <v>155.77000000000001</v>
      </c>
      <c r="X1698" s="2">
        <f t="shared" si="78"/>
        <v>0.64</v>
      </c>
      <c r="Y1698" s="2">
        <f>SUMIF(收盤價!A:A,A1698,收盤價!C:C)</f>
        <v>29.15</v>
      </c>
      <c r="Z1698" s="2">
        <f t="shared" si="79"/>
        <v>208960.34</v>
      </c>
      <c r="AA1698" s="2">
        <f t="shared" si="80"/>
        <v>709102.9</v>
      </c>
    </row>
    <row r="1699" spans="1:27" ht="14.5" customHeight="1">
      <c r="A1699" s="7" t="s">
        <v>7063</v>
      </c>
      <c r="B1699" s="8" t="s">
        <v>2433</v>
      </c>
      <c r="C1699" s="27">
        <v>20314</v>
      </c>
      <c r="D1699" s="27">
        <v>29618</v>
      </c>
      <c r="E1699" s="69">
        <v>-31.41</v>
      </c>
      <c r="F1699" s="27">
        <v>-277133</v>
      </c>
      <c r="G1699" s="27">
        <v>-258397</v>
      </c>
      <c r="H1699" s="27">
        <v>-13042</v>
      </c>
      <c r="I1699" s="27">
        <v>-84813</v>
      </c>
      <c r="J1699" s="27">
        <v>-295685</v>
      </c>
      <c r="K1699" s="27">
        <v>-343210</v>
      </c>
      <c r="L1699" s="69">
        <v>13.85</v>
      </c>
      <c r="M1699" s="27">
        <v>20910</v>
      </c>
      <c r="N1699" s="69">
        <v>-0.41</v>
      </c>
      <c r="O1699" s="69">
        <v>-0.48</v>
      </c>
      <c r="P1699" s="69">
        <v>389.85</v>
      </c>
      <c r="Q1699" s="27">
        <v>85</v>
      </c>
      <c r="R1699" s="69">
        <v>7.88</v>
      </c>
      <c r="S1699" s="69">
        <v>756.83</v>
      </c>
      <c r="X1699" s="2">
        <f t="shared" si="78"/>
        <v>0.15</v>
      </c>
      <c r="Y1699" s="2">
        <f>SUMIF(收盤價!A:A,A1699,收盤價!C:C)</f>
        <v>18.399999999999999</v>
      </c>
      <c r="Z1699" s="2">
        <f t="shared" si="79"/>
        <v>815176.35000000009</v>
      </c>
      <c r="AA1699" s="2">
        <f t="shared" si="80"/>
        <v>38474.399999999994</v>
      </c>
    </row>
    <row r="1700" spans="1:27" ht="14.5" customHeight="1">
      <c r="A1700" s="7" t="s">
        <v>7064</v>
      </c>
      <c r="B1700" s="8" t="s">
        <v>2581</v>
      </c>
      <c r="C1700" s="27">
        <v>4665130</v>
      </c>
      <c r="D1700" s="27">
        <v>3898643</v>
      </c>
      <c r="E1700" s="69">
        <v>19.66</v>
      </c>
      <c r="F1700" s="27">
        <v>408661</v>
      </c>
      <c r="G1700" s="27">
        <v>355727</v>
      </c>
      <c r="H1700" s="27">
        <v>-12636</v>
      </c>
      <c r="I1700" s="27">
        <v>150145</v>
      </c>
      <c r="J1700" s="27">
        <v>279752</v>
      </c>
      <c r="K1700" s="27">
        <v>286180</v>
      </c>
      <c r="L1700" s="69">
        <v>-2.25</v>
      </c>
      <c r="M1700" s="27">
        <v>737615</v>
      </c>
      <c r="N1700" s="69">
        <v>3.79</v>
      </c>
      <c r="O1700" s="69">
        <v>3.78</v>
      </c>
      <c r="P1700" s="69">
        <v>33.15</v>
      </c>
      <c r="Q1700" s="27">
        <v>45</v>
      </c>
      <c r="R1700" s="69">
        <v>2.56</v>
      </c>
      <c r="S1700" s="69">
        <v>213.99</v>
      </c>
      <c r="X1700" s="2">
        <f t="shared" si="78"/>
        <v>0.55000000000000004</v>
      </c>
      <c r="Y1700" s="2">
        <f>SUMIF(收盤價!A:A,A1700,收盤價!C:C)</f>
        <v>41.6</v>
      </c>
      <c r="Z1700" s="2">
        <f t="shared" si="79"/>
        <v>2445193.7250000001</v>
      </c>
      <c r="AA1700" s="2">
        <f t="shared" si="80"/>
        <v>3068478.4</v>
      </c>
    </row>
    <row r="1701" spans="1:27" ht="14.5" customHeight="1">
      <c r="A1701" s="7" t="s">
        <v>7065</v>
      </c>
      <c r="B1701" s="8" t="s">
        <v>3133</v>
      </c>
      <c r="C1701" s="27">
        <v>92359</v>
      </c>
      <c r="D1701" s="27">
        <v>0</v>
      </c>
      <c r="E1701" s="28" t="s">
        <v>6571</v>
      </c>
      <c r="F1701" s="27">
        <v>-1406179</v>
      </c>
      <c r="G1701" s="27">
        <v>-1275854</v>
      </c>
      <c r="H1701" s="27">
        <v>-33279</v>
      </c>
      <c r="I1701" s="27">
        <v>5330</v>
      </c>
      <c r="J1701" s="27">
        <v>-1450515</v>
      </c>
      <c r="K1701" s="27">
        <v>-1270959</v>
      </c>
      <c r="L1701" s="69">
        <v>-14.13</v>
      </c>
      <c r="M1701" s="27">
        <v>1899549</v>
      </c>
      <c r="N1701" s="69">
        <v>-8.93</v>
      </c>
      <c r="O1701" s="69">
        <v>-8.49</v>
      </c>
      <c r="P1701" s="69">
        <v>-0.26</v>
      </c>
      <c r="Q1701" s="27">
        <v>-7</v>
      </c>
      <c r="R1701" s="69">
        <v>4.1399999999999997</v>
      </c>
      <c r="S1701" s="69">
        <v>412.45</v>
      </c>
      <c r="X1701" s="2">
        <f t="shared" si="78"/>
        <v>1.07</v>
      </c>
      <c r="Y1701" s="2">
        <f>SUMIF(收盤價!A:A,A1701,收盤價!C:C)</f>
        <v>8.1</v>
      </c>
      <c r="Z1701" s="2">
        <f t="shared" si="79"/>
        <v>-49388.273999999998</v>
      </c>
      <c r="AA1701" s="2">
        <f t="shared" si="80"/>
        <v>1538634.69</v>
      </c>
    </row>
    <row r="1702" spans="1:27" ht="14.5" customHeight="1">
      <c r="A1702" s="7" t="s">
        <v>7066</v>
      </c>
      <c r="B1702" s="8" t="s">
        <v>3375</v>
      </c>
      <c r="C1702" s="27">
        <v>8180183</v>
      </c>
      <c r="D1702" s="27">
        <v>7389201</v>
      </c>
      <c r="E1702" s="69">
        <v>10.7</v>
      </c>
      <c r="F1702" s="27">
        <v>1609295</v>
      </c>
      <c r="G1702" s="27">
        <v>1426334</v>
      </c>
      <c r="H1702" s="27">
        <v>-55594</v>
      </c>
      <c r="I1702" s="27">
        <v>-194151</v>
      </c>
      <c r="J1702" s="27">
        <v>1199556</v>
      </c>
      <c r="K1702" s="27">
        <v>833380</v>
      </c>
      <c r="L1702" s="69">
        <v>43.94</v>
      </c>
      <c r="M1702" s="27">
        <v>924505</v>
      </c>
      <c r="N1702" s="69">
        <v>12.98</v>
      </c>
      <c r="O1702" s="69">
        <v>9.01</v>
      </c>
      <c r="P1702" s="69">
        <v>116.34</v>
      </c>
      <c r="Q1702" s="27">
        <v>47</v>
      </c>
      <c r="R1702" s="69">
        <v>1.69</v>
      </c>
      <c r="S1702" s="69">
        <v>132.1</v>
      </c>
      <c r="X1702" s="2">
        <f t="shared" si="78"/>
        <v>0.53</v>
      </c>
      <c r="Y1702" s="2">
        <f>SUMIF(收盤價!A:A,A1702,收盤價!C:C)</f>
        <v>212</v>
      </c>
      <c r="Z1702" s="2">
        <f t="shared" si="79"/>
        <v>10755691.17</v>
      </c>
      <c r="AA1702" s="2">
        <f t="shared" si="80"/>
        <v>19599506</v>
      </c>
    </row>
    <row r="1703" spans="1:27" ht="14.5" customHeight="1">
      <c r="A1703" s="7" t="s">
        <v>7067</v>
      </c>
      <c r="B1703" s="8" t="s">
        <v>2621</v>
      </c>
      <c r="C1703" s="27">
        <v>4566846</v>
      </c>
      <c r="D1703" s="27">
        <v>4786280</v>
      </c>
      <c r="E1703" s="69">
        <v>-4.58</v>
      </c>
      <c r="F1703" s="27">
        <v>656292</v>
      </c>
      <c r="G1703" s="27">
        <v>871181</v>
      </c>
      <c r="H1703" s="27">
        <v>92341</v>
      </c>
      <c r="I1703" s="27">
        <v>49322</v>
      </c>
      <c r="J1703" s="27">
        <v>659633</v>
      </c>
      <c r="K1703" s="27">
        <v>766897</v>
      </c>
      <c r="L1703" s="69">
        <v>-13.99</v>
      </c>
      <c r="M1703" s="27">
        <v>559863</v>
      </c>
      <c r="N1703" s="69">
        <v>11.78</v>
      </c>
      <c r="O1703" s="69">
        <v>13.7</v>
      </c>
      <c r="P1703" s="69">
        <v>71.31</v>
      </c>
      <c r="Q1703" s="27">
        <v>70</v>
      </c>
      <c r="R1703" s="69">
        <v>3.75</v>
      </c>
      <c r="S1703" s="69">
        <v>312.64999999999998</v>
      </c>
      <c r="X1703" s="2">
        <f t="shared" si="78"/>
        <v>0.3</v>
      </c>
      <c r="Y1703" s="2">
        <f>SUMIF(收盤價!A:A,A1703,收盤價!C:C)</f>
        <v>214</v>
      </c>
      <c r="Z1703" s="2">
        <f t="shared" si="79"/>
        <v>3992383.0530000003</v>
      </c>
      <c r="AA1703" s="2">
        <f t="shared" si="80"/>
        <v>11981068.199999999</v>
      </c>
    </row>
    <row r="1704" spans="1:27" ht="14.5" customHeight="1">
      <c r="A1704" s="7" t="s">
        <v>7068</v>
      </c>
      <c r="B1704" s="8" t="s">
        <v>2627</v>
      </c>
      <c r="C1704" s="27">
        <v>11810592</v>
      </c>
      <c r="D1704" s="27">
        <v>10363888</v>
      </c>
      <c r="E1704" s="69">
        <v>13.96</v>
      </c>
      <c r="F1704" s="27">
        <v>2398084</v>
      </c>
      <c r="G1704" s="27">
        <v>1951803</v>
      </c>
      <c r="H1704" s="27">
        <v>117950</v>
      </c>
      <c r="I1704" s="27">
        <v>15561</v>
      </c>
      <c r="J1704" s="27">
        <v>2433759</v>
      </c>
      <c r="K1704" s="27">
        <v>1969362</v>
      </c>
      <c r="L1704" s="69">
        <v>23.58</v>
      </c>
      <c r="M1704" s="27">
        <v>799205</v>
      </c>
      <c r="N1704" s="69">
        <v>31.54</v>
      </c>
      <c r="O1704" s="69">
        <v>25.67</v>
      </c>
      <c r="P1704" s="69">
        <v>141.33000000000001</v>
      </c>
      <c r="Q1704" s="27">
        <v>81</v>
      </c>
      <c r="R1704" s="69">
        <v>4.5</v>
      </c>
      <c r="S1704" s="69">
        <v>400.67</v>
      </c>
      <c r="X1704" s="2">
        <f t="shared" si="78"/>
        <v>0.19</v>
      </c>
      <c r="Y1704" s="2">
        <f>SUMIF(收盤價!A:A,A1704,收盤價!C:C)</f>
        <v>615</v>
      </c>
      <c r="Z1704" s="2">
        <f t="shared" si="79"/>
        <v>11295164.265000001</v>
      </c>
      <c r="AA1704" s="2">
        <f t="shared" si="80"/>
        <v>49151107.5</v>
      </c>
    </row>
    <row r="1705" spans="1:27" ht="14.5" customHeight="1">
      <c r="A1705" s="7" t="s">
        <v>7069</v>
      </c>
      <c r="B1705" s="8" t="s">
        <v>2629</v>
      </c>
      <c r="C1705" s="27">
        <v>712348</v>
      </c>
      <c r="D1705" s="27">
        <v>650044</v>
      </c>
      <c r="E1705" s="69">
        <v>9.58</v>
      </c>
      <c r="F1705" s="27">
        <v>78258</v>
      </c>
      <c r="G1705" s="27">
        <v>61494</v>
      </c>
      <c r="H1705" s="27">
        <v>-1732</v>
      </c>
      <c r="I1705" s="27">
        <v>-1992</v>
      </c>
      <c r="J1705" s="27">
        <v>69264</v>
      </c>
      <c r="K1705" s="27">
        <v>51361</v>
      </c>
      <c r="L1705" s="69">
        <v>34.86</v>
      </c>
      <c r="M1705" s="27">
        <v>365355</v>
      </c>
      <c r="N1705" s="69">
        <v>1.9</v>
      </c>
      <c r="O1705" s="69">
        <v>1.42</v>
      </c>
      <c r="P1705" s="69">
        <v>40.020000000000003</v>
      </c>
      <c r="Q1705" s="27">
        <v>94</v>
      </c>
      <c r="R1705" s="69">
        <v>7.15</v>
      </c>
      <c r="S1705" s="69">
        <v>424.24</v>
      </c>
      <c r="X1705" s="2">
        <f t="shared" si="78"/>
        <v>0.06</v>
      </c>
      <c r="Y1705" s="2">
        <f>SUMIF(收盤價!A:A,A1705,收盤價!C:C)</f>
        <v>64.099999999999994</v>
      </c>
      <c r="Z1705" s="2">
        <f t="shared" si="79"/>
        <v>1462150.7100000002</v>
      </c>
      <c r="AA1705" s="2">
        <f t="shared" si="80"/>
        <v>2341925.5499999998</v>
      </c>
    </row>
    <row r="1706" spans="1:27" ht="14.5" customHeight="1">
      <c r="A1706" s="7" t="s">
        <v>7070</v>
      </c>
      <c r="B1706" s="8" t="s">
        <v>2641</v>
      </c>
      <c r="C1706" s="27">
        <v>1786334</v>
      </c>
      <c r="D1706" s="27">
        <v>1952411</v>
      </c>
      <c r="E1706" s="69">
        <v>-8.51</v>
      </c>
      <c r="F1706" s="27">
        <v>301750</v>
      </c>
      <c r="G1706" s="27">
        <v>387240</v>
      </c>
      <c r="H1706" s="27">
        <v>19871</v>
      </c>
      <c r="I1706" s="27">
        <v>3774</v>
      </c>
      <c r="J1706" s="27">
        <v>267578</v>
      </c>
      <c r="K1706" s="27">
        <v>320302</v>
      </c>
      <c r="L1706" s="69">
        <v>-16.46</v>
      </c>
      <c r="M1706" s="27">
        <v>908335</v>
      </c>
      <c r="N1706" s="69">
        <v>3.04</v>
      </c>
      <c r="O1706" s="69">
        <v>4.01</v>
      </c>
      <c r="P1706" s="69">
        <v>39.36</v>
      </c>
      <c r="Q1706" s="27">
        <v>90</v>
      </c>
      <c r="R1706" s="69">
        <v>10.83</v>
      </c>
      <c r="S1706" s="69">
        <v>931.53</v>
      </c>
      <c r="X1706" s="2">
        <f t="shared" si="78"/>
        <v>0.1</v>
      </c>
      <c r="Y1706" s="2">
        <f>SUMIF(收盤價!A:A,A1706,收盤價!C:C)</f>
        <v>68.900000000000006</v>
      </c>
      <c r="Z1706" s="2">
        <f t="shared" si="79"/>
        <v>3575206.56</v>
      </c>
      <c r="AA1706" s="2">
        <f t="shared" si="80"/>
        <v>6258428.1500000004</v>
      </c>
    </row>
    <row r="1707" spans="1:27" ht="14.5" customHeight="1">
      <c r="A1707" s="7" t="s">
        <v>7071</v>
      </c>
      <c r="B1707" s="8" t="s">
        <v>2609</v>
      </c>
      <c r="C1707" s="27">
        <v>653675</v>
      </c>
      <c r="D1707" s="27">
        <v>617910</v>
      </c>
      <c r="E1707" s="69">
        <v>5.79</v>
      </c>
      <c r="F1707" s="27">
        <v>-320</v>
      </c>
      <c r="G1707" s="27">
        <v>-13773</v>
      </c>
      <c r="H1707" s="27">
        <v>-430</v>
      </c>
      <c r="I1707" s="27">
        <v>14555</v>
      </c>
      <c r="J1707" s="27">
        <v>88</v>
      </c>
      <c r="K1707" s="27">
        <v>3340</v>
      </c>
      <c r="L1707" s="69">
        <v>-97.37</v>
      </c>
      <c r="M1707" s="27">
        <v>371644</v>
      </c>
      <c r="N1707" s="69">
        <v>0</v>
      </c>
      <c r="O1707" s="69">
        <v>0.09</v>
      </c>
      <c r="P1707" s="69">
        <v>7.62</v>
      </c>
      <c r="Q1707" s="27">
        <v>56</v>
      </c>
      <c r="R1707" s="69">
        <v>1.63</v>
      </c>
      <c r="S1707" s="69">
        <v>136.31</v>
      </c>
      <c r="X1707" s="2">
        <f t="shared" si="78"/>
        <v>0.44</v>
      </c>
      <c r="Y1707" s="2">
        <f>SUMIF(收盤價!A:A,A1707,收盤價!C:C)</f>
        <v>9</v>
      </c>
      <c r="Z1707" s="2">
        <f t="shared" si="79"/>
        <v>283192.728</v>
      </c>
      <c r="AA1707" s="2">
        <f t="shared" si="80"/>
        <v>334479.59999999998</v>
      </c>
    </row>
    <row r="1708" spans="1:27" ht="14.5" customHeight="1">
      <c r="A1708" s="7" t="s">
        <v>7072</v>
      </c>
      <c r="B1708" s="8" t="s">
        <v>2679</v>
      </c>
      <c r="C1708" s="27">
        <v>1473398</v>
      </c>
      <c r="D1708" s="27">
        <v>1517552</v>
      </c>
      <c r="E1708" s="69">
        <v>-2.91</v>
      </c>
      <c r="F1708" s="27">
        <v>182584</v>
      </c>
      <c r="G1708" s="27">
        <v>209178</v>
      </c>
      <c r="H1708" s="27">
        <v>-997</v>
      </c>
      <c r="I1708" s="27">
        <v>26060</v>
      </c>
      <c r="J1708" s="27">
        <v>154309</v>
      </c>
      <c r="K1708" s="27">
        <v>179907</v>
      </c>
      <c r="L1708" s="69">
        <v>-14.23</v>
      </c>
      <c r="M1708" s="27">
        <v>432477</v>
      </c>
      <c r="N1708" s="69">
        <v>3.57</v>
      </c>
      <c r="O1708" s="69">
        <v>4.4000000000000004</v>
      </c>
      <c r="P1708" s="69">
        <v>34.770000000000003</v>
      </c>
      <c r="Q1708" s="27">
        <v>61</v>
      </c>
      <c r="R1708" s="69">
        <v>2.13</v>
      </c>
      <c r="S1708" s="69">
        <v>192.17</v>
      </c>
      <c r="X1708" s="2">
        <f t="shared" si="78"/>
        <v>0.39</v>
      </c>
      <c r="Y1708" s="2">
        <f>SUMIF(收盤價!A:A,A1708,收盤價!C:C)</f>
        <v>39.5</v>
      </c>
      <c r="Z1708" s="2">
        <f t="shared" si="79"/>
        <v>1503722.5290000001</v>
      </c>
      <c r="AA1708" s="2">
        <f t="shared" si="80"/>
        <v>1708284.15</v>
      </c>
    </row>
    <row r="1709" spans="1:27" ht="14.5" customHeight="1">
      <c r="A1709" s="7" t="s">
        <v>7073</v>
      </c>
      <c r="B1709" s="8" t="s">
        <v>2699</v>
      </c>
      <c r="C1709" s="27">
        <v>1231439</v>
      </c>
      <c r="D1709" s="27">
        <v>1734107</v>
      </c>
      <c r="E1709" s="69">
        <v>-28.99</v>
      </c>
      <c r="F1709" s="27">
        <v>55461</v>
      </c>
      <c r="G1709" s="27">
        <v>180276</v>
      </c>
      <c r="H1709" s="27">
        <v>-11982</v>
      </c>
      <c r="I1709" s="27">
        <v>-18978</v>
      </c>
      <c r="J1709" s="27">
        <v>31350</v>
      </c>
      <c r="K1709" s="27">
        <v>122407</v>
      </c>
      <c r="L1709" s="69">
        <v>-74.39</v>
      </c>
      <c r="M1709" s="27">
        <v>370100</v>
      </c>
      <c r="N1709" s="69">
        <v>0.85</v>
      </c>
      <c r="O1709" s="69">
        <v>3.31</v>
      </c>
      <c r="P1709" s="69">
        <v>23.2</v>
      </c>
      <c r="Q1709" s="27">
        <v>50</v>
      </c>
      <c r="R1709" s="69">
        <v>1.29</v>
      </c>
      <c r="S1709" s="69">
        <v>117.07</v>
      </c>
      <c r="X1709" s="2">
        <f t="shared" si="78"/>
        <v>0.5</v>
      </c>
      <c r="Y1709" s="2">
        <f>SUMIF(收盤價!A:A,A1709,收盤價!C:C)</f>
        <v>26.9</v>
      </c>
      <c r="Z1709" s="2">
        <f t="shared" si="79"/>
        <v>858632</v>
      </c>
      <c r="AA1709" s="2">
        <f t="shared" si="80"/>
        <v>995569</v>
      </c>
    </row>
    <row r="1710" spans="1:27" ht="14.5" customHeight="1">
      <c r="A1710" s="7" t="s">
        <v>7074</v>
      </c>
      <c r="B1710" s="8" t="s">
        <v>2357</v>
      </c>
      <c r="C1710" s="27">
        <v>536082</v>
      </c>
      <c r="D1710" s="27">
        <v>524459</v>
      </c>
      <c r="E1710" s="69">
        <v>2.2200000000000002</v>
      </c>
      <c r="F1710" s="27">
        <v>-114102</v>
      </c>
      <c r="G1710" s="27">
        <v>-35851</v>
      </c>
      <c r="H1710" s="27">
        <v>6127</v>
      </c>
      <c r="I1710" s="27">
        <v>4336</v>
      </c>
      <c r="J1710" s="27">
        <v>-122273</v>
      </c>
      <c r="K1710" s="27">
        <v>-39679</v>
      </c>
      <c r="L1710" s="69">
        <v>-208.16</v>
      </c>
      <c r="M1710" s="27">
        <v>510983</v>
      </c>
      <c r="N1710" s="69">
        <v>-2.44</v>
      </c>
      <c r="O1710" s="69">
        <v>-0.78</v>
      </c>
      <c r="P1710" s="69">
        <v>13</v>
      </c>
      <c r="Q1710" s="27">
        <v>58</v>
      </c>
      <c r="R1710" s="69">
        <v>3.54</v>
      </c>
      <c r="S1710" s="69">
        <v>336.83</v>
      </c>
      <c r="X1710" s="2">
        <f t="shared" si="78"/>
        <v>0.42</v>
      </c>
      <c r="Y1710" s="2">
        <f>SUMIF(收盤價!A:A,A1710,收盤價!C:C)</f>
        <v>12.85</v>
      </c>
      <c r="Z1710" s="2">
        <f t="shared" si="79"/>
        <v>664277.9</v>
      </c>
      <c r="AA1710" s="2">
        <f t="shared" si="80"/>
        <v>656613.15500000003</v>
      </c>
    </row>
    <row r="1711" spans="1:27" ht="14.5" customHeight="1">
      <c r="A1711" s="7" t="s">
        <v>7075</v>
      </c>
      <c r="B1711" s="8" t="s">
        <v>3147</v>
      </c>
      <c r="C1711" s="27">
        <v>721533</v>
      </c>
      <c r="D1711" s="27">
        <v>532752</v>
      </c>
      <c r="E1711" s="69">
        <v>35.44</v>
      </c>
      <c r="F1711" s="27">
        <v>86553</v>
      </c>
      <c r="G1711" s="27">
        <v>64680</v>
      </c>
      <c r="H1711" s="27">
        <v>87171</v>
      </c>
      <c r="I1711" s="27">
        <v>22556</v>
      </c>
      <c r="J1711" s="27">
        <v>146417</v>
      </c>
      <c r="K1711" s="27">
        <v>67209</v>
      </c>
      <c r="L1711" s="69">
        <v>117.85</v>
      </c>
      <c r="M1711" s="27">
        <v>300154</v>
      </c>
      <c r="N1711" s="69">
        <v>4.88</v>
      </c>
      <c r="O1711" s="69">
        <v>2.2400000000000002</v>
      </c>
      <c r="P1711" s="69">
        <v>22.65</v>
      </c>
      <c r="Q1711" s="27">
        <v>70</v>
      </c>
      <c r="R1711" s="69">
        <v>2.61</v>
      </c>
      <c r="S1711" s="69">
        <v>218.76</v>
      </c>
      <c r="X1711" s="2">
        <f t="shared" si="78"/>
        <v>0.3</v>
      </c>
      <c r="Y1711" s="2">
        <f>SUMIF(收盤價!A:A,A1711,收盤價!C:C)</f>
        <v>73.5</v>
      </c>
      <c r="Z1711" s="2">
        <f t="shared" si="79"/>
        <v>679848.80999999994</v>
      </c>
      <c r="AA1711" s="2">
        <f t="shared" si="80"/>
        <v>2206131.9</v>
      </c>
    </row>
    <row r="1712" spans="1:27" ht="14.5" customHeight="1">
      <c r="A1712" s="7" t="s">
        <v>7076</v>
      </c>
      <c r="B1712" s="8" t="s">
        <v>2681</v>
      </c>
      <c r="C1712" s="27">
        <v>388079</v>
      </c>
      <c r="D1712" s="27">
        <v>150695</v>
      </c>
      <c r="E1712" s="69">
        <v>157.53</v>
      </c>
      <c r="F1712" s="27">
        <v>-279216</v>
      </c>
      <c r="G1712" s="27">
        <v>-622213</v>
      </c>
      <c r="H1712" s="27">
        <v>-188555</v>
      </c>
      <c r="I1712" s="27">
        <v>-487597</v>
      </c>
      <c r="J1712" s="27">
        <v>-467771</v>
      </c>
      <c r="K1712" s="27">
        <v>-1107499</v>
      </c>
      <c r="L1712" s="69">
        <v>57.76</v>
      </c>
      <c r="M1712" s="27">
        <v>2415737</v>
      </c>
      <c r="N1712" s="69">
        <v>-2.09</v>
      </c>
      <c r="O1712" s="69">
        <v>-5.26</v>
      </c>
      <c r="P1712" s="69">
        <v>5.7</v>
      </c>
      <c r="Q1712" s="27">
        <v>72</v>
      </c>
      <c r="R1712" s="69">
        <v>1.46</v>
      </c>
      <c r="S1712" s="69">
        <v>111.79</v>
      </c>
      <c r="X1712" s="2">
        <f t="shared" si="78"/>
        <v>0.28000000000000003</v>
      </c>
      <c r="Y1712" s="2">
        <f>SUMIF(收盤價!A:A,A1712,收盤價!C:C)</f>
        <v>15.45</v>
      </c>
      <c r="Z1712" s="2">
        <f t="shared" si="79"/>
        <v>1376970.09</v>
      </c>
      <c r="AA1712" s="2">
        <f t="shared" si="80"/>
        <v>3732313.665</v>
      </c>
    </row>
    <row r="1713" spans="1:27" ht="14.5" customHeight="1">
      <c r="A1713" s="7" t="s">
        <v>7077</v>
      </c>
      <c r="B1713" s="8" t="s">
        <v>3081</v>
      </c>
      <c r="C1713" s="27">
        <v>186006</v>
      </c>
      <c r="D1713" s="27">
        <v>210214</v>
      </c>
      <c r="E1713" s="69">
        <v>-11.52</v>
      </c>
      <c r="F1713" s="27">
        <v>-140655</v>
      </c>
      <c r="G1713" s="27">
        <v>-209760</v>
      </c>
      <c r="H1713" s="27">
        <v>-13344</v>
      </c>
      <c r="I1713" s="27">
        <v>-36632</v>
      </c>
      <c r="J1713" s="27">
        <v>-144393</v>
      </c>
      <c r="K1713" s="27">
        <v>-230573</v>
      </c>
      <c r="L1713" s="69">
        <v>37.380000000000003</v>
      </c>
      <c r="M1713" s="27">
        <v>373680</v>
      </c>
      <c r="N1713" s="69">
        <v>-3.86</v>
      </c>
      <c r="O1713" s="69">
        <v>-6.17</v>
      </c>
      <c r="P1713" s="69">
        <v>2.61</v>
      </c>
      <c r="Q1713" s="27">
        <v>52</v>
      </c>
      <c r="R1713" s="69">
        <v>1.92</v>
      </c>
      <c r="S1713" s="69">
        <v>191.3</v>
      </c>
      <c r="X1713" s="2">
        <f t="shared" si="78"/>
        <v>0.48</v>
      </c>
      <c r="Y1713" s="2">
        <f>SUMIF(收盤價!A:A,A1713,收盤價!C:C)</f>
        <v>3.65</v>
      </c>
      <c r="Z1713" s="2">
        <f t="shared" si="79"/>
        <v>97530.48</v>
      </c>
      <c r="AA1713" s="2">
        <f t="shared" si="80"/>
        <v>136393.20000000001</v>
      </c>
    </row>
    <row r="1714" spans="1:27" ht="14.5" customHeight="1">
      <c r="A1714" s="7" t="s">
        <v>7078</v>
      </c>
      <c r="B1714" s="8" t="s">
        <v>3417</v>
      </c>
      <c r="C1714" s="27">
        <v>2676959</v>
      </c>
      <c r="D1714" s="27">
        <v>2619880</v>
      </c>
      <c r="E1714" s="69">
        <v>2.1800000000000002</v>
      </c>
      <c r="F1714" s="27">
        <v>100705</v>
      </c>
      <c r="G1714" s="27">
        <v>39354</v>
      </c>
      <c r="H1714" s="27">
        <v>-28835</v>
      </c>
      <c r="I1714" s="27">
        <v>25123</v>
      </c>
      <c r="J1714" s="27">
        <v>64557</v>
      </c>
      <c r="K1714" s="27">
        <v>69092</v>
      </c>
      <c r="L1714" s="69">
        <v>-6.56</v>
      </c>
      <c r="M1714" s="27">
        <v>252191</v>
      </c>
      <c r="N1714" s="69">
        <v>2.56</v>
      </c>
      <c r="O1714" s="69">
        <v>2.74</v>
      </c>
      <c r="P1714" s="69">
        <v>22.66</v>
      </c>
      <c r="Q1714" s="27">
        <v>28</v>
      </c>
      <c r="R1714" s="69">
        <v>1.38</v>
      </c>
      <c r="S1714" s="69">
        <v>123.02</v>
      </c>
      <c r="X1714" s="2">
        <f t="shared" si="78"/>
        <v>0.72</v>
      </c>
      <c r="Y1714" s="2">
        <f>SUMIF(收盤價!A:A,A1714,收盤價!C:C)</f>
        <v>0</v>
      </c>
      <c r="Z1714" s="2">
        <f t="shared" si="79"/>
        <v>571464.80599999998</v>
      </c>
      <c r="AA1714" s="2">
        <f t="shared" si="80"/>
        <v>0</v>
      </c>
    </row>
    <row r="1715" spans="1:27" ht="14.5" customHeight="1">
      <c r="A1715" s="7" t="s">
        <v>7079</v>
      </c>
      <c r="B1715" s="8" t="s">
        <v>2591</v>
      </c>
      <c r="C1715" s="27">
        <v>1874519</v>
      </c>
      <c r="D1715" s="27">
        <v>1849626</v>
      </c>
      <c r="E1715" s="69">
        <v>1.35</v>
      </c>
      <c r="F1715" s="27">
        <v>665401</v>
      </c>
      <c r="G1715" s="27">
        <v>683097</v>
      </c>
      <c r="H1715" s="27">
        <v>-59229</v>
      </c>
      <c r="I1715" s="27">
        <v>-2981</v>
      </c>
      <c r="J1715" s="27">
        <v>456148</v>
      </c>
      <c r="K1715" s="27">
        <v>475284</v>
      </c>
      <c r="L1715" s="69">
        <v>-4.03</v>
      </c>
      <c r="M1715" s="27">
        <v>393795</v>
      </c>
      <c r="N1715" s="69">
        <v>11.6</v>
      </c>
      <c r="O1715" s="69">
        <v>12.67</v>
      </c>
      <c r="P1715" s="69">
        <v>51.62</v>
      </c>
      <c r="Q1715" s="27">
        <v>41</v>
      </c>
      <c r="R1715" s="69">
        <v>2.4900000000000002</v>
      </c>
      <c r="S1715" s="69">
        <v>225.53</v>
      </c>
      <c r="X1715" s="2">
        <f t="shared" si="78"/>
        <v>0.59</v>
      </c>
      <c r="Y1715" s="2">
        <f>SUMIF(收盤價!A:A,A1715,收盤價!C:C)</f>
        <v>114</v>
      </c>
      <c r="Z1715" s="2">
        <f t="shared" si="79"/>
        <v>2032769.7899999998</v>
      </c>
      <c r="AA1715" s="2">
        <f t="shared" si="80"/>
        <v>4489263</v>
      </c>
    </row>
    <row r="1716" spans="1:27" ht="14.5" customHeight="1">
      <c r="A1716" s="7" t="s">
        <v>5976</v>
      </c>
      <c r="B1716" s="8" t="s">
        <v>3484</v>
      </c>
      <c r="C1716" s="27">
        <v>2257961</v>
      </c>
      <c r="D1716" s="27">
        <v>1764370</v>
      </c>
      <c r="E1716" s="69">
        <v>27.98</v>
      </c>
      <c r="F1716" s="27">
        <v>131955</v>
      </c>
      <c r="G1716" s="27">
        <v>117781</v>
      </c>
      <c r="H1716" s="27">
        <v>-5894</v>
      </c>
      <c r="I1716" s="27">
        <v>-3858</v>
      </c>
      <c r="J1716" s="27">
        <v>96865</v>
      </c>
      <c r="K1716" s="27">
        <v>87081</v>
      </c>
      <c r="L1716" s="69">
        <v>11.24</v>
      </c>
      <c r="M1716" s="27">
        <v>1020982</v>
      </c>
      <c r="N1716" s="69">
        <v>0.95</v>
      </c>
      <c r="O1716" s="69">
        <v>0.85</v>
      </c>
      <c r="P1716" s="69">
        <v>19.27</v>
      </c>
      <c r="Q1716" s="27">
        <v>55</v>
      </c>
      <c r="R1716" s="69">
        <v>1.61</v>
      </c>
      <c r="S1716" s="69">
        <v>70.84</v>
      </c>
      <c r="X1716" s="2">
        <f t="shared" si="78"/>
        <v>0.45</v>
      </c>
      <c r="Y1716" s="2">
        <f>SUMIF(收盤價!A:A,A1716,收盤價!C:C)</f>
        <v>24.74</v>
      </c>
      <c r="Z1716" s="2">
        <f t="shared" si="79"/>
        <v>1967432.314</v>
      </c>
      <c r="AA1716" s="2">
        <f t="shared" si="80"/>
        <v>2525909.4679999999</v>
      </c>
    </row>
    <row r="1717" spans="1:27" ht="14.5" customHeight="1">
      <c r="A1717" s="7" t="s">
        <v>6147</v>
      </c>
      <c r="B1717" s="8" t="s">
        <v>6148</v>
      </c>
      <c r="C1717" s="27">
        <v>342656</v>
      </c>
      <c r="D1717" s="27">
        <v>495486</v>
      </c>
      <c r="E1717" s="69">
        <v>-30.84</v>
      </c>
      <c r="F1717" s="27">
        <v>-23567</v>
      </c>
      <c r="G1717" s="27">
        <v>95005</v>
      </c>
      <c r="H1717" s="27">
        <v>17598</v>
      </c>
      <c r="I1717" s="27">
        <v>7004</v>
      </c>
      <c r="J1717" s="27">
        <v>-13646</v>
      </c>
      <c r="K1717" s="27">
        <v>55287</v>
      </c>
      <c r="L1717" s="69">
        <v>-124.68</v>
      </c>
      <c r="M1717" s="27">
        <v>721710</v>
      </c>
      <c r="N1717" s="69">
        <v>-0.19</v>
      </c>
      <c r="O1717" s="69">
        <v>0.77</v>
      </c>
      <c r="P1717" s="69">
        <v>15.13</v>
      </c>
      <c r="Q1717" s="27">
        <v>72</v>
      </c>
      <c r="R1717" s="69">
        <v>2.6</v>
      </c>
      <c r="S1717" s="69">
        <v>197.27</v>
      </c>
      <c r="X1717" s="2">
        <f t="shared" si="78"/>
        <v>0.28000000000000003</v>
      </c>
      <c r="Y1717" s="2">
        <f>SUMIF(收盤價!A:A,A1717,收盤價!C:C)</f>
        <v>43.16</v>
      </c>
      <c r="Z1717" s="2">
        <f t="shared" si="79"/>
        <v>1091947.23</v>
      </c>
      <c r="AA1717" s="2">
        <f t="shared" si="80"/>
        <v>3114900.36</v>
      </c>
    </row>
    <row r="1718" spans="1:27" ht="14.5" customHeight="1">
      <c r="A1718" s="7" t="s">
        <v>6060</v>
      </c>
      <c r="B1718" s="8" t="s">
        <v>4279</v>
      </c>
      <c r="C1718" s="27">
        <v>2902121</v>
      </c>
      <c r="D1718" s="27">
        <v>3876052</v>
      </c>
      <c r="E1718" s="69">
        <v>-25.13</v>
      </c>
      <c r="F1718" s="27">
        <v>-100063</v>
      </c>
      <c r="G1718" s="27">
        <v>118055</v>
      </c>
      <c r="H1718" s="27">
        <v>-46486</v>
      </c>
      <c r="I1718" s="27">
        <v>-21694</v>
      </c>
      <c r="J1718" s="27">
        <v>-142340</v>
      </c>
      <c r="K1718" s="27">
        <v>94523</v>
      </c>
      <c r="L1718" s="69">
        <v>-250.59</v>
      </c>
      <c r="M1718" s="27">
        <v>1737279</v>
      </c>
      <c r="N1718" s="69">
        <v>-0.82</v>
      </c>
      <c r="O1718" s="69">
        <v>0.61</v>
      </c>
      <c r="P1718" s="69">
        <v>10.039999999999999</v>
      </c>
      <c r="Q1718" s="27">
        <v>23</v>
      </c>
      <c r="R1718" s="69">
        <v>0.85</v>
      </c>
      <c r="S1718" s="69">
        <v>28.58</v>
      </c>
      <c r="X1718" s="2">
        <f t="shared" si="78"/>
        <v>0.77</v>
      </c>
      <c r="Y1718" s="2">
        <f>SUMIF(收盤價!A:A,A1718,收盤價!C:C)</f>
        <v>6.21</v>
      </c>
      <c r="Z1718" s="2">
        <f t="shared" si="79"/>
        <v>1744228.1159999999</v>
      </c>
      <c r="AA1718" s="2">
        <f t="shared" si="80"/>
        <v>1078850.2590000001</v>
      </c>
    </row>
    <row r="1719" spans="1:27" ht="14.5" customHeight="1">
      <c r="A1719" s="7" t="s">
        <v>5979</v>
      </c>
      <c r="B1719" s="8" t="s">
        <v>7080</v>
      </c>
      <c r="C1719" s="27">
        <v>3059000</v>
      </c>
      <c r="D1719" s="27">
        <v>3318309</v>
      </c>
      <c r="E1719" s="69">
        <v>-7.81</v>
      </c>
      <c r="F1719" s="27">
        <v>414108</v>
      </c>
      <c r="G1719" s="27">
        <v>631196</v>
      </c>
      <c r="H1719" s="27">
        <v>250441</v>
      </c>
      <c r="I1719" s="27">
        <v>268484</v>
      </c>
      <c r="J1719" s="27">
        <v>530827</v>
      </c>
      <c r="K1719" s="27">
        <v>680794</v>
      </c>
      <c r="L1719" s="69">
        <v>-22.03</v>
      </c>
      <c r="M1719" s="27">
        <v>1988374</v>
      </c>
      <c r="N1719" s="69">
        <v>2.72</v>
      </c>
      <c r="O1719" s="69">
        <v>3.42</v>
      </c>
      <c r="P1719" s="69">
        <v>37.56</v>
      </c>
      <c r="Q1719" s="27">
        <v>40</v>
      </c>
      <c r="R1719" s="69">
        <v>2.39</v>
      </c>
      <c r="S1719" s="69">
        <v>101.19</v>
      </c>
      <c r="X1719" s="2">
        <f t="shared" si="78"/>
        <v>0.6</v>
      </c>
      <c r="Y1719" s="2">
        <f>SUMIF(收盤價!A:A,A1719,收盤價!C:C)</f>
        <v>58.08</v>
      </c>
      <c r="Z1719" s="2">
        <f t="shared" si="79"/>
        <v>7468332.7439999999</v>
      </c>
      <c r="AA1719" s="2">
        <f t="shared" si="80"/>
        <v>11548476.192</v>
      </c>
    </row>
    <row r="1720" spans="1:27" ht="14.5" customHeight="1">
      <c r="A1720" s="7" t="s">
        <v>5981</v>
      </c>
      <c r="B1720" s="8" t="s">
        <v>3494</v>
      </c>
      <c r="C1720" s="27">
        <v>577769</v>
      </c>
      <c r="D1720" s="27">
        <v>389469</v>
      </c>
      <c r="E1720" s="69">
        <v>48.35</v>
      </c>
      <c r="F1720" s="27">
        <v>23786</v>
      </c>
      <c r="G1720" s="27">
        <v>29911</v>
      </c>
      <c r="H1720" s="27">
        <v>-1591</v>
      </c>
      <c r="I1720" s="27">
        <v>-1774</v>
      </c>
      <c r="J1720" s="27">
        <v>15945</v>
      </c>
      <c r="K1720" s="27">
        <v>21569</v>
      </c>
      <c r="L1720" s="69">
        <v>-26.07</v>
      </c>
      <c r="M1720" s="27">
        <v>273207</v>
      </c>
      <c r="N1720" s="69">
        <v>0.57999999999999996</v>
      </c>
      <c r="O1720" s="69">
        <v>0.79</v>
      </c>
      <c r="P1720" s="69">
        <v>11.72</v>
      </c>
      <c r="Q1720" s="27">
        <v>46</v>
      </c>
      <c r="R1720" s="69">
        <v>1.52</v>
      </c>
      <c r="S1720" s="69">
        <v>151.72</v>
      </c>
      <c r="X1720" s="2">
        <f t="shared" si="78"/>
        <v>0.54</v>
      </c>
      <c r="Y1720" s="2">
        <f>SUMIF(收盤價!A:A,A1720,收盤價!C:C)</f>
        <v>12.18</v>
      </c>
      <c r="Z1720" s="2">
        <f t="shared" si="79"/>
        <v>320198.60399999999</v>
      </c>
      <c r="AA1720" s="2">
        <f t="shared" si="80"/>
        <v>332766.12599999999</v>
      </c>
    </row>
    <row r="1721" spans="1:27" ht="14.5" customHeight="1">
      <c r="A1721" s="7" t="s">
        <v>5983</v>
      </c>
      <c r="B1721" s="8" t="s">
        <v>5984</v>
      </c>
      <c r="C1721" s="27">
        <v>454210</v>
      </c>
      <c r="D1721" s="27">
        <v>563093</v>
      </c>
      <c r="E1721" s="69">
        <v>-19.34</v>
      </c>
      <c r="F1721" s="27">
        <v>-18618</v>
      </c>
      <c r="G1721" s="27">
        <v>-49680</v>
      </c>
      <c r="H1721" s="27">
        <v>18547</v>
      </c>
      <c r="I1721" s="27">
        <v>-10421</v>
      </c>
      <c r="J1721" s="27">
        <v>-15293</v>
      </c>
      <c r="K1721" s="27">
        <v>-51817</v>
      </c>
      <c r="L1721" s="69">
        <v>70.489999999999995</v>
      </c>
      <c r="M1721" s="27">
        <v>399590</v>
      </c>
      <c r="N1721" s="69">
        <v>-0.38</v>
      </c>
      <c r="O1721" s="69">
        <v>-1.3</v>
      </c>
      <c r="P1721" s="69">
        <v>28.04</v>
      </c>
      <c r="Q1721" s="27">
        <v>61</v>
      </c>
      <c r="R1721" s="69">
        <v>1.78</v>
      </c>
      <c r="S1721" s="69">
        <v>137.06</v>
      </c>
      <c r="X1721" s="2">
        <f t="shared" si="78"/>
        <v>0.39</v>
      </c>
      <c r="Y1721" s="2">
        <f>SUMIF(收盤價!A:A,A1721,收盤價!C:C)</f>
        <v>11.04</v>
      </c>
      <c r="Z1721" s="2">
        <f t="shared" si="79"/>
        <v>1120450.3599999999</v>
      </c>
      <c r="AA1721" s="2">
        <f t="shared" si="80"/>
        <v>441147.36</v>
      </c>
    </row>
    <row r="1722" spans="1:27" ht="14.5" customHeight="1">
      <c r="A1722" s="7" t="s">
        <v>5987</v>
      </c>
      <c r="B1722" s="8" t="s">
        <v>7081</v>
      </c>
      <c r="C1722" s="27">
        <v>120756</v>
      </c>
      <c r="D1722" s="27">
        <v>6177</v>
      </c>
      <c r="E1722" s="28" t="s">
        <v>6378</v>
      </c>
      <c r="F1722" s="27">
        <v>-47406</v>
      </c>
      <c r="G1722" s="27">
        <v>-96712</v>
      </c>
      <c r="H1722" s="27">
        <v>-902</v>
      </c>
      <c r="I1722" s="27">
        <v>13446</v>
      </c>
      <c r="J1722" s="27">
        <v>-48308</v>
      </c>
      <c r="K1722" s="27">
        <v>-83247</v>
      </c>
      <c r="L1722" s="69">
        <v>41.97</v>
      </c>
      <c r="M1722" s="27">
        <v>700000</v>
      </c>
      <c r="N1722" s="69">
        <v>-0.71</v>
      </c>
      <c r="O1722" s="69">
        <v>-1.44</v>
      </c>
      <c r="P1722" s="69">
        <v>5.91</v>
      </c>
      <c r="Q1722" s="27">
        <v>64</v>
      </c>
      <c r="R1722" s="69">
        <v>2.73</v>
      </c>
      <c r="S1722" s="69">
        <v>97.51</v>
      </c>
      <c r="X1722" s="2">
        <f t="shared" si="78"/>
        <v>0.36</v>
      </c>
      <c r="Y1722" s="2">
        <f>SUMIF(收盤價!A:A,A1722,收盤價!C:C)</f>
        <v>17.05</v>
      </c>
      <c r="Z1722" s="2">
        <f t="shared" si="79"/>
        <v>413700</v>
      </c>
      <c r="AA1722" s="2">
        <f t="shared" si="80"/>
        <v>1193500</v>
      </c>
    </row>
    <row r="1723" spans="1:27" ht="14.5" customHeight="1">
      <c r="A1723" s="7" t="s">
        <v>5988</v>
      </c>
      <c r="B1723" s="8" t="s">
        <v>3504</v>
      </c>
      <c r="C1723" s="27">
        <v>348500</v>
      </c>
      <c r="D1723" s="27">
        <v>208582</v>
      </c>
      <c r="E1723" s="69">
        <v>67.08</v>
      </c>
      <c r="F1723" s="27">
        <v>40250</v>
      </c>
      <c r="G1723" s="27">
        <v>15317</v>
      </c>
      <c r="H1723" s="27">
        <v>18144</v>
      </c>
      <c r="I1723" s="27">
        <v>22942</v>
      </c>
      <c r="J1723" s="27">
        <v>46876</v>
      </c>
      <c r="K1723" s="27">
        <v>32316</v>
      </c>
      <c r="L1723" s="69">
        <v>45.06</v>
      </c>
      <c r="M1723" s="27">
        <v>721163</v>
      </c>
      <c r="N1723" s="69">
        <v>0.67</v>
      </c>
      <c r="O1723" s="69">
        <v>0.46</v>
      </c>
      <c r="P1723" s="69">
        <v>13.79</v>
      </c>
      <c r="Q1723" s="27">
        <v>46</v>
      </c>
      <c r="R1723" s="69">
        <v>2.02</v>
      </c>
      <c r="S1723" s="69">
        <v>151.66</v>
      </c>
      <c r="X1723" s="2">
        <f t="shared" si="78"/>
        <v>0.54</v>
      </c>
      <c r="Y1723" s="2">
        <f>SUMIF(收盤價!A:A,A1723,收盤價!C:C)</f>
        <v>43.69</v>
      </c>
      <c r="Z1723" s="2">
        <f t="shared" si="79"/>
        <v>994483.777</v>
      </c>
      <c r="AA1723" s="2">
        <f t="shared" si="80"/>
        <v>3150761.1469999999</v>
      </c>
    </row>
    <row r="1724" spans="1:27" ht="14.5" customHeight="1">
      <c r="A1724" s="7" t="s">
        <v>5989</v>
      </c>
      <c r="B1724" s="8" t="s">
        <v>3506</v>
      </c>
      <c r="C1724" s="27">
        <v>165663</v>
      </c>
      <c r="D1724" s="27">
        <v>175568</v>
      </c>
      <c r="E1724" s="69">
        <v>-5.64</v>
      </c>
      <c r="F1724" s="27">
        <v>19234</v>
      </c>
      <c r="G1724" s="27">
        <v>27193</v>
      </c>
      <c r="H1724" s="27">
        <v>5064</v>
      </c>
      <c r="I1724" s="27">
        <v>2702</v>
      </c>
      <c r="J1724" s="27">
        <v>18781</v>
      </c>
      <c r="K1724" s="27">
        <v>22942</v>
      </c>
      <c r="L1724" s="69">
        <v>-18.14</v>
      </c>
      <c r="M1724" s="27">
        <v>135000</v>
      </c>
      <c r="N1724" s="69">
        <v>1.39</v>
      </c>
      <c r="O1724" s="69">
        <v>1.7</v>
      </c>
      <c r="P1724" s="69">
        <v>25.78</v>
      </c>
      <c r="Q1724" s="27">
        <v>44</v>
      </c>
      <c r="R1724" s="69">
        <v>1.17</v>
      </c>
      <c r="S1724" s="69">
        <v>75.72</v>
      </c>
      <c r="X1724" s="2">
        <f t="shared" si="78"/>
        <v>0.56000000000000005</v>
      </c>
      <c r="Y1724" s="2">
        <f>SUMIF(收盤價!A:A,A1724,收盤價!C:C)</f>
        <v>26</v>
      </c>
      <c r="Z1724" s="2">
        <f t="shared" si="79"/>
        <v>348030</v>
      </c>
      <c r="AA1724" s="2">
        <f t="shared" si="80"/>
        <v>351000</v>
      </c>
    </row>
    <row r="1725" spans="1:27" ht="14.5" customHeight="1">
      <c r="A1725" s="7" t="s">
        <v>5990</v>
      </c>
      <c r="B1725" s="8" t="s">
        <v>3508</v>
      </c>
      <c r="C1725" s="27">
        <v>77716</v>
      </c>
      <c r="D1725" s="27">
        <v>154773</v>
      </c>
      <c r="E1725" s="69">
        <v>-49.79</v>
      </c>
      <c r="F1725" s="27">
        <v>31984</v>
      </c>
      <c r="G1725" s="27">
        <v>-221102</v>
      </c>
      <c r="H1725" s="27">
        <v>-19856</v>
      </c>
      <c r="I1725" s="27">
        <v>-15423</v>
      </c>
      <c r="J1725" s="27">
        <v>850</v>
      </c>
      <c r="K1725" s="27">
        <v>-191323</v>
      </c>
      <c r="L1725" s="69">
        <v>100.44</v>
      </c>
      <c r="M1725" s="27">
        <v>413884</v>
      </c>
      <c r="N1725" s="69">
        <v>0.02</v>
      </c>
      <c r="O1725" s="69">
        <v>-4.8099999999999996</v>
      </c>
      <c r="P1725" s="69">
        <v>10.51</v>
      </c>
      <c r="Q1725" s="27">
        <v>40</v>
      </c>
      <c r="R1725" s="69">
        <v>1.36</v>
      </c>
      <c r="S1725" s="69">
        <v>62.62</v>
      </c>
      <c r="X1725" s="2">
        <f t="shared" si="78"/>
        <v>0.6</v>
      </c>
      <c r="Y1725" s="2">
        <f>SUMIF(收盤價!A:A,A1725,收盤價!C:C)</f>
        <v>20.010000000000002</v>
      </c>
      <c r="Z1725" s="2">
        <f t="shared" si="79"/>
        <v>434992.08399999997</v>
      </c>
      <c r="AA1725" s="2">
        <f t="shared" si="80"/>
        <v>828181.88400000008</v>
      </c>
    </row>
    <row r="1726" spans="1:27" ht="14.5" customHeight="1">
      <c r="A1726" s="7" t="s">
        <v>5991</v>
      </c>
      <c r="B1726" s="8" t="s">
        <v>3510</v>
      </c>
      <c r="C1726" s="27">
        <v>15834628</v>
      </c>
      <c r="D1726" s="27">
        <v>15402254</v>
      </c>
      <c r="E1726" s="69">
        <v>2.81</v>
      </c>
      <c r="F1726" s="27">
        <v>385463</v>
      </c>
      <c r="G1726" s="27">
        <v>412761</v>
      </c>
      <c r="H1726" s="27">
        <v>-9750</v>
      </c>
      <c r="I1726" s="27">
        <v>13602</v>
      </c>
      <c r="J1726" s="27">
        <v>291431</v>
      </c>
      <c r="K1726" s="27">
        <v>320380</v>
      </c>
      <c r="L1726" s="69">
        <v>-9.0399999999999991</v>
      </c>
      <c r="M1726" s="27">
        <v>717407</v>
      </c>
      <c r="N1726" s="69">
        <v>4.0599999999999996</v>
      </c>
      <c r="O1726" s="69">
        <v>4.47</v>
      </c>
      <c r="P1726" s="69">
        <v>114.06</v>
      </c>
      <c r="Q1726" s="27">
        <v>54</v>
      </c>
      <c r="R1726" s="69">
        <v>2.0099999999999998</v>
      </c>
      <c r="S1726" s="69">
        <v>66.02</v>
      </c>
      <c r="X1726" s="2">
        <f t="shared" si="78"/>
        <v>0.46</v>
      </c>
      <c r="Y1726" s="2">
        <f>SUMIF(收盤價!A:A,A1726,收盤價!C:C)</f>
        <v>268.95999999999998</v>
      </c>
      <c r="Z1726" s="2">
        <f t="shared" si="79"/>
        <v>8182744.2420000006</v>
      </c>
      <c r="AA1726" s="2">
        <f t="shared" si="80"/>
        <v>19295378.671999998</v>
      </c>
    </row>
    <row r="1727" spans="1:27" ht="14.5" customHeight="1">
      <c r="A1727" s="7" t="s">
        <v>6065</v>
      </c>
      <c r="B1727" s="8" t="s">
        <v>3624</v>
      </c>
      <c r="C1727" s="27">
        <v>815877</v>
      </c>
      <c r="D1727" s="27">
        <v>771093</v>
      </c>
      <c r="E1727" s="69">
        <v>5.81</v>
      </c>
      <c r="F1727" s="27">
        <v>81265</v>
      </c>
      <c r="G1727" s="27">
        <v>70723</v>
      </c>
      <c r="H1727" s="27">
        <v>5785</v>
      </c>
      <c r="I1727" s="27">
        <v>5900</v>
      </c>
      <c r="J1727" s="27">
        <v>64290</v>
      </c>
      <c r="K1727" s="27">
        <v>53056</v>
      </c>
      <c r="L1727" s="69">
        <v>21.17</v>
      </c>
      <c r="M1727" s="27">
        <v>602900</v>
      </c>
      <c r="N1727" s="69">
        <v>1.07</v>
      </c>
      <c r="O1727" s="69">
        <v>0.88</v>
      </c>
      <c r="P1727" s="69">
        <v>16.38</v>
      </c>
      <c r="Q1727" s="27">
        <v>47</v>
      </c>
      <c r="R1727" s="69">
        <v>1.55</v>
      </c>
      <c r="S1727" s="69">
        <v>78.5</v>
      </c>
      <c r="X1727" s="2">
        <f t="shared" si="78"/>
        <v>0.53</v>
      </c>
      <c r="Y1727" s="2">
        <f>SUMIF(收盤價!A:A,A1727,收盤價!C:C)</f>
        <v>25.99</v>
      </c>
      <c r="Z1727" s="2">
        <f t="shared" si="79"/>
        <v>987550.2</v>
      </c>
      <c r="AA1727" s="2">
        <f t="shared" si="80"/>
        <v>1566937.0999999999</v>
      </c>
    </row>
    <row r="1728" spans="1:27" ht="14.5" customHeight="1">
      <c r="A1728" s="7" t="s">
        <v>6066</v>
      </c>
      <c r="B1728" s="8" t="s">
        <v>3626</v>
      </c>
      <c r="C1728" s="27">
        <v>1028452</v>
      </c>
      <c r="D1728" s="27">
        <v>995832</v>
      </c>
      <c r="E1728" s="69">
        <v>3.28</v>
      </c>
      <c r="F1728" s="27">
        <v>212764</v>
      </c>
      <c r="G1728" s="27">
        <v>127823</v>
      </c>
      <c r="H1728" s="27">
        <v>-2015</v>
      </c>
      <c r="I1728" s="27">
        <v>8397</v>
      </c>
      <c r="J1728" s="27">
        <v>166907</v>
      </c>
      <c r="K1728" s="27">
        <v>105066</v>
      </c>
      <c r="L1728" s="69">
        <v>58.86</v>
      </c>
      <c r="M1728" s="27">
        <v>339250</v>
      </c>
      <c r="N1728" s="69">
        <v>4.92</v>
      </c>
      <c r="O1728" s="69">
        <v>3.1</v>
      </c>
      <c r="P1728" s="69">
        <v>42.92</v>
      </c>
      <c r="Q1728" s="27">
        <v>39</v>
      </c>
      <c r="R1728" s="69">
        <v>1.36</v>
      </c>
      <c r="S1728" s="69">
        <v>70.37</v>
      </c>
      <c r="X1728" s="2">
        <f t="shared" si="78"/>
        <v>0.61</v>
      </c>
      <c r="Y1728" s="2">
        <f>SUMIF(收盤價!A:A,A1728,收盤價!C:C)</f>
        <v>130.80000000000001</v>
      </c>
      <c r="Z1728" s="2">
        <f t="shared" si="79"/>
        <v>1456061</v>
      </c>
      <c r="AA1728" s="2">
        <f t="shared" si="80"/>
        <v>4437390.0000000009</v>
      </c>
    </row>
    <row r="1729" spans="1:27" ht="14.5" customHeight="1">
      <c r="A1729" s="7" t="s">
        <v>6067</v>
      </c>
      <c r="B1729" s="8" t="s">
        <v>3628</v>
      </c>
      <c r="C1729" s="27">
        <v>286366</v>
      </c>
      <c r="D1729" s="27">
        <v>312456</v>
      </c>
      <c r="E1729" s="69">
        <v>-8.35</v>
      </c>
      <c r="F1729" s="27">
        <v>-12342</v>
      </c>
      <c r="G1729" s="27">
        <v>-6291</v>
      </c>
      <c r="H1729" s="27">
        <v>3170</v>
      </c>
      <c r="I1729" s="27">
        <v>8799</v>
      </c>
      <c r="J1729" s="27">
        <v>-7337</v>
      </c>
      <c r="K1729" s="27">
        <v>3357</v>
      </c>
      <c r="L1729" s="69">
        <v>-318.56</v>
      </c>
      <c r="M1729" s="27">
        <v>310650</v>
      </c>
      <c r="N1729" s="69">
        <v>-0.24</v>
      </c>
      <c r="O1729" s="69">
        <v>0.11</v>
      </c>
      <c r="P1729" s="69">
        <v>16.57</v>
      </c>
      <c r="Q1729" s="27">
        <v>44</v>
      </c>
      <c r="R1729" s="69">
        <v>1.06</v>
      </c>
      <c r="S1729" s="69">
        <v>61.03</v>
      </c>
      <c r="X1729" s="2">
        <f t="shared" si="78"/>
        <v>0.56000000000000005</v>
      </c>
      <c r="Y1729" s="2">
        <f>SUMIF(收盤價!A:A,A1729,收盤價!C:C)</f>
        <v>20.170000000000002</v>
      </c>
      <c r="Z1729" s="2">
        <f t="shared" si="79"/>
        <v>514747.05</v>
      </c>
      <c r="AA1729" s="2">
        <f t="shared" si="80"/>
        <v>626581.05000000005</v>
      </c>
    </row>
    <row r="1730" spans="1:27" ht="14.5" customHeight="1">
      <c r="A1730" s="7" t="s">
        <v>6068</v>
      </c>
      <c r="B1730" s="8" t="s">
        <v>3630</v>
      </c>
      <c r="C1730" s="27">
        <v>632688</v>
      </c>
      <c r="D1730" s="27">
        <v>581792</v>
      </c>
      <c r="E1730" s="69">
        <v>8.75</v>
      </c>
      <c r="F1730" s="27">
        <v>15182</v>
      </c>
      <c r="G1730" s="27">
        <v>9928</v>
      </c>
      <c r="H1730" s="27">
        <v>-2151</v>
      </c>
      <c r="I1730" s="27">
        <v>-98</v>
      </c>
      <c r="J1730" s="27">
        <v>10410</v>
      </c>
      <c r="K1730" s="27">
        <v>7646</v>
      </c>
      <c r="L1730" s="69">
        <v>36.15</v>
      </c>
      <c r="M1730" s="27">
        <v>441000</v>
      </c>
      <c r="N1730" s="69">
        <v>0.24</v>
      </c>
      <c r="O1730" s="69">
        <v>0.17</v>
      </c>
      <c r="P1730" s="69">
        <v>11.86</v>
      </c>
      <c r="Q1730" s="27">
        <v>39</v>
      </c>
      <c r="R1730" s="69">
        <v>1.71</v>
      </c>
      <c r="S1730" s="69">
        <v>117.89</v>
      </c>
      <c r="X1730" s="2">
        <f t="shared" si="78"/>
        <v>0.61</v>
      </c>
      <c r="Y1730" s="2">
        <f>SUMIF(收盤價!A:A,A1730,收盤價!C:C)</f>
        <v>15.22</v>
      </c>
      <c r="Z1730" s="2">
        <f t="shared" si="79"/>
        <v>523026</v>
      </c>
      <c r="AA1730" s="2">
        <f t="shared" si="80"/>
        <v>671202</v>
      </c>
    </row>
    <row r="1731" spans="1:27" ht="14.5" customHeight="1">
      <c r="A1731" s="7" t="s">
        <v>6069</v>
      </c>
      <c r="B1731" s="8" t="s">
        <v>3632</v>
      </c>
      <c r="C1731" s="27">
        <v>556541</v>
      </c>
      <c r="D1731" s="27">
        <v>629215</v>
      </c>
      <c r="E1731" s="69">
        <v>-11.55</v>
      </c>
      <c r="F1731" s="27">
        <v>-19548</v>
      </c>
      <c r="G1731" s="27">
        <v>14007</v>
      </c>
      <c r="H1731" s="27">
        <v>-5654</v>
      </c>
      <c r="I1731" s="27">
        <v>-7316</v>
      </c>
      <c r="J1731" s="27">
        <v>-23528</v>
      </c>
      <c r="K1731" s="27">
        <v>1455</v>
      </c>
      <c r="L1731" s="28" t="s">
        <v>6413</v>
      </c>
      <c r="M1731" s="27">
        <v>580000</v>
      </c>
      <c r="N1731" s="69">
        <v>-0.42</v>
      </c>
      <c r="O1731" s="69">
        <v>0.04</v>
      </c>
      <c r="P1731" s="69">
        <v>10.5</v>
      </c>
      <c r="Q1731" s="27">
        <v>33</v>
      </c>
      <c r="R1731" s="69">
        <v>0.92</v>
      </c>
      <c r="S1731" s="69">
        <v>65.260000000000005</v>
      </c>
      <c r="X1731" s="2">
        <f t="shared" si="78"/>
        <v>0.67</v>
      </c>
      <c r="Y1731" s="2">
        <f>SUMIF(收盤價!A:A,A1731,收盤價!C:C)</f>
        <v>6.76</v>
      </c>
      <c r="Z1731" s="2">
        <f t="shared" si="79"/>
        <v>609000</v>
      </c>
      <c r="AA1731" s="2">
        <f t="shared" si="80"/>
        <v>392080</v>
      </c>
    </row>
    <row r="1732" spans="1:27" ht="14.5" customHeight="1">
      <c r="A1732" s="7" t="s">
        <v>6070</v>
      </c>
      <c r="B1732" s="8" t="s">
        <v>3634</v>
      </c>
      <c r="C1732" s="27">
        <v>585801</v>
      </c>
      <c r="D1732" s="27">
        <v>554677</v>
      </c>
      <c r="E1732" s="69">
        <v>5.61</v>
      </c>
      <c r="F1732" s="27">
        <v>96672</v>
      </c>
      <c r="G1732" s="27">
        <v>109283</v>
      </c>
      <c r="H1732" s="27">
        <v>5528</v>
      </c>
      <c r="I1732" s="27">
        <v>2728</v>
      </c>
      <c r="J1732" s="27">
        <v>79295</v>
      </c>
      <c r="K1732" s="27">
        <v>79574</v>
      </c>
      <c r="L1732" s="69">
        <v>-0.35</v>
      </c>
      <c r="M1732" s="27">
        <v>441000</v>
      </c>
      <c r="N1732" s="69">
        <v>1.8</v>
      </c>
      <c r="O1732" s="69">
        <v>1.8</v>
      </c>
      <c r="P1732" s="69">
        <v>20.71</v>
      </c>
      <c r="Q1732" s="27">
        <v>40</v>
      </c>
      <c r="R1732" s="69">
        <v>1.74</v>
      </c>
      <c r="S1732" s="69">
        <v>101.02</v>
      </c>
      <c r="X1732" s="2">
        <f t="shared" si="78"/>
        <v>0.6</v>
      </c>
      <c r="Y1732" s="2">
        <f>SUMIF(收盤價!A:A,A1732,收盤價!C:C)</f>
        <v>46.65</v>
      </c>
      <c r="Z1732" s="2">
        <f t="shared" si="79"/>
        <v>913311</v>
      </c>
      <c r="AA1732" s="2">
        <f t="shared" si="80"/>
        <v>2057265</v>
      </c>
    </row>
    <row r="1733" spans="1:27" ht="14.5" customHeight="1">
      <c r="A1733" s="7" t="s">
        <v>6071</v>
      </c>
      <c r="B1733" s="8" t="s">
        <v>3636</v>
      </c>
      <c r="C1733" s="27">
        <v>836810</v>
      </c>
      <c r="D1733" s="27">
        <v>659449</v>
      </c>
      <c r="E1733" s="69">
        <v>26.9</v>
      </c>
      <c r="F1733" s="27">
        <v>110069</v>
      </c>
      <c r="G1733" s="27">
        <v>28570</v>
      </c>
      <c r="H1733" s="27">
        <v>18781</v>
      </c>
      <c r="I1733" s="27">
        <v>36987</v>
      </c>
      <c r="J1733" s="27">
        <v>77205</v>
      </c>
      <c r="K1733" s="27">
        <v>42476</v>
      </c>
      <c r="L1733" s="69">
        <v>81.760000000000005</v>
      </c>
      <c r="M1733" s="27">
        <v>600000</v>
      </c>
      <c r="N1733" s="69">
        <v>1.29</v>
      </c>
      <c r="O1733" s="69">
        <v>0.71</v>
      </c>
      <c r="P1733" s="69">
        <v>29.03</v>
      </c>
      <c r="Q1733" s="27">
        <v>63</v>
      </c>
      <c r="R1733" s="69">
        <v>2.12</v>
      </c>
      <c r="S1733" s="69">
        <v>145.97</v>
      </c>
      <c r="X1733" s="2">
        <f t="shared" ref="X1733:X1796" si="81">IF(W1733&lt;&gt;"",ROUND(W1733/U1733,2),(100-Q1733)/100)</f>
        <v>0.37</v>
      </c>
      <c r="Y1733" s="2">
        <f>SUMIF(收盤價!A:A,A1733,收盤價!C:C)</f>
        <v>37.99</v>
      </c>
      <c r="Z1733" s="2">
        <f t="shared" ref="Z1733:Z1796" si="82">IF(W1733&lt;&gt;"",U1733-W1733,M1733*P1733/10)</f>
        <v>1741800</v>
      </c>
      <c r="AA1733" s="2">
        <f t="shared" ref="AA1733:AA1796" si="83">Y1733*M1733/10</f>
        <v>2279400</v>
      </c>
    </row>
    <row r="1734" spans="1:27" ht="14.5" customHeight="1">
      <c r="A1734" s="7" t="s">
        <v>6072</v>
      </c>
      <c r="B1734" s="8" t="s">
        <v>3638</v>
      </c>
      <c r="C1734" s="27">
        <v>276370</v>
      </c>
      <c r="D1734" s="27">
        <v>412914</v>
      </c>
      <c r="E1734" s="69">
        <v>-33.07</v>
      </c>
      <c r="F1734" s="27">
        <v>-29875</v>
      </c>
      <c r="G1734" s="27">
        <v>70335</v>
      </c>
      <c r="H1734" s="27">
        <v>4226</v>
      </c>
      <c r="I1734" s="27">
        <v>3251</v>
      </c>
      <c r="J1734" s="27">
        <v>-23427</v>
      </c>
      <c r="K1734" s="27">
        <v>54844</v>
      </c>
      <c r="L1734" s="69">
        <v>-142.72</v>
      </c>
      <c r="M1734" s="27">
        <v>292566</v>
      </c>
      <c r="N1734" s="69">
        <v>-0.8</v>
      </c>
      <c r="O1734" s="69">
        <v>1.94</v>
      </c>
      <c r="P1734" s="69">
        <v>20.399999999999999</v>
      </c>
      <c r="Q1734" s="27">
        <v>32</v>
      </c>
      <c r="R1734" s="69">
        <v>1.01</v>
      </c>
      <c r="S1734" s="69">
        <v>48.23</v>
      </c>
      <c r="X1734" s="2">
        <f t="shared" si="81"/>
        <v>0.68</v>
      </c>
      <c r="Y1734" s="2">
        <f>SUMIF(收盤價!A:A,A1734,收盤價!C:C)</f>
        <v>26.95</v>
      </c>
      <c r="Z1734" s="2">
        <f t="shared" si="82"/>
        <v>596834.6399999999</v>
      </c>
      <c r="AA1734" s="2">
        <f t="shared" si="83"/>
        <v>788465.37</v>
      </c>
    </row>
    <row r="1735" spans="1:27" ht="14.5" customHeight="1">
      <c r="A1735" s="7" t="s">
        <v>6073</v>
      </c>
      <c r="B1735" s="8" t="s">
        <v>3640</v>
      </c>
      <c r="C1735" s="27">
        <v>343133</v>
      </c>
      <c r="D1735" s="27">
        <v>553417</v>
      </c>
      <c r="E1735" s="69">
        <v>-38</v>
      </c>
      <c r="F1735" s="27">
        <v>-40450</v>
      </c>
      <c r="G1735" s="27">
        <v>38182</v>
      </c>
      <c r="H1735" s="27">
        <v>25204</v>
      </c>
      <c r="I1735" s="27">
        <v>26938</v>
      </c>
      <c r="J1735" s="27">
        <v>-11661</v>
      </c>
      <c r="K1735" s="27">
        <v>51431</v>
      </c>
      <c r="L1735" s="69">
        <v>-122.67</v>
      </c>
      <c r="M1735" s="27">
        <v>391810</v>
      </c>
      <c r="N1735" s="69">
        <v>-0.35</v>
      </c>
      <c r="O1735" s="69">
        <v>1.68</v>
      </c>
      <c r="P1735" s="69">
        <v>34.229999999999997</v>
      </c>
      <c r="Q1735" s="27">
        <v>36</v>
      </c>
      <c r="R1735" s="69">
        <v>0.95</v>
      </c>
      <c r="S1735" s="69">
        <v>46.9</v>
      </c>
      <c r="X1735" s="2">
        <f t="shared" si="81"/>
        <v>0.64</v>
      </c>
      <c r="Y1735" s="2">
        <f>SUMIF(收盤價!A:A,A1735,收盤價!C:C)</f>
        <v>26.4</v>
      </c>
      <c r="Z1735" s="2">
        <f t="shared" si="82"/>
        <v>1341165.6299999999</v>
      </c>
      <c r="AA1735" s="2">
        <f t="shared" si="83"/>
        <v>1034378.4</v>
      </c>
    </row>
    <row r="1736" spans="1:27" ht="14.5" customHeight="1">
      <c r="A1736" s="7" t="s">
        <v>6074</v>
      </c>
      <c r="B1736" s="8" t="s">
        <v>3642</v>
      </c>
      <c r="C1736" s="27">
        <v>297118</v>
      </c>
      <c r="D1736" s="27">
        <v>720197</v>
      </c>
      <c r="E1736" s="69">
        <v>-58.74</v>
      </c>
      <c r="F1736" s="27">
        <v>-28540</v>
      </c>
      <c r="G1736" s="27">
        <v>69328</v>
      </c>
      <c r="H1736" s="27">
        <v>38360</v>
      </c>
      <c r="I1736" s="27">
        <v>5960</v>
      </c>
      <c r="J1736" s="27">
        <v>8605</v>
      </c>
      <c r="K1736" s="27">
        <v>60353</v>
      </c>
      <c r="L1736" s="69">
        <v>-85.74</v>
      </c>
      <c r="M1736" s="27">
        <v>204000</v>
      </c>
      <c r="N1736" s="69">
        <v>0.47</v>
      </c>
      <c r="O1736" s="69">
        <v>3.8</v>
      </c>
      <c r="P1736" s="69">
        <v>28.69</v>
      </c>
      <c r="Q1736" s="27">
        <v>42</v>
      </c>
      <c r="R1736" s="69">
        <v>1.71</v>
      </c>
      <c r="S1736" s="69">
        <v>128.93</v>
      </c>
      <c r="X1736" s="2">
        <f t="shared" si="81"/>
        <v>0.57999999999999996</v>
      </c>
      <c r="Y1736" s="2">
        <f>SUMIF(收盤價!A:A,A1736,收盤價!C:C)</f>
        <v>89.95</v>
      </c>
      <c r="Z1736" s="2">
        <f t="shared" si="82"/>
        <v>585276</v>
      </c>
      <c r="AA1736" s="2">
        <f t="shared" si="83"/>
        <v>1834980</v>
      </c>
    </row>
    <row r="1737" spans="1:27" ht="14.5" customHeight="1">
      <c r="A1737" s="7" t="s">
        <v>6217</v>
      </c>
      <c r="B1737" s="8" t="s">
        <v>3858</v>
      </c>
      <c r="C1737" s="27">
        <v>174211</v>
      </c>
      <c r="D1737" s="27">
        <v>156746</v>
      </c>
      <c r="E1737" s="69">
        <v>11.14</v>
      </c>
      <c r="F1737" s="27">
        <v>9685</v>
      </c>
      <c r="G1737" s="27">
        <v>12211</v>
      </c>
      <c r="H1737" s="27">
        <v>-1762</v>
      </c>
      <c r="I1737" s="27">
        <v>941</v>
      </c>
      <c r="J1737" s="27">
        <v>7105</v>
      </c>
      <c r="K1737" s="27">
        <v>10975</v>
      </c>
      <c r="L1737" s="69">
        <v>-35.26</v>
      </c>
      <c r="M1737" s="27">
        <v>170500</v>
      </c>
      <c r="N1737" s="69">
        <v>0.42</v>
      </c>
      <c r="O1737" s="69">
        <v>0.64</v>
      </c>
      <c r="P1737" s="69">
        <v>16.82</v>
      </c>
      <c r="Q1737" s="27">
        <v>46</v>
      </c>
      <c r="R1737" s="69">
        <v>1.38</v>
      </c>
      <c r="S1737" s="69">
        <v>69.81</v>
      </c>
      <c r="X1737" s="2">
        <f t="shared" si="81"/>
        <v>0.54</v>
      </c>
      <c r="Y1737" s="2">
        <f>SUMIF(收盤價!A:A,A1737,收盤價!C:C)</f>
        <v>31</v>
      </c>
      <c r="Z1737" s="2">
        <f t="shared" si="82"/>
        <v>286781</v>
      </c>
      <c r="AA1737" s="2">
        <f t="shared" si="83"/>
        <v>528550</v>
      </c>
    </row>
    <row r="1738" spans="1:27" ht="14.5" customHeight="1">
      <c r="A1738" s="7" t="s">
        <v>6287</v>
      </c>
      <c r="B1738" s="8" t="s">
        <v>7082</v>
      </c>
      <c r="C1738" s="27">
        <v>22024327</v>
      </c>
      <c r="D1738" s="27">
        <v>25398137</v>
      </c>
      <c r="E1738" s="69">
        <v>-13.28</v>
      </c>
      <c r="F1738" s="27">
        <v>-599323</v>
      </c>
      <c r="G1738" s="27">
        <v>342534</v>
      </c>
      <c r="H1738" s="27">
        <v>-1382080</v>
      </c>
      <c r="I1738" s="27">
        <v>881249</v>
      </c>
      <c r="J1738" s="27">
        <v>-1890398</v>
      </c>
      <c r="K1738" s="27">
        <v>1389169</v>
      </c>
      <c r="L1738" s="69">
        <v>-236.08</v>
      </c>
      <c r="M1738" s="27">
        <v>26204136</v>
      </c>
      <c r="N1738" s="69">
        <v>-0.72</v>
      </c>
      <c r="O1738" s="69">
        <v>0.53</v>
      </c>
      <c r="P1738" s="69">
        <v>6.36</v>
      </c>
      <c r="Q1738" s="27">
        <v>29</v>
      </c>
      <c r="R1738" s="69">
        <v>0.57999999999999996</v>
      </c>
      <c r="S1738" s="69">
        <v>25.38</v>
      </c>
      <c r="X1738" s="2">
        <f t="shared" si="81"/>
        <v>0.71</v>
      </c>
      <c r="Y1738" s="2">
        <f>SUMIF(收盤價!A:A,A1738,收盤價!C:C)</f>
        <v>5.77</v>
      </c>
      <c r="Z1738" s="2">
        <f t="shared" si="82"/>
        <v>16665830.496000001</v>
      </c>
      <c r="AA1738" s="2">
        <f t="shared" si="83"/>
        <v>15119786.471999999</v>
      </c>
    </row>
    <row r="1739" spans="1:27" ht="14.5" customHeight="1">
      <c r="A1739" s="7" t="s">
        <v>6077</v>
      </c>
      <c r="B1739" s="8" t="s">
        <v>7083</v>
      </c>
      <c r="C1739" s="27">
        <v>746039</v>
      </c>
      <c r="D1739" s="27">
        <v>870790</v>
      </c>
      <c r="E1739" s="69">
        <v>-14.33</v>
      </c>
      <c r="F1739" s="27">
        <v>20037</v>
      </c>
      <c r="G1739" s="27">
        <v>38600</v>
      </c>
      <c r="H1739" s="27">
        <v>-715</v>
      </c>
      <c r="I1739" s="27">
        <v>-6706</v>
      </c>
      <c r="J1739" s="27">
        <v>10754</v>
      </c>
      <c r="K1739" s="27">
        <v>17404</v>
      </c>
      <c r="L1739" s="69">
        <v>-38.21</v>
      </c>
      <c r="M1739" s="27">
        <v>289400</v>
      </c>
      <c r="N1739" s="69">
        <v>0.37</v>
      </c>
      <c r="O1739" s="69">
        <v>0.6</v>
      </c>
      <c r="P1739" s="69">
        <v>18.97</v>
      </c>
      <c r="Q1739" s="27">
        <v>35</v>
      </c>
      <c r="R1739" s="69">
        <v>1.34</v>
      </c>
      <c r="S1739" s="69">
        <v>90.79</v>
      </c>
      <c r="X1739" s="2">
        <f t="shared" si="81"/>
        <v>0.65</v>
      </c>
      <c r="Y1739" s="2">
        <f>SUMIF(收盤價!A:A,A1739,收盤價!C:C)</f>
        <v>10.24</v>
      </c>
      <c r="Z1739" s="2">
        <f t="shared" si="82"/>
        <v>548991.80000000005</v>
      </c>
      <c r="AA1739" s="2">
        <f t="shared" si="83"/>
        <v>296345.59999999998</v>
      </c>
    </row>
    <row r="1740" spans="1:27" ht="14.5" customHeight="1">
      <c r="A1740" s="7" t="s">
        <v>5994</v>
      </c>
      <c r="B1740" s="8" t="s">
        <v>7084</v>
      </c>
      <c r="C1740" s="27">
        <v>627472</v>
      </c>
      <c r="D1740" s="27">
        <v>1240921</v>
      </c>
      <c r="E1740" s="69">
        <v>-49.43</v>
      </c>
      <c r="F1740" s="27">
        <v>159806</v>
      </c>
      <c r="G1740" s="27">
        <v>406684</v>
      </c>
      <c r="H1740" s="27">
        <v>6119</v>
      </c>
      <c r="I1740" s="27">
        <v>5484</v>
      </c>
      <c r="J1740" s="27">
        <v>161477</v>
      </c>
      <c r="K1740" s="27">
        <v>397619</v>
      </c>
      <c r="L1740" s="69">
        <v>-59.39</v>
      </c>
      <c r="M1740" s="27">
        <v>1000062</v>
      </c>
      <c r="N1740" s="69">
        <v>1.61</v>
      </c>
      <c r="O1740" s="69">
        <v>3.98</v>
      </c>
      <c r="P1740" s="69">
        <v>22.32</v>
      </c>
      <c r="Q1740" s="27">
        <v>82</v>
      </c>
      <c r="R1740" s="69">
        <v>5.85</v>
      </c>
      <c r="S1740" s="69">
        <v>175.89</v>
      </c>
      <c r="X1740" s="2">
        <f t="shared" si="81"/>
        <v>0.18</v>
      </c>
      <c r="Y1740" s="2">
        <f>SUMIF(收盤價!A:A,A1740,收盤價!C:C)</f>
        <v>19.899999999999999</v>
      </c>
      <c r="Z1740" s="2">
        <f t="shared" si="82"/>
        <v>2232138.3840000001</v>
      </c>
      <c r="AA1740" s="2">
        <f t="shared" si="83"/>
        <v>1990123.3799999997</v>
      </c>
    </row>
    <row r="1741" spans="1:27" ht="14.5" customHeight="1">
      <c r="A1741" s="7" t="s">
        <v>5977</v>
      </c>
      <c r="B1741" s="8" t="s">
        <v>3486</v>
      </c>
      <c r="C1741" s="27">
        <v>1544815</v>
      </c>
      <c r="D1741" s="27">
        <v>1290257</v>
      </c>
      <c r="E1741" s="69">
        <v>19.73</v>
      </c>
      <c r="F1741" s="27">
        <v>95317</v>
      </c>
      <c r="G1741" s="27">
        <v>99686</v>
      </c>
      <c r="H1741" s="27">
        <v>-48335</v>
      </c>
      <c r="I1741" s="27">
        <v>-4414</v>
      </c>
      <c r="J1741" s="27">
        <v>24859</v>
      </c>
      <c r="K1741" s="27">
        <v>54914</v>
      </c>
      <c r="L1741" s="69">
        <v>-54.73</v>
      </c>
      <c r="M1741" s="27">
        <v>185038</v>
      </c>
      <c r="N1741" s="69">
        <v>1.34</v>
      </c>
      <c r="O1741" s="69">
        <v>3.27</v>
      </c>
      <c r="P1741" s="69">
        <v>47.03</v>
      </c>
      <c r="Q1741" s="27">
        <v>36</v>
      </c>
      <c r="R1741" s="69">
        <v>1.2</v>
      </c>
      <c r="S1741" s="69">
        <v>106.64</v>
      </c>
      <c r="X1741" s="2">
        <f t="shared" si="81"/>
        <v>0.64</v>
      </c>
      <c r="Y1741" s="2">
        <f>SUMIF(收盤價!A:A,A1741,收盤價!C:C)</f>
        <v>87.1</v>
      </c>
      <c r="Z1741" s="2">
        <f t="shared" si="82"/>
        <v>870233.71400000004</v>
      </c>
      <c r="AA1741" s="2">
        <f t="shared" si="83"/>
        <v>1611680.98</v>
      </c>
    </row>
    <row r="1742" spans="1:27" ht="14.5" customHeight="1">
      <c r="A1742" s="7" t="s">
        <v>5996</v>
      </c>
      <c r="B1742" s="8" t="s">
        <v>3520</v>
      </c>
      <c r="C1742" s="27">
        <v>142717</v>
      </c>
      <c r="D1742" s="27">
        <v>139704</v>
      </c>
      <c r="E1742" s="69">
        <v>2.16</v>
      </c>
      <c r="F1742" s="27">
        <v>12940</v>
      </c>
      <c r="G1742" s="27">
        <v>8350</v>
      </c>
      <c r="H1742" s="27">
        <v>-4085</v>
      </c>
      <c r="I1742" s="27">
        <v>1762</v>
      </c>
      <c r="J1742" s="27">
        <v>7088</v>
      </c>
      <c r="K1742" s="27">
        <v>9196</v>
      </c>
      <c r="L1742" s="69">
        <v>-22.92</v>
      </c>
      <c r="M1742" s="27">
        <v>372800</v>
      </c>
      <c r="N1742" s="69">
        <v>0.19</v>
      </c>
      <c r="O1742" s="69">
        <v>0.25</v>
      </c>
      <c r="P1742" s="69">
        <v>10.59</v>
      </c>
      <c r="Q1742" s="27">
        <v>30</v>
      </c>
      <c r="R1742" s="69">
        <v>0.55000000000000004</v>
      </c>
      <c r="S1742" s="69">
        <v>47.53</v>
      </c>
      <c r="X1742" s="2">
        <f t="shared" si="81"/>
        <v>0.7</v>
      </c>
      <c r="Y1742" s="2">
        <f>SUMIF(收盤價!A:A,A1742,收盤價!C:C)</f>
        <v>6.67</v>
      </c>
      <c r="Z1742" s="2">
        <f t="shared" si="82"/>
        <v>394795.2</v>
      </c>
      <c r="AA1742" s="2">
        <f t="shared" si="83"/>
        <v>248657.6</v>
      </c>
    </row>
    <row r="1743" spans="1:27" ht="14.5" customHeight="1">
      <c r="A1743" s="7" t="s">
        <v>5997</v>
      </c>
      <c r="B1743" s="8" t="s">
        <v>3522</v>
      </c>
      <c r="C1743" s="27">
        <v>407273</v>
      </c>
      <c r="D1743" s="27">
        <v>339834</v>
      </c>
      <c r="E1743" s="69">
        <v>19.84</v>
      </c>
      <c r="F1743" s="27">
        <v>8082</v>
      </c>
      <c r="G1743" s="27">
        <v>-6858</v>
      </c>
      <c r="H1743" s="27">
        <v>409</v>
      </c>
      <c r="I1743" s="27">
        <v>-1037</v>
      </c>
      <c r="J1743" s="27">
        <v>6907</v>
      </c>
      <c r="K1743" s="27">
        <v>-4046</v>
      </c>
      <c r="L1743" s="69">
        <v>270.70999999999998</v>
      </c>
      <c r="M1743" s="27">
        <v>168672</v>
      </c>
      <c r="N1743" s="69">
        <v>0.42</v>
      </c>
      <c r="O1743" s="69">
        <v>-0.24</v>
      </c>
      <c r="P1743" s="69">
        <v>49.06</v>
      </c>
      <c r="Q1743" s="27">
        <v>79</v>
      </c>
      <c r="R1743" s="69">
        <v>0.97</v>
      </c>
      <c r="S1743" s="69">
        <v>74.510000000000005</v>
      </c>
      <c r="X1743" s="2">
        <f t="shared" si="81"/>
        <v>0.21</v>
      </c>
      <c r="Y1743" s="2">
        <f>SUMIF(收盤價!A:A,A1743,收盤價!C:C)</f>
        <v>25.61</v>
      </c>
      <c r="Z1743" s="2">
        <f t="shared" si="82"/>
        <v>827504.83200000005</v>
      </c>
      <c r="AA1743" s="2">
        <f t="shared" si="83"/>
        <v>431968.99199999997</v>
      </c>
    </row>
    <row r="1744" spans="1:27" ht="14.5" customHeight="1">
      <c r="A1744" s="7" t="s">
        <v>6001</v>
      </c>
      <c r="B1744" s="8" t="s">
        <v>3524</v>
      </c>
      <c r="C1744" s="27">
        <v>398811</v>
      </c>
      <c r="D1744" s="27">
        <v>414834</v>
      </c>
      <c r="E1744" s="69">
        <v>-3.86</v>
      </c>
      <c r="F1744" s="27">
        <v>6121</v>
      </c>
      <c r="G1744" s="27">
        <v>69046</v>
      </c>
      <c r="H1744" s="27">
        <v>148275</v>
      </c>
      <c r="I1744" s="27">
        <v>-798</v>
      </c>
      <c r="J1744" s="27">
        <v>122980</v>
      </c>
      <c r="K1744" s="27">
        <v>50742</v>
      </c>
      <c r="L1744" s="69">
        <v>142.36000000000001</v>
      </c>
      <c r="M1744" s="27">
        <v>211189</v>
      </c>
      <c r="N1744" s="69">
        <v>6.17</v>
      </c>
      <c r="O1744" s="69">
        <v>2.59</v>
      </c>
      <c r="P1744" s="69">
        <v>32.72</v>
      </c>
      <c r="Q1744" s="27">
        <v>58</v>
      </c>
      <c r="R1744" s="69">
        <v>1.47</v>
      </c>
      <c r="S1744" s="69">
        <v>129.44999999999999</v>
      </c>
      <c r="X1744" s="2">
        <f t="shared" si="81"/>
        <v>0.42</v>
      </c>
      <c r="Y1744" s="2">
        <f>SUMIF(收盤價!A:A,A1744,收盤價!C:C)</f>
        <v>49.12</v>
      </c>
      <c r="Z1744" s="2">
        <f t="shared" si="82"/>
        <v>691010.40800000005</v>
      </c>
      <c r="AA1744" s="2">
        <f t="shared" si="83"/>
        <v>1037360.368</v>
      </c>
    </row>
    <row r="1745" spans="1:27" ht="14.5" customHeight="1">
      <c r="A1745" s="7" t="s">
        <v>6003</v>
      </c>
      <c r="B1745" s="8" t="s">
        <v>3526</v>
      </c>
      <c r="C1745" s="27">
        <v>189951</v>
      </c>
      <c r="D1745" s="27">
        <v>223808</v>
      </c>
      <c r="E1745" s="69">
        <v>-15.13</v>
      </c>
      <c r="F1745" s="27">
        <v>-4831</v>
      </c>
      <c r="G1745" s="27">
        <v>15273</v>
      </c>
      <c r="H1745" s="27">
        <v>-11309</v>
      </c>
      <c r="I1745" s="27">
        <v>-3770</v>
      </c>
      <c r="J1745" s="27">
        <v>-17127</v>
      </c>
      <c r="K1745" s="27">
        <v>6646</v>
      </c>
      <c r="L1745" s="69">
        <v>-357.7</v>
      </c>
      <c r="M1745" s="27">
        <v>460114</v>
      </c>
      <c r="N1745" s="69">
        <v>-0.37</v>
      </c>
      <c r="O1745" s="69">
        <v>0.14000000000000001</v>
      </c>
      <c r="P1745" s="69">
        <v>10.34</v>
      </c>
      <c r="Q1745" s="27">
        <v>20</v>
      </c>
      <c r="R1745" s="69">
        <v>0.15</v>
      </c>
      <c r="S1745" s="69">
        <v>12.19</v>
      </c>
      <c r="X1745" s="2">
        <f t="shared" si="81"/>
        <v>0.8</v>
      </c>
      <c r="Y1745" s="2">
        <f>SUMIF(收盤價!A:A,A1745,收盤價!C:C)</f>
        <v>15.25</v>
      </c>
      <c r="Z1745" s="2">
        <f t="shared" si="82"/>
        <v>475757.87599999999</v>
      </c>
      <c r="AA1745" s="2">
        <f t="shared" si="83"/>
        <v>701673.85</v>
      </c>
    </row>
    <row r="1746" spans="1:27" ht="14.5" customHeight="1">
      <c r="A1746" s="7" t="s">
        <v>6005</v>
      </c>
      <c r="B1746" s="8" t="s">
        <v>3528</v>
      </c>
      <c r="C1746" s="27">
        <v>931529</v>
      </c>
      <c r="D1746" s="27">
        <v>654261</v>
      </c>
      <c r="E1746" s="69">
        <v>42.38</v>
      </c>
      <c r="F1746" s="27">
        <v>95063</v>
      </c>
      <c r="G1746" s="27">
        <v>85553</v>
      </c>
      <c r="H1746" s="27">
        <v>-7775</v>
      </c>
      <c r="I1746" s="27">
        <v>-2998</v>
      </c>
      <c r="J1746" s="27">
        <v>64940</v>
      </c>
      <c r="K1746" s="27">
        <v>65424</v>
      </c>
      <c r="L1746" s="69">
        <v>-0.74</v>
      </c>
      <c r="M1746" s="27">
        <v>378730</v>
      </c>
      <c r="N1746" s="69">
        <v>1.91</v>
      </c>
      <c r="O1746" s="69">
        <v>2.08</v>
      </c>
      <c r="P1746" s="69">
        <v>18.79</v>
      </c>
      <c r="Q1746" s="27">
        <v>42</v>
      </c>
      <c r="R1746" s="69">
        <v>1.36</v>
      </c>
      <c r="S1746" s="69">
        <v>128.87</v>
      </c>
      <c r="X1746" s="2">
        <f t="shared" si="81"/>
        <v>0.57999999999999996</v>
      </c>
      <c r="Y1746" s="2">
        <f>SUMIF(收盤價!A:A,A1746,收盤價!C:C)</f>
        <v>103.45</v>
      </c>
      <c r="Z1746" s="2">
        <f t="shared" si="82"/>
        <v>711633.66999999993</v>
      </c>
      <c r="AA1746" s="2">
        <f t="shared" si="83"/>
        <v>3917961.85</v>
      </c>
    </row>
    <row r="1747" spans="1:27" ht="14.5" customHeight="1">
      <c r="A1747" s="7" t="s">
        <v>6006</v>
      </c>
      <c r="B1747" s="8" t="s">
        <v>3530</v>
      </c>
      <c r="C1747" s="27">
        <v>605875</v>
      </c>
      <c r="D1747" s="27">
        <v>524387</v>
      </c>
      <c r="E1747" s="69">
        <v>15.54</v>
      </c>
      <c r="F1747" s="27">
        <v>38210</v>
      </c>
      <c r="G1747" s="27">
        <v>36842</v>
      </c>
      <c r="H1747" s="27">
        <v>339</v>
      </c>
      <c r="I1747" s="27">
        <v>-4772</v>
      </c>
      <c r="J1747" s="28" t="s">
        <v>6317</v>
      </c>
      <c r="K1747" s="28" t="s">
        <v>6317</v>
      </c>
      <c r="L1747" s="28" t="s">
        <v>6571</v>
      </c>
      <c r="M1747" s="27">
        <v>180000</v>
      </c>
      <c r="N1747" s="69">
        <v>1.7</v>
      </c>
      <c r="O1747" s="69">
        <v>1.36</v>
      </c>
      <c r="P1747" s="69">
        <v>18.100000000000001</v>
      </c>
      <c r="Q1747" s="27">
        <v>32</v>
      </c>
      <c r="R1747" s="69">
        <v>0.65</v>
      </c>
      <c r="S1747" s="69">
        <v>56.35</v>
      </c>
      <c r="X1747" s="2">
        <f t="shared" si="81"/>
        <v>0.68</v>
      </c>
      <c r="Y1747" s="2">
        <f>SUMIF(收盤價!A:A,A1747,收盤價!C:C)</f>
        <v>62.34</v>
      </c>
      <c r="Z1747" s="2">
        <f t="shared" si="82"/>
        <v>325800.00000000006</v>
      </c>
      <c r="AA1747" s="2">
        <f t="shared" si="83"/>
        <v>1122120</v>
      </c>
    </row>
    <row r="1748" spans="1:27" ht="14.5" customHeight="1">
      <c r="A1748" s="7" t="s">
        <v>6274</v>
      </c>
      <c r="B1748" s="8" t="s">
        <v>7085</v>
      </c>
      <c r="C1748" s="27">
        <v>1937190</v>
      </c>
      <c r="D1748" s="27">
        <v>1958583</v>
      </c>
      <c r="E1748" s="69">
        <v>-1.0900000000000001</v>
      </c>
      <c r="F1748" s="27">
        <v>598467</v>
      </c>
      <c r="G1748" s="27">
        <v>608948</v>
      </c>
      <c r="H1748" s="27">
        <v>203830</v>
      </c>
      <c r="I1748" s="27">
        <v>243591</v>
      </c>
      <c r="J1748" s="27">
        <v>636091</v>
      </c>
      <c r="K1748" s="27">
        <v>691258</v>
      </c>
      <c r="L1748" s="69">
        <v>-7.98</v>
      </c>
      <c r="M1748" s="27">
        <v>1365000</v>
      </c>
      <c r="N1748" s="69">
        <v>4.66</v>
      </c>
      <c r="O1748" s="69">
        <v>5.0599999999999996</v>
      </c>
      <c r="P1748" s="69">
        <v>53.42</v>
      </c>
      <c r="Q1748" s="27">
        <v>56</v>
      </c>
      <c r="R1748" s="69">
        <v>2.11</v>
      </c>
      <c r="S1748" s="69">
        <v>210.38</v>
      </c>
      <c r="X1748" s="2">
        <f t="shared" si="81"/>
        <v>0.44</v>
      </c>
      <c r="Y1748" s="2">
        <f>SUMIF(收盤價!A:A,A1748,收盤價!C:C)</f>
        <v>152.13999999999999</v>
      </c>
      <c r="Z1748" s="2">
        <f t="shared" si="82"/>
        <v>7291830</v>
      </c>
      <c r="AA1748" s="2">
        <f t="shared" si="83"/>
        <v>20767109.999999996</v>
      </c>
    </row>
    <row r="1749" spans="1:27" ht="14.5" customHeight="1">
      <c r="A1749" s="7" t="s">
        <v>6007</v>
      </c>
      <c r="B1749" s="8" t="s">
        <v>3532</v>
      </c>
      <c r="C1749" s="27">
        <v>364351</v>
      </c>
      <c r="D1749" s="27">
        <v>339460</v>
      </c>
      <c r="E1749" s="69">
        <v>7.33</v>
      </c>
      <c r="F1749" s="27">
        <v>54653</v>
      </c>
      <c r="G1749" s="27">
        <v>47832</v>
      </c>
      <c r="H1749" s="27">
        <v>-6880</v>
      </c>
      <c r="I1749" s="27">
        <v>-2375</v>
      </c>
      <c r="J1749" s="27">
        <v>37055</v>
      </c>
      <c r="K1749" s="27">
        <v>33948</v>
      </c>
      <c r="L1749" s="69">
        <v>9.15</v>
      </c>
      <c r="M1749" s="27">
        <v>201400</v>
      </c>
      <c r="N1749" s="69">
        <v>1.84</v>
      </c>
      <c r="O1749" s="69">
        <v>1.69</v>
      </c>
      <c r="P1749" s="69">
        <v>22.12</v>
      </c>
      <c r="Q1749" s="27">
        <v>28</v>
      </c>
      <c r="R1749" s="69">
        <v>1.31</v>
      </c>
      <c r="S1749" s="69">
        <v>85.64</v>
      </c>
      <c r="X1749" s="2">
        <f t="shared" si="81"/>
        <v>0.72</v>
      </c>
      <c r="Y1749" s="2">
        <f>SUMIF(收盤價!A:A,A1749,收盤價!C:C)</f>
        <v>33.07</v>
      </c>
      <c r="Z1749" s="2">
        <f t="shared" si="82"/>
        <v>445496.8</v>
      </c>
      <c r="AA1749" s="2">
        <f t="shared" si="83"/>
        <v>666029.80000000005</v>
      </c>
    </row>
    <row r="1750" spans="1:27" ht="14.5" customHeight="1">
      <c r="A1750" s="7" t="s">
        <v>6008</v>
      </c>
      <c r="B1750" s="8" t="s">
        <v>3534</v>
      </c>
      <c r="C1750" s="27">
        <v>652262</v>
      </c>
      <c r="D1750" s="27">
        <v>666935</v>
      </c>
      <c r="E1750" s="69">
        <v>-2.2000000000000002</v>
      </c>
      <c r="F1750" s="27">
        <v>175628</v>
      </c>
      <c r="G1750" s="27">
        <v>174986</v>
      </c>
      <c r="H1750" s="27">
        <v>-31602</v>
      </c>
      <c r="I1750" s="27">
        <v>23428</v>
      </c>
      <c r="J1750" s="27">
        <v>113935</v>
      </c>
      <c r="K1750" s="27">
        <v>149507</v>
      </c>
      <c r="L1750" s="69">
        <v>-23.79</v>
      </c>
      <c r="M1750" s="27">
        <v>600000</v>
      </c>
      <c r="N1750" s="69">
        <v>1.9</v>
      </c>
      <c r="O1750" s="69">
        <v>2.4900000000000002</v>
      </c>
      <c r="P1750" s="69">
        <v>17.36</v>
      </c>
      <c r="Q1750" s="27">
        <v>16</v>
      </c>
      <c r="R1750" s="69">
        <v>1.39</v>
      </c>
      <c r="S1750" s="69">
        <v>136.16</v>
      </c>
      <c r="X1750" s="2">
        <f t="shared" si="81"/>
        <v>0.84</v>
      </c>
      <c r="Y1750" s="2">
        <f>SUMIF(收盤價!A:A,A1750,收盤價!C:C)</f>
        <v>50.8</v>
      </c>
      <c r="Z1750" s="2">
        <f t="shared" si="82"/>
        <v>1041600</v>
      </c>
      <c r="AA1750" s="2">
        <f t="shared" si="83"/>
        <v>3048000</v>
      </c>
    </row>
    <row r="1751" spans="1:27" ht="14.5" customHeight="1">
      <c r="A1751" s="7" t="s">
        <v>6009</v>
      </c>
      <c r="B1751" s="8" t="s">
        <v>3536</v>
      </c>
      <c r="C1751" s="27">
        <v>5898674</v>
      </c>
      <c r="D1751" s="27">
        <v>5680230</v>
      </c>
      <c r="E1751" s="69">
        <v>3.85</v>
      </c>
      <c r="F1751" s="27">
        <v>29357</v>
      </c>
      <c r="G1751" s="27">
        <v>70343</v>
      </c>
      <c r="H1751" s="27">
        <v>-10079</v>
      </c>
      <c r="I1751" s="27">
        <v>357</v>
      </c>
      <c r="J1751" s="27">
        <v>15952</v>
      </c>
      <c r="K1751" s="27">
        <v>57779</v>
      </c>
      <c r="L1751" s="69">
        <v>-72.39</v>
      </c>
      <c r="M1751" s="27">
        <v>600000</v>
      </c>
      <c r="N1751" s="69">
        <v>0.27</v>
      </c>
      <c r="O1751" s="69">
        <v>1.1200000000000001</v>
      </c>
      <c r="P1751" s="69">
        <v>21.4</v>
      </c>
      <c r="Q1751" s="27">
        <v>25</v>
      </c>
      <c r="R1751" s="69">
        <v>0.68</v>
      </c>
      <c r="S1751" s="69">
        <v>13.74</v>
      </c>
      <c r="X1751" s="2">
        <f t="shared" si="81"/>
        <v>0.75</v>
      </c>
      <c r="Y1751" s="2">
        <f>SUMIF(收盤價!A:A,A1751,收盤價!C:C)</f>
        <v>92.23</v>
      </c>
      <c r="Z1751" s="2">
        <f t="shared" si="82"/>
        <v>1284000</v>
      </c>
      <c r="AA1751" s="2">
        <f t="shared" si="83"/>
        <v>5533800</v>
      </c>
    </row>
    <row r="1752" spans="1:27" ht="14.5" customHeight="1">
      <c r="A1752" s="7" t="s">
        <v>6061</v>
      </c>
      <c r="B1752" s="8" t="s">
        <v>3618</v>
      </c>
      <c r="C1752" s="27">
        <v>218530</v>
      </c>
      <c r="D1752" s="27">
        <v>245587</v>
      </c>
      <c r="E1752" s="69">
        <v>-11.02</v>
      </c>
      <c r="F1752" s="27">
        <v>1427</v>
      </c>
      <c r="G1752" s="27">
        <v>11223</v>
      </c>
      <c r="H1752" s="27">
        <v>4666</v>
      </c>
      <c r="I1752" s="27">
        <v>-842</v>
      </c>
      <c r="J1752" s="27">
        <v>6971</v>
      </c>
      <c r="K1752" s="27">
        <v>8826</v>
      </c>
      <c r="L1752" s="69">
        <v>-21.02</v>
      </c>
      <c r="M1752" s="27">
        <v>206442</v>
      </c>
      <c r="N1752" s="69">
        <v>0.35</v>
      </c>
      <c r="O1752" s="69">
        <v>0.44</v>
      </c>
      <c r="P1752" s="69">
        <v>16.41</v>
      </c>
      <c r="Q1752" s="27">
        <v>79</v>
      </c>
      <c r="R1752" s="69">
        <v>3.41</v>
      </c>
      <c r="S1752" s="69">
        <v>299.92</v>
      </c>
      <c r="X1752" s="2">
        <f t="shared" si="81"/>
        <v>0.21</v>
      </c>
      <c r="Y1752" s="2">
        <f>SUMIF(收盤價!A:A,A1752,收盤價!C:C)</f>
        <v>14.9</v>
      </c>
      <c r="Z1752" s="2">
        <f t="shared" si="82"/>
        <v>338771.32200000004</v>
      </c>
      <c r="AA1752" s="2">
        <f t="shared" si="83"/>
        <v>307598.58</v>
      </c>
    </row>
    <row r="1753" spans="1:27" ht="14.5" customHeight="1">
      <c r="A1753" s="7" t="s">
        <v>6160</v>
      </c>
      <c r="B1753" s="8" t="s">
        <v>3774</v>
      </c>
      <c r="C1753" s="27">
        <v>1007370</v>
      </c>
      <c r="D1753" s="27">
        <v>1156882</v>
      </c>
      <c r="E1753" s="69">
        <v>-12.92</v>
      </c>
      <c r="F1753" s="27">
        <v>50108</v>
      </c>
      <c r="G1753" s="27">
        <v>12431</v>
      </c>
      <c r="H1753" s="27">
        <v>2544</v>
      </c>
      <c r="I1753" s="27">
        <v>20961</v>
      </c>
      <c r="J1753" s="27">
        <v>38799</v>
      </c>
      <c r="K1753" s="27">
        <v>26712</v>
      </c>
      <c r="L1753" s="69">
        <v>45.25</v>
      </c>
      <c r="M1753" s="27">
        <v>615480</v>
      </c>
      <c r="N1753" s="69">
        <v>0.63</v>
      </c>
      <c r="O1753" s="69">
        <v>0.44</v>
      </c>
      <c r="P1753" s="69">
        <v>36.909999999999997</v>
      </c>
      <c r="Q1753" s="27">
        <v>58</v>
      </c>
      <c r="R1753" s="69">
        <v>1.8</v>
      </c>
      <c r="S1753" s="69">
        <v>70.55</v>
      </c>
      <c r="X1753" s="2">
        <f t="shared" si="81"/>
        <v>0.42</v>
      </c>
      <c r="Y1753" s="2">
        <f>SUMIF(收盤價!A:A,A1753,收盤價!C:C)</f>
        <v>47.3</v>
      </c>
      <c r="Z1753" s="2">
        <f t="shared" si="82"/>
        <v>2271736.6799999997</v>
      </c>
      <c r="AA1753" s="2">
        <f t="shared" si="83"/>
        <v>2911220.4</v>
      </c>
    </row>
    <row r="1754" spans="1:27" ht="14.5" customHeight="1">
      <c r="A1754" s="7" t="s">
        <v>6224</v>
      </c>
      <c r="B1754" s="8" t="s">
        <v>3872</v>
      </c>
      <c r="C1754" s="27">
        <v>927332</v>
      </c>
      <c r="D1754" s="27">
        <v>919104</v>
      </c>
      <c r="E1754" s="69">
        <v>0.9</v>
      </c>
      <c r="F1754" s="27">
        <v>24537</v>
      </c>
      <c r="G1754" s="27">
        <v>42923</v>
      </c>
      <c r="H1754" s="27">
        <v>6597</v>
      </c>
      <c r="I1754" s="27">
        <v>8484</v>
      </c>
      <c r="J1754" s="27">
        <v>24095</v>
      </c>
      <c r="K1754" s="27">
        <v>41167</v>
      </c>
      <c r="L1754" s="69">
        <v>-41.47</v>
      </c>
      <c r="M1754" s="27">
        <v>200000</v>
      </c>
      <c r="N1754" s="69">
        <v>1.24</v>
      </c>
      <c r="O1754" s="69">
        <v>2.27</v>
      </c>
      <c r="P1754" s="69">
        <v>15.35</v>
      </c>
      <c r="Q1754" s="27">
        <v>44</v>
      </c>
      <c r="R1754" s="69">
        <v>1.8</v>
      </c>
      <c r="S1754" s="69">
        <v>178.48</v>
      </c>
      <c r="X1754" s="2">
        <f t="shared" si="81"/>
        <v>0.56000000000000005</v>
      </c>
      <c r="Y1754" s="2">
        <f>SUMIF(收盤價!A:A,A1754,收盤價!C:C)</f>
        <v>48.2</v>
      </c>
      <c r="Z1754" s="2">
        <f t="shared" si="82"/>
        <v>307000</v>
      </c>
      <c r="AA1754" s="2">
        <f t="shared" si="83"/>
        <v>964000</v>
      </c>
    </row>
    <row r="1755" spans="1:27" ht="14.5" customHeight="1">
      <c r="A1755" s="7" t="s">
        <v>6225</v>
      </c>
      <c r="B1755" s="8" t="s">
        <v>3874</v>
      </c>
      <c r="C1755" s="27">
        <v>362989</v>
      </c>
      <c r="D1755" s="27">
        <v>205282</v>
      </c>
      <c r="E1755" s="69">
        <v>76.819999999999993</v>
      </c>
      <c r="F1755" s="27">
        <v>10186</v>
      </c>
      <c r="G1755" s="27">
        <v>1161</v>
      </c>
      <c r="H1755" s="27">
        <v>2989</v>
      </c>
      <c r="I1755" s="27">
        <v>1910</v>
      </c>
      <c r="J1755" s="27">
        <v>11506</v>
      </c>
      <c r="K1755" s="27">
        <v>2110</v>
      </c>
      <c r="L1755" s="69">
        <v>445.31</v>
      </c>
      <c r="M1755" s="27">
        <v>205000</v>
      </c>
      <c r="N1755" s="69">
        <v>0.56000000000000005</v>
      </c>
      <c r="O1755" s="69">
        <v>0.13</v>
      </c>
      <c r="P1755" s="69">
        <v>13.97</v>
      </c>
      <c r="Q1755" s="27">
        <v>40</v>
      </c>
      <c r="R1755" s="69">
        <v>1.53</v>
      </c>
      <c r="S1755" s="69">
        <v>112.62</v>
      </c>
      <c r="X1755" s="2">
        <f t="shared" si="81"/>
        <v>0.6</v>
      </c>
      <c r="Y1755" s="2">
        <f>SUMIF(收盤價!A:A,A1755,收盤價!C:C)</f>
        <v>31.94</v>
      </c>
      <c r="Z1755" s="2">
        <f t="shared" si="82"/>
        <v>286385</v>
      </c>
      <c r="AA1755" s="2">
        <f t="shared" si="83"/>
        <v>654770</v>
      </c>
    </row>
    <row r="1756" spans="1:27" ht="14.5" customHeight="1">
      <c r="A1756" s="7" t="s">
        <v>6228</v>
      </c>
      <c r="B1756" s="8" t="s">
        <v>3880</v>
      </c>
      <c r="C1756" s="27">
        <v>550843</v>
      </c>
      <c r="D1756" s="27">
        <v>447352</v>
      </c>
      <c r="E1756" s="69">
        <v>23.13</v>
      </c>
      <c r="F1756" s="27">
        <v>30315</v>
      </c>
      <c r="G1756" s="27">
        <v>16698</v>
      </c>
      <c r="H1756" s="27">
        <v>-1621</v>
      </c>
      <c r="I1756" s="27">
        <v>-1014</v>
      </c>
      <c r="J1756" s="27">
        <v>22369</v>
      </c>
      <c r="K1756" s="27">
        <v>8127</v>
      </c>
      <c r="L1756" s="69">
        <v>175.24</v>
      </c>
      <c r="M1756" s="27">
        <v>182000</v>
      </c>
      <c r="N1756" s="69">
        <v>1.23</v>
      </c>
      <c r="O1756" s="69">
        <v>0.45</v>
      </c>
      <c r="P1756" s="69">
        <v>20.27</v>
      </c>
      <c r="Q1756" s="27">
        <v>38</v>
      </c>
      <c r="R1756" s="69">
        <v>1.03</v>
      </c>
      <c r="S1756" s="69">
        <v>17.78</v>
      </c>
      <c r="X1756" s="2">
        <f t="shared" si="81"/>
        <v>0.62</v>
      </c>
      <c r="Y1756" s="2">
        <f>SUMIF(收盤價!A:A,A1756,收盤價!C:C)</f>
        <v>62.62</v>
      </c>
      <c r="Z1756" s="2">
        <f t="shared" si="82"/>
        <v>368914</v>
      </c>
      <c r="AA1756" s="2">
        <f t="shared" si="83"/>
        <v>1139684</v>
      </c>
    </row>
    <row r="1757" spans="1:27" ht="14.5" customHeight="1">
      <c r="A1757" s="7" t="s">
        <v>6231</v>
      </c>
      <c r="B1757" s="8" t="s">
        <v>3886</v>
      </c>
      <c r="C1757" s="27">
        <v>338952</v>
      </c>
      <c r="D1757" s="27">
        <v>301663</v>
      </c>
      <c r="E1757" s="69">
        <v>12.36</v>
      </c>
      <c r="F1757" s="27">
        <v>38560</v>
      </c>
      <c r="G1757" s="27">
        <v>24775</v>
      </c>
      <c r="H1757" s="27">
        <v>6680</v>
      </c>
      <c r="I1757" s="27">
        <v>3517</v>
      </c>
      <c r="J1757" s="27">
        <v>37786</v>
      </c>
      <c r="K1757" s="27">
        <v>20801</v>
      </c>
      <c r="L1757" s="69">
        <v>81.650000000000006</v>
      </c>
      <c r="M1757" s="27">
        <v>418304</v>
      </c>
      <c r="N1757" s="69">
        <v>0.91</v>
      </c>
      <c r="O1757" s="69">
        <v>0.52</v>
      </c>
      <c r="P1757" s="69">
        <v>16.47</v>
      </c>
      <c r="Q1757" s="27">
        <v>65</v>
      </c>
      <c r="R1757" s="69">
        <v>2.09</v>
      </c>
      <c r="S1757" s="69">
        <v>111.37</v>
      </c>
      <c r="X1757" s="2">
        <f t="shared" si="81"/>
        <v>0.35</v>
      </c>
      <c r="Y1757" s="2">
        <f>SUMIF(收盤價!A:A,A1757,收盤價!C:C)</f>
        <v>27.15</v>
      </c>
      <c r="Z1757" s="2">
        <f t="shared" si="82"/>
        <v>688946.68799999997</v>
      </c>
      <c r="AA1757" s="2">
        <f t="shared" si="83"/>
        <v>1135695.3599999999</v>
      </c>
    </row>
    <row r="1758" spans="1:27" ht="14.5" customHeight="1">
      <c r="A1758" s="7" t="s">
        <v>6254</v>
      </c>
      <c r="B1758" s="8" t="s">
        <v>3942</v>
      </c>
      <c r="C1758" s="27">
        <v>293878</v>
      </c>
      <c r="D1758" s="27">
        <v>271696</v>
      </c>
      <c r="E1758" s="69">
        <v>8.16</v>
      </c>
      <c r="F1758" s="27">
        <v>3263</v>
      </c>
      <c r="G1758" s="27">
        <v>-16559</v>
      </c>
      <c r="H1758" s="27">
        <v>4330</v>
      </c>
      <c r="I1758" s="27">
        <v>5716</v>
      </c>
      <c r="J1758" s="27">
        <v>3809</v>
      </c>
      <c r="K1758" s="27">
        <v>-8942</v>
      </c>
      <c r="L1758" s="69">
        <v>142.6</v>
      </c>
      <c r="M1758" s="27">
        <v>220000</v>
      </c>
      <c r="N1758" s="69">
        <v>0.17</v>
      </c>
      <c r="O1758" s="69">
        <v>-0.41</v>
      </c>
      <c r="P1758" s="69">
        <v>10.95</v>
      </c>
      <c r="Q1758" s="27">
        <v>34</v>
      </c>
      <c r="R1758" s="69">
        <v>1.56</v>
      </c>
      <c r="S1758" s="69">
        <v>127.43</v>
      </c>
      <c r="X1758" s="2">
        <f t="shared" si="81"/>
        <v>0.66</v>
      </c>
      <c r="Y1758" s="2">
        <f>SUMIF(收盤價!A:A,A1758,收盤價!C:C)</f>
        <v>12.43</v>
      </c>
      <c r="Z1758" s="2">
        <f t="shared" si="82"/>
        <v>240900</v>
      </c>
      <c r="AA1758" s="2">
        <f t="shared" si="83"/>
        <v>273460</v>
      </c>
    </row>
    <row r="1759" spans="1:27" ht="14.5" customHeight="1">
      <c r="A1759" s="7" t="s">
        <v>6255</v>
      </c>
      <c r="B1759" s="8" t="s">
        <v>3946</v>
      </c>
      <c r="C1759" s="27">
        <v>77263</v>
      </c>
      <c r="D1759" s="27">
        <v>114109</v>
      </c>
      <c r="E1759" s="69">
        <v>-32.29</v>
      </c>
      <c r="F1759" s="27">
        <v>-43695</v>
      </c>
      <c r="G1759" s="27">
        <v>3502</v>
      </c>
      <c r="H1759" s="27">
        <v>-634</v>
      </c>
      <c r="I1759" s="27">
        <v>-743</v>
      </c>
      <c r="J1759" s="27">
        <v>-35340</v>
      </c>
      <c r="K1759" s="27">
        <v>6858</v>
      </c>
      <c r="L1759" s="69">
        <v>-615.30999999999995</v>
      </c>
      <c r="M1759" s="27">
        <v>251000</v>
      </c>
      <c r="N1759" s="69">
        <v>-1.44</v>
      </c>
      <c r="O1759" s="69">
        <v>0.47</v>
      </c>
      <c r="P1759" s="69">
        <v>12.63</v>
      </c>
      <c r="Q1759" s="27">
        <v>68</v>
      </c>
      <c r="R1759" s="69">
        <v>2.98</v>
      </c>
      <c r="S1759" s="69">
        <v>194.36</v>
      </c>
      <c r="X1759" s="2">
        <f t="shared" si="81"/>
        <v>0.32</v>
      </c>
      <c r="Y1759" s="2">
        <f>SUMIF(收盤價!A:A,A1759,收盤價!C:C)</f>
        <v>12.29</v>
      </c>
      <c r="Z1759" s="2">
        <f t="shared" si="82"/>
        <v>317013</v>
      </c>
      <c r="AA1759" s="2">
        <f t="shared" si="83"/>
        <v>308479</v>
      </c>
    </row>
    <row r="1760" spans="1:27" ht="14.5" customHeight="1">
      <c r="A1760" s="7" t="s">
        <v>6275</v>
      </c>
      <c r="B1760" s="8" t="s">
        <v>3972</v>
      </c>
      <c r="C1760" s="27">
        <v>1355881</v>
      </c>
      <c r="D1760" s="27">
        <v>1758109</v>
      </c>
      <c r="E1760" s="69">
        <v>-22.88</v>
      </c>
      <c r="F1760" s="27">
        <v>-1118</v>
      </c>
      <c r="G1760" s="27">
        <v>7736</v>
      </c>
      <c r="H1760" s="27">
        <v>3943</v>
      </c>
      <c r="I1760" s="27">
        <v>22801</v>
      </c>
      <c r="J1760" s="27">
        <v>-6320</v>
      </c>
      <c r="K1760" s="27">
        <v>27987</v>
      </c>
      <c r="L1760" s="69">
        <v>-122.58</v>
      </c>
      <c r="M1760" s="27">
        <v>628990</v>
      </c>
      <c r="N1760" s="69">
        <v>-0.1</v>
      </c>
      <c r="O1760" s="69">
        <v>0.44</v>
      </c>
      <c r="P1760" s="69">
        <v>18.600000000000001</v>
      </c>
      <c r="Q1760" s="27">
        <v>48</v>
      </c>
      <c r="R1760" s="69">
        <v>1.19</v>
      </c>
      <c r="S1760" s="69">
        <v>100.19</v>
      </c>
      <c r="X1760" s="2">
        <f t="shared" si="81"/>
        <v>0.52</v>
      </c>
      <c r="Y1760" s="2">
        <f>SUMIF(收盤價!A:A,A1760,收盤價!C:C)</f>
        <v>19.5</v>
      </c>
      <c r="Z1760" s="2">
        <f t="shared" si="82"/>
        <v>1169921.3999999999</v>
      </c>
      <c r="AA1760" s="2">
        <f t="shared" si="83"/>
        <v>1226530.5</v>
      </c>
    </row>
    <row r="1761" spans="1:27" ht="14.5" customHeight="1">
      <c r="A1761" s="7" t="s">
        <v>6284</v>
      </c>
      <c r="B1761" s="8" t="s">
        <v>3986</v>
      </c>
      <c r="C1761" s="27">
        <v>292878</v>
      </c>
      <c r="D1761" s="27">
        <v>78149</v>
      </c>
      <c r="E1761" s="69">
        <v>274.77</v>
      </c>
      <c r="F1761" s="27">
        <v>-88255</v>
      </c>
      <c r="G1761" s="27">
        <v>-92862</v>
      </c>
      <c r="H1761" s="27">
        <v>-6938</v>
      </c>
      <c r="I1761" s="27">
        <v>1115</v>
      </c>
      <c r="J1761" s="27">
        <v>-95193</v>
      </c>
      <c r="K1761" s="27">
        <v>-91747</v>
      </c>
      <c r="L1761" s="69">
        <v>-3.76</v>
      </c>
      <c r="M1761" s="27">
        <v>314286</v>
      </c>
      <c r="N1761" s="69">
        <v>-3.12</v>
      </c>
      <c r="O1761" s="69">
        <v>-3.27</v>
      </c>
      <c r="P1761" s="69">
        <v>4.71</v>
      </c>
      <c r="Q1761" s="27">
        <v>20</v>
      </c>
      <c r="R1761" s="69">
        <v>1.07</v>
      </c>
      <c r="S1761" s="69">
        <v>88.21</v>
      </c>
      <c r="X1761" s="2">
        <f t="shared" si="81"/>
        <v>0.8</v>
      </c>
      <c r="Y1761" s="2">
        <f>SUMIF(收盤價!A:A,A1761,收盤價!C:C)</f>
        <v>18.100000000000001</v>
      </c>
      <c r="Z1761" s="2">
        <f t="shared" si="82"/>
        <v>148028.70600000001</v>
      </c>
      <c r="AA1761" s="2">
        <f t="shared" si="83"/>
        <v>568857.66</v>
      </c>
    </row>
    <row r="1762" spans="1:27" ht="14.5" customHeight="1">
      <c r="A1762" s="7" t="s">
        <v>5982</v>
      </c>
      <c r="B1762" s="8" t="s">
        <v>7086</v>
      </c>
      <c r="C1762" s="27">
        <v>365840</v>
      </c>
      <c r="D1762" s="27">
        <v>431200</v>
      </c>
      <c r="E1762" s="69">
        <v>-15.16</v>
      </c>
      <c r="F1762" s="27">
        <v>82482</v>
      </c>
      <c r="G1762" s="27">
        <v>93437</v>
      </c>
      <c r="H1762" s="27">
        <v>26424</v>
      </c>
      <c r="I1762" s="27">
        <v>10141</v>
      </c>
      <c r="J1762" s="27">
        <v>84034</v>
      </c>
      <c r="K1762" s="27">
        <v>83464</v>
      </c>
      <c r="L1762" s="69">
        <v>0.68</v>
      </c>
      <c r="M1762" s="27">
        <v>946000</v>
      </c>
      <c r="N1762" s="69">
        <v>0.89</v>
      </c>
      <c r="O1762" s="69">
        <v>0.88</v>
      </c>
      <c r="P1762" s="69">
        <v>11.9</v>
      </c>
      <c r="Q1762" s="27">
        <v>59</v>
      </c>
      <c r="R1762" s="69">
        <v>2.19</v>
      </c>
      <c r="S1762" s="69">
        <v>148.55000000000001</v>
      </c>
      <c r="X1762" s="2">
        <f t="shared" si="81"/>
        <v>0.41</v>
      </c>
      <c r="Y1762" s="2">
        <f>SUMIF(收盤價!A:A,A1762,收盤價!C:C)</f>
        <v>17.48</v>
      </c>
      <c r="Z1762" s="2">
        <f t="shared" si="82"/>
        <v>1125740</v>
      </c>
      <c r="AA1762" s="2">
        <f t="shared" si="83"/>
        <v>1653608</v>
      </c>
    </row>
    <row r="1763" spans="1:27" ht="14.5" customHeight="1">
      <c r="A1763" s="7" t="s">
        <v>6016</v>
      </c>
      <c r="B1763" s="8" t="s">
        <v>7087</v>
      </c>
      <c r="C1763" s="27">
        <v>115148</v>
      </c>
      <c r="D1763" s="27">
        <v>110646</v>
      </c>
      <c r="E1763" s="69">
        <v>4.07</v>
      </c>
      <c r="F1763" s="27">
        <v>-29643</v>
      </c>
      <c r="G1763" s="27">
        <v>-61236</v>
      </c>
      <c r="H1763" s="27">
        <v>52</v>
      </c>
      <c r="I1763" s="27">
        <v>-2147</v>
      </c>
      <c r="J1763" s="27">
        <v>-28575</v>
      </c>
      <c r="K1763" s="27">
        <v>-61928</v>
      </c>
      <c r="L1763" s="69">
        <v>53.86</v>
      </c>
      <c r="M1763" s="27">
        <v>652745</v>
      </c>
      <c r="N1763" s="69">
        <v>-0.44</v>
      </c>
      <c r="O1763" s="69">
        <v>-0.97</v>
      </c>
      <c r="P1763" s="69">
        <v>4.5599999999999996</v>
      </c>
      <c r="Q1763" s="27">
        <v>58</v>
      </c>
      <c r="R1763" s="69">
        <v>1.4</v>
      </c>
      <c r="S1763" s="69">
        <v>72.33</v>
      </c>
      <c r="X1763" s="2">
        <f t="shared" si="81"/>
        <v>0.42</v>
      </c>
      <c r="Y1763" s="2">
        <f>SUMIF(收盤價!A:A,A1763,收盤價!C:C)</f>
        <v>16.09</v>
      </c>
      <c r="Z1763" s="2">
        <f t="shared" si="82"/>
        <v>297651.71999999997</v>
      </c>
      <c r="AA1763" s="2">
        <f t="shared" si="83"/>
        <v>1050266.7050000001</v>
      </c>
    </row>
    <row r="1764" spans="1:27" ht="14.5" customHeight="1">
      <c r="A1764" s="7" t="s">
        <v>6037</v>
      </c>
      <c r="B1764" s="8" t="s">
        <v>3590</v>
      </c>
      <c r="C1764" s="27">
        <v>125561</v>
      </c>
      <c r="D1764" s="27">
        <v>123054</v>
      </c>
      <c r="E1764" s="69">
        <v>2.04</v>
      </c>
      <c r="F1764" s="27">
        <v>-18483</v>
      </c>
      <c r="G1764" s="27">
        <v>-19724</v>
      </c>
      <c r="H1764" s="27">
        <v>-2303</v>
      </c>
      <c r="I1764" s="27">
        <v>-649</v>
      </c>
      <c r="J1764" s="27">
        <v>-20786</v>
      </c>
      <c r="K1764" s="27">
        <v>-21624</v>
      </c>
      <c r="L1764" s="69">
        <v>3.88</v>
      </c>
      <c r="M1764" s="27">
        <v>398860</v>
      </c>
      <c r="N1764" s="69">
        <v>-0.53</v>
      </c>
      <c r="O1764" s="69">
        <v>-0.55000000000000004</v>
      </c>
      <c r="P1764" s="69">
        <v>2.25</v>
      </c>
      <c r="Q1764" s="27">
        <v>26</v>
      </c>
      <c r="R1764" s="69">
        <v>1</v>
      </c>
      <c r="S1764" s="69">
        <v>73.180000000000007</v>
      </c>
      <c r="X1764" s="2">
        <f t="shared" si="81"/>
        <v>0.74</v>
      </c>
      <c r="Y1764" s="2">
        <f>SUMIF(收盤價!A:A,A1764,收盤價!C:C)</f>
        <v>10.86</v>
      </c>
      <c r="Z1764" s="2">
        <f t="shared" si="82"/>
        <v>89743.5</v>
      </c>
      <c r="AA1764" s="2">
        <f t="shared" si="83"/>
        <v>433161.95999999996</v>
      </c>
    </row>
    <row r="1765" spans="1:27" ht="14.5" customHeight="1">
      <c r="A1765" s="7" t="s">
        <v>6038</v>
      </c>
      <c r="B1765" s="8" t="s">
        <v>7088</v>
      </c>
      <c r="C1765" s="27">
        <v>31789</v>
      </c>
      <c r="D1765" s="27">
        <v>44718</v>
      </c>
      <c r="E1765" s="69">
        <v>-28.91</v>
      </c>
      <c r="F1765" s="27">
        <v>-154015</v>
      </c>
      <c r="G1765" s="27">
        <v>-163660</v>
      </c>
      <c r="H1765" s="27">
        <v>-5650</v>
      </c>
      <c r="I1765" s="27">
        <v>-3348</v>
      </c>
      <c r="J1765" s="27">
        <v>-159676</v>
      </c>
      <c r="K1765" s="27">
        <v>-166953</v>
      </c>
      <c r="L1765" s="69">
        <v>4.3600000000000003</v>
      </c>
      <c r="M1765" s="27">
        <v>1145320</v>
      </c>
      <c r="N1765" s="69">
        <v>-1.4</v>
      </c>
      <c r="O1765" s="69">
        <v>-1.49</v>
      </c>
      <c r="P1765" s="69">
        <v>6.59</v>
      </c>
      <c r="Q1765" s="27">
        <v>75</v>
      </c>
      <c r="R1765" s="69">
        <v>2.78</v>
      </c>
      <c r="S1765" s="69">
        <v>91.9</v>
      </c>
      <c r="X1765" s="2">
        <f t="shared" si="81"/>
        <v>0.25</v>
      </c>
      <c r="Y1765" s="2">
        <f>SUMIF(收盤價!A:A,A1765,收盤價!C:C)</f>
        <v>32.89</v>
      </c>
      <c r="Z1765" s="2">
        <f t="shared" si="82"/>
        <v>754765.88</v>
      </c>
      <c r="AA1765" s="2">
        <f t="shared" si="83"/>
        <v>3766957.4799999995</v>
      </c>
    </row>
    <row r="1766" spans="1:27" ht="14.5" customHeight="1">
      <c r="A1766" s="7" t="s">
        <v>6041</v>
      </c>
      <c r="B1766" s="8" t="s">
        <v>6042</v>
      </c>
      <c r="C1766" s="27">
        <v>78865</v>
      </c>
      <c r="D1766" s="27">
        <v>83974</v>
      </c>
      <c r="E1766" s="69">
        <v>-6.08</v>
      </c>
      <c r="F1766" s="27">
        <v>-163</v>
      </c>
      <c r="G1766" s="27">
        <v>5453</v>
      </c>
      <c r="H1766" s="27">
        <v>1525</v>
      </c>
      <c r="I1766" s="27">
        <v>1640</v>
      </c>
      <c r="J1766" s="27">
        <v>1362</v>
      </c>
      <c r="K1766" s="27">
        <v>6647</v>
      </c>
      <c r="L1766" s="69">
        <v>-79.510000000000005</v>
      </c>
      <c r="M1766" s="27">
        <v>305489</v>
      </c>
      <c r="N1766" s="69">
        <v>0.04</v>
      </c>
      <c r="O1766" s="69">
        <v>0.22</v>
      </c>
      <c r="P1766" s="69">
        <v>10.19</v>
      </c>
      <c r="Q1766" s="27">
        <v>90</v>
      </c>
      <c r="R1766" s="69">
        <v>4.5199999999999996</v>
      </c>
      <c r="S1766" s="69">
        <v>385.62</v>
      </c>
      <c r="X1766" s="2">
        <f t="shared" si="81"/>
        <v>0.1</v>
      </c>
      <c r="Y1766" s="2">
        <f>SUMIF(收盤價!A:A,A1766,收盤價!C:C)</f>
        <v>3.43</v>
      </c>
      <c r="Z1766" s="2">
        <f t="shared" si="82"/>
        <v>311293.29099999997</v>
      </c>
      <c r="AA1766" s="2">
        <f t="shared" si="83"/>
        <v>104782.727</v>
      </c>
    </row>
    <row r="1767" spans="1:27" ht="14.5" customHeight="1">
      <c r="A1767" s="7" t="s">
        <v>6044</v>
      </c>
      <c r="B1767" s="8" t="s">
        <v>3596</v>
      </c>
      <c r="C1767" s="27">
        <v>569198</v>
      </c>
      <c r="D1767" s="27">
        <v>355676</v>
      </c>
      <c r="E1767" s="69">
        <v>60.03</v>
      </c>
      <c r="F1767" s="27">
        <v>535</v>
      </c>
      <c r="G1767" s="27">
        <v>-113800</v>
      </c>
      <c r="H1767" s="27">
        <v>-406</v>
      </c>
      <c r="I1767" s="27">
        <v>3477</v>
      </c>
      <c r="J1767" s="27">
        <v>2679</v>
      </c>
      <c r="K1767" s="27">
        <v>-110350</v>
      </c>
      <c r="L1767" s="69">
        <v>102.43</v>
      </c>
      <c r="M1767" s="27">
        <v>1697850</v>
      </c>
      <c r="N1767" s="69">
        <v>0.02</v>
      </c>
      <c r="O1767" s="69">
        <v>-0.85</v>
      </c>
      <c r="P1767" s="69">
        <v>5.95</v>
      </c>
      <c r="Q1767" s="27">
        <v>47</v>
      </c>
      <c r="R1767" s="69">
        <v>1.79</v>
      </c>
      <c r="S1767" s="69">
        <v>89.04</v>
      </c>
      <c r="X1767" s="2">
        <f t="shared" si="81"/>
        <v>0.53</v>
      </c>
      <c r="Y1767" s="2">
        <f>SUMIF(收盤價!A:A,A1767,收盤價!C:C)</f>
        <v>34.75</v>
      </c>
      <c r="Z1767" s="2">
        <f t="shared" si="82"/>
        <v>1010220.75</v>
      </c>
      <c r="AA1767" s="2">
        <f t="shared" si="83"/>
        <v>5900028.75</v>
      </c>
    </row>
    <row r="1768" spans="1:27" ht="14.5" customHeight="1">
      <c r="A1768" s="7" t="s">
        <v>6045</v>
      </c>
      <c r="B1768" s="8" t="s">
        <v>7089</v>
      </c>
      <c r="C1768" s="27">
        <v>509728</v>
      </c>
      <c r="D1768" s="27">
        <v>463470</v>
      </c>
      <c r="E1768" s="69">
        <v>9.98</v>
      </c>
      <c r="F1768" s="27">
        <v>-78692</v>
      </c>
      <c r="G1768" s="27">
        <v>-72679</v>
      </c>
      <c r="H1768" s="27">
        <v>-4968</v>
      </c>
      <c r="I1768" s="27">
        <v>2144</v>
      </c>
      <c r="J1768" s="27">
        <v>-91185</v>
      </c>
      <c r="K1768" s="27">
        <v>-73108</v>
      </c>
      <c r="L1768" s="69">
        <v>-24.73</v>
      </c>
      <c r="M1768" s="27">
        <v>500258</v>
      </c>
      <c r="N1768" s="69">
        <v>-1.82</v>
      </c>
      <c r="O1768" s="69">
        <v>-1.46</v>
      </c>
      <c r="P1768" s="69">
        <v>4.08</v>
      </c>
      <c r="Q1768" s="27">
        <v>13</v>
      </c>
      <c r="R1768" s="69">
        <v>0.69</v>
      </c>
      <c r="S1768" s="69">
        <v>41.61</v>
      </c>
      <c r="X1768" s="2">
        <f t="shared" si="81"/>
        <v>0.87</v>
      </c>
      <c r="Y1768" s="2">
        <f>SUMIF(收盤價!A:A,A1768,收盤價!C:C)</f>
        <v>6.31</v>
      </c>
      <c r="Z1768" s="2">
        <f t="shared" si="82"/>
        <v>204105.26400000002</v>
      </c>
      <c r="AA1768" s="2">
        <f t="shared" si="83"/>
        <v>315662.79800000001</v>
      </c>
    </row>
    <row r="1769" spans="1:27" ht="14.5" customHeight="1">
      <c r="A1769" s="7" t="s">
        <v>6048</v>
      </c>
      <c r="B1769" s="8" t="s">
        <v>3600</v>
      </c>
      <c r="C1769" s="27">
        <v>132821</v>
      </c>
      <c r="D1769" s="27">
        <v>117068</v>
      </c>
      <c r="E1769" s="69">
        <v>13.46</v>
      </c>
      <c r="F1769" s="27">
        <v>-110967</v>
      </c>
      <c r="G1769" s="27">
        <v>-132834</v>
      </c>
      <c r="H1769" s="27">
        <v>2723</v>
      </c>
      <c r="I1769" s="27">
        <v>4925</v>
      </c>
      <c r="J1769" s="27">
        <v>-84121</v>
      </c>
      <c r="K1769" s="27">
        <v>-67935</v>
      </c>
      <c r="L1769" s="69">
        <v>-23.83</v>
      </c>
      <c r="M1769" s="27">
        <v>1560141</v>
      </c>
      <c r="N1769" s="69">
        <v>-0.54</v>
      </c>
      <c r="O1769" s="69">
        <v>-0.44</v>
      </c>
      <c r="P1769" s="69">
        <v>7.02</v>
      </c>
      <c r="Q1769" s="27">
        <v>68</v>
      </c>
      <c r="R1769" s="69">
        <v>1.18</v>
      </c>
      <c r="S1769" s="69">
        <v>51.92</v>
      </c>
      <c r="X1769" s="2">
        <f t="shared" si="81"/>
        <v>0.32</v>
      </c>
      <c r="Y1769" s="2">
        <f>SUMIF(收盤價!A:A,A1769,收盤價!C:C)</f>
        <v>14.5</v>
      </c>
      <c r="Z1769" s="2">
        <f t="shared" si="82"/>
        <v>1095218.9819999998</v>
      </c>
      <c r="AA1769" s="2">
        <f t="shared" si="83"/>
        <v>2262204.4500000002</v>
      </c>
    </row>
    <row r="1770" spans="1:27" ht="14.5" customHeight="1">
      <c r="A1770" s="7" t="s">
        <v>6049</v>
      </c>
      <c r="B1770" s="8" t="s">
        <v>3602</v>
      </c>
      <c r="C1770" s="27">
        <v>273517</v>
      </c>
      <c r="D1770" s="27">
        <v>253552</v>
      </c>
      <c r="E1770" s="69">
        <v>7.87</v>
      </c>
      <c r="F1770" s="27">
        <v>3523</v>
      </c>
      <c r="G1770" s="27">
        <v>15221</v>
      </c>
      <c r="H1770" s="27">
        <v>231</v>
      </c>
      <c r="I1770" s="27">
        <v>1314</v>
      </c>
      <c r="J1770" s="27">
        <v>2606</v>
      </c>
      <c r="K1770" s="27">
        <v>14207</v>
      </c>
      <c r="L1770" s="69">
        <v>-81.66</v>
      </c>
      <c r="M1770" s="27">
        <v>475923</v>
      </c>
      <c r="N1770" s="69">
        <v>0.06</v>
      </c>
      <c r="O1770" s="69">
        <v>0.3</v>
      </c>
      <c r="P1770" s="69">
        <v>10.79</v>
      </c>
      <c r="Q1770" s="27">
        <v>68</v>
      </c>
      <c r="R1770" s="69">
        <v>3.94</v>
      </c>
      <c r="S1770" s="69">
        <v>221.35</v>
      </c>
      <c r="X1770" s="2">
        <f t="shared" si="81"/>
        <v>0.32</v>
      </c>
      <c r="Y1770" s="2">
        <f>SUMIF(收盤價!A:A,A1770,收盤價!C:C)</f>
        <v>22.27</v>
      </c>
      <c r="Z1770" s="2">
        <f t="shared" si="82"/>
        <v>513520.91700000002</v>
      </c>
      <c r="AA1770" s="2">
        <f t="shared" si="83"/>
        <v>1059880.5209999999</v>
      </c>
    </row>
    <row r="1771" spans="1:27" ht="14.5" customHeight="1">
      <c r="A1771" s="7" t="s">
        <v>6050</v>
      </c>
      <c r="B1771" s="8" t="s">
        <v>7090</v>
      </c>
      <c r="C1771" s="27">
        <v>12216</v>
      </c>
      <c r="D1771" s="27">
        <v>139756</v>
      </c>
      <c r="E1771" s="69">
        <v>-91.26</v>
      </c>
      <c r="F1771" s="27">
        <v>-37455</v>
      </c>
      <c r="G1771" s="27">
        <v>-26912</v>
      </c>
      <c r="H1771" s="27">
        <v>-2237</v>
      </c>
      <c r="I1771" s="27">
        <v>2985</v>
      </c>
      <c r="J1771" s="27">
        <v>-37124</v>
      </c>
      <c r="K1771" s="27">
        <v>-25804</v>
      </c>
      <c r="L1771" s="69">
        <v>-43.87</v>
      </c>
      <c r="M1771" s="27">
        <v>421404</v>
      </c>
      <c r="N1771" s="69">
        <v>-0.88</v>
      </c>
      <c r="O1771" s="69">
        <v>-0.61</v>
      </c>
      <c r="P1771" s="69">
        <v>8.06</v>
      </c>
      <c r="Q1771" s="27">
        <v>80</v>
      </c>
      <c r="R1771" s="69">
        <v>8.33</v>
      </c>
      <c r="S1771" s="69">
        <v>782.01</v>
      </c>
      <c r="X1771" s="2">
        <f t="shared" si="81"/>
        <v>0.2</v>
      </c>
      <c r="Y1771" s="2">
        <f>SUMIF(收盤價!A:A,A1771,收盤價!C:C)</f>
        <v>14.85</v>
      </c>
      <c r="Z1771" s="2">
        <f t="shared" si="82"/>
        <v>339651.62400000001</v>
      </c>
      <c r="AA1771" s="2">
        <f t="shared" si="83"/>
        <v>625784.93999999994</v>
      </c>
    </row>
    <row r="1772" spans="1:27" ht="14.5" customHeight="1">
      <c r="A1772" s="7" t="s">
        <v>6051</v>
      </c>
      <c r="B1772" s="8" t="s">
        <v>3606</v>
      </c>
      <c r="C1772" s="27">
        <v>21863</v>
      </c>
      <c r="D1772" s="27">
        <v>31878</v>
      </c>
      <c r="E1772" s="69">
        <v>-31.42</v>
      </c>
      <c r="F1772" s="27">
        <v>-47333</v>
      </c>
      <c r="G1772" s="27">
        <v>-42353</v>
      </c>
      <c r="H1772" s="27">
        <v>-481</v>
      </c>
      <c r="I1772" s="27">
        <v>-4220</v>
      </c>
      <c r="J1772" s="27">
        <v>-47814</v>
      </c>
      <c r="K1772" s="27">
        <v>-46573</v>
      </c>
      <c r="L1772" s="69">
        <v>-2.66</v>
      </c>
      <c r="M1772" s="27">
        <v>705455</v>
      </c>
      <c r="N1772" s="69">
        <v>-0.68</v>
      </c>
      <c r="O1772" s="69">
        <v>-0.67</v>
      </c>
      <c r="P1772" s="69">
        <v>7.02</v>
      </c>
      <c r="Q1772" s="27">
        <v>89</v>
      </c>
      <c r="R1772" s="69">
        <v>2.11</v>
      </c>
      <c r="S1772" s="69">
        <v>167.23</v>
      </c>
      <c r="X1772" s="2">
        <f t="shared" si="81"/>
        <v>0.11</v>
      </c>
      <c r="Y1772" s="2">
        <f>SUMIF(收盤價!A:A,A1772,收盤價!C:C)</f>
        <v>12.28</v>
      </c>
      <c r="Z1772" s="2">
        <f t="shared" si="82"/>
        <v>495229.41</v>
      </c>
      <c r="AA1772" s="2">
        <f t="shared" si="83"/>
        <v>866298.74</v>
      </c>
    </row>
    <row r="1773" spans="1:27" ht="14.5" customHeight="1">
      <c r="A1773" s="7" t="s">
        <v>6053</v>
      </c>
      <c r="B1773" s="8" t="s">
        <v>3608</v>
      </c>
      <c r="C1773" s="27">
        <v>82840</v>
      </c>
      <c r="D1773" s="27">
        <v>73068</v>
      </c>
      <c r="E1773" s="69">
        <v>13.37</v>
      </c>
      <c r="F1773" s="27">
        <v>-82524</v>
      </c>
      <c r="G1773" s="27">
        <v>-68153</v>
      </c>
      <c r="H1773" s="27">
        <v>-3620</v>
      </c>
      <c r="I1773" s="27">
        <v>49167</v>
      </c>
      <c r="J1773" s="27">
        <v>-86144</v>
      </c>
      <c r="K1773" s="27">
        <v>-18986</v>
      </c>
      <c r="L1773" s="69">
        <v>-353.72</v>
      </c>
      <c r="M1773" s="27">
        <v>800000</v>
      </c>
      <c r="N1773" s="69">
        <v>-1.2</v>
      </c>
      <c r="O1773" s="69">
        <v>-0.3</v>
      </c>
      <c r="P1773" s="69">
        <v>3.54</v>
      </c>
      <c r="Q1773" s="27">
        <v>38</v>
      </c>
      <c r="R1773" s="69">
        <v>1.66</v>
      </c>
      <c r="S1773" s="69">
        <v>138.84</v>
      </c>
      <c r="X1773" s="2">
        <f t="shared" si="81"/>
        <v>0.62</v>
      </c>
      <c r="Y1773" s="2">
        <f>SUMIF(收盤價!A:A,A1773,收盤價!C:C)</f>
        <v>18.55</v>
      </c>
      <c r="Z1773" s="2">
        <f t="shared" si="82"/>
        <v>283200</v>
      </c>
      <c r="AA1773" s="2">
        <f t="shared" si="83"/>
        <v>1484000</v>
      </c>
    </row>
    <row r="1774" spans="1:27" ht="14.5" customHeight="1">
      <c r="A1774" s="7" t="s">
        <v>6054</v>
      </c>
      <c r="B1774" s="8" t="s">
        <v>3610</v>
      </c>
      <c r="C1774" s="27">
        <v>17720</v>
      </c>
      <c r="D1774" s="27">
        <v>13857</v>
      </c>
      <c r="E1774" s="69">
        <v>27.88</v>
      </c>
      <c r="F1774" s="27">
        <v>-226951</v>
      </c>
      <c r="G1774" s="27">
        <v>-231294</v>
      </c>
      <c r="H1774" s="27">
        <v>-27012</v>
      </c>
      <c r="I1774" s="27">
        <v>7892</v>
      </c>
      <c r="J1774" s="27">
        <v>-215812</v>
      </c>
      <c r="K1774" s="27">
        <v>-195310</v>
      </c>
      <c r="L1774" s="69">
        <v>-10.5</v>
      </c>
      <c r="M1774" s="27">
        <v>603712</v>
      </c>
      <c r="N1774" s="69">
        <v>-3.77</v>
      </c>
      <c r="O1774" s="69">
        <v>-3.53</v>
      </c>
      <c r="P1774" s="69">
        <v>8.01</v>
      </c>
      <c r="Q1774" s="27">
        <v>29</v>
      </c>
      <c r="R1774" s="69">
        <v>2.2799999999999998</v>
      </c>
      <c r="S1774" s="69">
        <v>178.34</v>
      </c>
      <c r="X1774" s="2">
        <f t="shared" si="81"/>
        <v>0.71</v>
      </c>
      <c r="Y1774" s="2">
        <f>SUMIF(收盤價!A:A,A1774,收盤價!C:C)</f>
        <v>41.86</v>
      </c>
      <c r="Z1774" s="2">
        <f t="shared" si="82"/>
        <v>483573.31200000003</v>
      </c>
      <c r="AA1774" s="2">
        <f t="shared" si="83"/>
        <v>2527138.432</v>
      </c>
    </row>
    <row r="1775" spans="1:27" ht="14.5" customHeight="1">
      <c r="A1775" s="7" t="s">
        <v>6057</v>
      </c>
      <c r="B1775" s="8" t="s">
        <v>3612</v>
      </c>
      <c r="C1775" s="27">
        <v>83495</v>
      </c>
      <c r="D1775" s="27">
        <v>83702</v>
      </c>
      <c r="E1775" s="69">
        <v>-0.25</v>
      </c>
      <c r="F1775" s="27">
        <v>-103371</v>
      </c>
      <c r="G1775" s="27">
        <v>-75597</v>
      </c>
      <c r="H1775" s="27">
        <v>1428</v>
      </c>
      <c r="I1775" s="27">
        <v>-52</v>
      </c>
      <c r="J1775" s="27">
        <v>-103348</v>
      </c>
      <c r="K1775" s="27">
        <v>-76674</v>
      </c>
      <c r="L1775" s="69">
        <v>-34.79</v>
      </c>
      <c r="M1775" s="27">
        <v>887384</v>
      </c>
      <c r="N1775" s="69">
        <v>-1.1599999999999999</v>
      </c>
      <c r="O1775" s="69">
        <v>-1.07</v>
      </c>
      <c r="P1775" s="69">
        <v>2.88</v>
      </c>
      <c r="Q1775" s="27">
        <v>75</v>
      </c>
      <c r="R1775" s="69">
        <v>3.86</v>
      </c>
      <c r="S1775" s="69">
        <v>303.04000000000002</v>
      </c>
      <c r="X1775" s="2">
        <f t="shared" si="81"/>
        <v>0.25</v>
      </c>
      <c r="Y1775" s="2">
        <f>SUMIF(收盤價!A:A,A1775,收盤價!C:C)</f>
        <v>10.4</v>
      </c>
      <c r="Z1775" s="2">
        <f t="shared" si="82"/>
        <v>255566.592</v>
      </c>
      <c r="AA1775" s="2">
        <f t="shared" si="83"/>
        <v>922879.36</v>
      </c>
    </row>
    <row r="1776" spans="1:27" ht="14.5" customHeight="1">
      <c r="A1776" s="7" t="s">
        <v>6058</v>
      </c>
      <c r="B1776" s="8" t="s">
        <v>3614</v>
      </c>
      <c r="C1776" s="27">
        <v>172598</v>
      </c>
      <c r="D1776" s="27">
        <v>159748</v>
      </c>
      <c r="E1776" s="69">
        <v>8.0399999999999991</v>
      </c>
      <c r="F1776" s="27">
        <v>-8824</v>
      </c>
      <c r="G1776" s="27">
        <v>-16448</v>
      </c>
      <c r="H1776" s="27">
        <v>5235</v>
      </c>
      <c r="I1776" s="27">
        <v>3</v>
      </c>
      <c r="J1776" s="27">
        <v>-16633</v>
      </c>
      <c r="K1776" s="27">
        <v>-30673</v>
      </c>
      <c r="L1776" s="69">
        <v>45.77</v>
      </c>
      <c r="M1776" s="27">
        <v>578917</v>
      </c>
      <c r="N1776" s="69">
        <v>-0.28000000000000003</v>
      </c>
      <c r="O1776" s="69">
        <v>-0.53</v>
      </c>
      <c r="P1776" s="69">
        <v>10.199999999999999</v>
      </c>
      <c r="Q1776" s="27">
        <v>67</v>
      </c>
      <c r="R1776" s="69">
        <v>3.44</v>
      </c>
      <c r="S1776" s="69">
        <v>320.57</v>
      </c>
      <c r="X1776" s="2">
        <f t="shared" si="81"/>
        <v>0.33</v>
      </c>
      <c r="Y1776" s="2">
        <f>SUMIF(收盤價!A:A,A1776,收盤價!C:C)</f>
        <v>12.93</v>
      </c>
      <c r="Z1776" s="2">
        <f t="shared" si="82"/>
        <v>590495.34</v>
      </c>
      <c r="AA1776" s="2">
        <f t="shared" si="83"/>
        <v>748539.68099999998</v>
      </c>
    </row>
    <row r="1777" spans="1:27" ht="14.5" customHeight="1">
      <c r="A1777" s="7" t="s">
        <v>6059</v>
      </c>
      <c r="B1777" s="8" t="s">
        <v>3616</v>
      </c>
      <c r="C1777" s="27">
        <v>70752</v>
      </c>
      <c r="D1777" s="27">
        <v>90775</v>
      </c>
      <c r="E1777" s="69">
        <v>-22.06</v>
      </c>
      <c r="F1777" s="27">
        <v>-19573</v>
      </c>
      <c r="G1777" s="27">
        <v>-14758</v>
      </c>
      <c r="H1777" s="27">
        <v>275</v>
      </c>
      <c r="I1777" s="27">
        <v>2419</v>
      </c>
      <c r="J1777" s="27">
        <v>-19073</v>
      </c>
      <c r="K1777" s="27">
        <v>-12329</v>
      </c>
      <c r="L1777" s="69">
        <v>-54.7</v>
      </c>
      <c r="M1777" s="27">
        <v>305109</v>
      </c>
      <c r="N1777" s="69">
        <v>-0.63</v>
      </c>
      <c r="O1777" s="69">
        <v>-0.41</v>
      </c>
      <c r="P1777" s="69">
        <v>7.62</v>
      </c>
      <c r="Q1777" s="27">
        <v>52</v>
      </c>
      <c r="R1777" s="69">
        <v>6.08</v>
      </c>
      <c r="S1777" s="69">
        <v>491.79</v>
      </c>
      <c r="X1777" s="2">
        <f t="shared" si="81"/>
        <v>0.48</v>
      </c>
      <c r="Y1777" s="2">
        <f>SUMIF(收盤價!A:A,A1777,收盤價!C:C)</f>
        <v>13.44</v>
      </c>
      <c r="Z1777" s="2">
        <f t="shared" si="82"/>
        <v>232493.05800000002</v>
      </c>
      <c r="AA1777" s="2">
        <f t="shared" si="83"/>
        <v>410066.49599999998</v>
      </c>
    </row>
    <row r="1778" spans="1:27" ht="14.5" customHeight="1">
      <c r="A1778" s="7" t="s">
        <v>6078</v>
      </c>
      <c r="B1778" s="8" t="s">
        <v>7091</v>
      </c>
      <c r="C1778" s="27">
        <v>135338</v>
      </c>
      <c r="D1778" s="27">
        <v>48356</v>
      </c>
      <c r="E1778" s="69">
        <v>179.88</v>
      </c>
      <c r="F1778" s="27">
        <v>10699</v>
      </c>
      <c r="G1778" s="27">
        <v>-850</v>
      </c>
      <c r="H1778" s="27">
        <v>4406</v>
      </c>
      <c r="I1778" s="27">
        <v>2214</v>
      </c>
      <c r="J1778" s="27">
        <v>15380</v>
      </c>
      <c r="K1778" s="27">
        <v>2930</v>
      </c>
      <c r="L1778" s="69">
        <v>424.91</v>
      </c>
      <c r="M1778" s="27">
        <v>350000</v>
      </c>
      <c r="N1778" s="69">
        <v>0.44</v>
      </c>
      <c r="O1778" s="69">
        <v>0.08</v>
      </c>
      <c r="P1778" s="69">
        <v>7.97</v>
      </c>
      <c r="Q1778" s="27">
        <v>82</v>
      </c>
      <c r="R1778" s="69">
        <v>5.0999999999999996</v>
      </c>
      <c r="S1778" s="69">
        <v>426.61</v>
      </c>
      <c r="X1778" s="2">
        <f t="shared" si="81"/>
        <v>0.18</v>
      </c>
      <c r="Y1778" s="2">
        <f>SUMIF(收盤價!A:A,A1778,收盤價!C:C)</f>
        <v>24.49</v>
      </c>
      <c r="Z1778" s="2">
        <f t="shared" si="82"/>
        <v>278950</v>
      </c>
      <c r="AA1778" s="2">
        <f t="shared" si="83"/>
        <v>857150</v>
      </c>
    </row>
    <row r="1779" spans="1:27" ht="14.5" customHeight="1">
      <c r="A1779" s="7" t="s">
        <v>6119</v>
      </c>
      <c r="B1779" s="8" t="s">
        <v>3718</v>
      </c>
      <c r="C1779" s="27">
        <v>19747</v>
      </c>
      <c r="D1779" s="27">
        <v>63689</v>
      </c>
      <c r="E1779" s="69">
        <v>-68.989999999999995</v>
      </c>
      <c r="F1779" s="27">
        <v>-33092</v>
      </c>
      <c r="G1779" s="27">
        <v>-22162</v>
      </c>
      <c r="H1779" s="27">
        <v>1462</v>
      </c>
      <c r="I1779" s="27">
        <v>2012</v>
      </c>
      <c r="J1779" s="27">
        <v>-31555</v>
      </c>
      <c r="K1779" s="27">
        <v>-20645</v>
      </c>
      <c r="L1779" s="69">
        <v>-52.85</v>
      </c>
      <c r="M1779" s="27">
        <v>227500</v>
      </c>
      <c r="N1779" s="69">
        <v>-1.39</v>
      </c>
      <c r="O1779" s="69">
        <v>-0.91</v>
      </c>
      <c r="P1779" s="69">
        <v>5.67</v>
      </c>
      <c r="Q1779" s="27">
        <v>86</v>
      </c>
      <c r="R1779" s="69">
        <v>6.92</v>
      </c>
      <c r="S1779" s="69">
        <v>461.01</v>
      </c>
      <c r="X1779" s="2">
        <f t="shared" si="81"/>
        <v>0.14000000000000001</v>
      </c>
      <c r="Y1779" s="2">
        <f>SUMIF(收盤價!A:A,A1779,收盤價!C:C)</f>
        <v>12.99</v>
      </c>
      <c r="Z1779" s="2">
        <f t="shared" si="82"/>
        <v>128992.5</v>
      </c>
      <c r="AA1779" s="2">
        <f t="shared" si="83"/>
        <v>295522.5</v>
      </c>
    </row>
    <row r="1780" spans="1:27" ht="14.5" customHeight="1">
      <c r="A1780" s="7" t="s">
        <v>6129</v>
      </c>
      <c r="B1780" s="8" t="s">
        <v>7092</v>
      </c>
      <c r="C1780" s="27">
        <v>131874</v>
      </c>
      <c r="D1780" s="27">
        <v>140235</v>
      </c>
      <c r="E1780" s="69">
        <v>-5.96</v>
      </c>
      <c r="F1780" s="27">
        <v>12796</v>
      </c>
      <c r="G1780" s="27">
        <v>17164</v>
      </c>
      <c r="H1780" s="27">
        <v>4137</v>
      </c>
      <c r="I1780" s="27">
        <v>1320</v>
      </c>
      <c r="J1780" s="27">
        <v>21079</v>
      </c>
      <c r="K1780" s="27">
        <v>18484</v>
      </c>
      <c r="L1780" s="69">
        <v>14.04</v>
      </c>
      <c r="M1780" s="27">
        <v>240500</v>
      </c>
      <c r="N1780" s="69">
        <v>0.88</v>
      </c>
      <c r="O1780" s="69">
        <v>0.77</v>
      </c>
      <c r="P1780" s="69">
        <v>12.69</v>
      </c>
      <c r="Q1780" s="27">
        <v>64</v>
      </c>
      <c r="R1780" s="69">
        <v>2.0099999999999998</v>
      </c>
      <c r="S1780" s="69">
        <v>105.96</v>
      </c>
      <c r="X1780" s="2">
        <f t="shared" si="81"/>
        <v>0.36</v>
      </c>
      <c r="Y1780" s="2">
        <f>SUMIF(收盤價!A:A,A1780,收盤價!C:C)</f>
        <v>29.92</v>
      </c>
      <c r="Z1780" s="2">
        <f t="shared" si="82"/>
        <v>305194.5</v>
      </c>
      <c r="AA1780" s="2">
        <f t="shared" si="83"/>
        <v>719576</v>
      </c>
    </row>
    <row r="1781" spans="1:27" ht="14.5" customHeight="1">
      <c r="A1781" s="7" t="s">
        <v>6137</v>
      </c>
      <c r="B1781" s="8" t="s">
        <v>3736</v>
      </c>
      <c r="C1781" s="27">
        <v>367559</v>
      </c>
      <c r="D1781" s="27">
        <v>339548</v>
      </c>
      <c r="E1781" s="69">
        <v>8.25</v>
      </c>
      <c r="F1781" s="27">
        <v>17765</v>
      </c>
      <c r="G1781" s="27">
        <v>7643</v>
      </c>
      <c r="H1781" s="27">
        <v>-2130</v>
      </c>
      <c r="I1781" s="27">
        <v>-720</v>
      </c>
      <c r="J1781" s="27">
        <v>12485</v>
      </c>
      <c r="K1781" s="27">
        <v>5451</v>
      </c>
      <c r="L1781" s="69">
        <v>129.04</v>
      </c>
      <c r="M1781" s="27">
        <v>250000</v>
      </c>
      <c r="N1781" s="69">
        <v>0.5</v>
      </c>
      <c r="O1781" s="69">
        <v>0.22</v>
      </c>
      <c r="P1781" s="69">
        <v>19.52</v>
      </c>
      <c r="Q1781" s="27">
        <v>44</v>
      </c>
      <c r="R1781" s="69">
        <v>1.22</v>
      </c>
      <c r="S1781" s="69">
        <v>120.07</v>
      </c>
      <c r="X1781" s="2">
        <f t="shared" si="81"/>
        <v>0.56000000000000005</v>
      </c>
      <c r="Y1781" s="2">
        <f>SUMIF(收盤價!A:A,A1781,收盤價!C:C)</f>
        <v>14.24</v>
      </c>
      <c r="Z1781" s="2">
        <f t="shared" si="82"/>
        <v>488000</v>
      </c>
      <c r="AA1781" s="2">
        <f t="shared" si="83"/>
        <v>356000</v>
      </c>
    </row>
    <row r="1782" spans="1:27" ht="14.5" customHeight="1">
      <c r="A1782" s="7" t="s">
        <v>6142</v>
      </c>
      <c r="B1782" s="8" t="s">
        <v>3744</v>
      </c>
      <c r="C1782" s="27">
        <v>1019057</v>
      </c>
      <c r="D1782" s="27">
        <v>958631</v>
      </c>
      <c r="E1782" s="69">
        <v>6.3</v>
      </c>
      <c r="F1782" s="27">
        <v>111501</v>
      </c>
      <c r="G1782" s="27">
        <v>128441</v>
      </c>
      <c r="H1782" s="27">
        <v>-6556</v>
      </c>
      <c r="I1782" s="27">
        <v>-875</v>
      </c>
      <c r="J1782" s="27">
        <v>108386</v>
      </c>
      <c r="K1782" s="27">
        <v>98592</v>
      </c>
      <c r="L1782" s="69">
        <v>9.93</v>
      </c>
      <c r="M1782" s="27">
        <v>489930</v>
      </c>
      <c r="N1782" s="69">
        <v>2.21</v>
      </c>
      <c r="O1782" s="69">
        <v>2.0099999999999998</v>
      </c>
      <c r="P1782" s="69">
        <v>19.88</v>
      </c>
      <c r="Q1782" s="27">
        <v>46</v>
      </c>
      <c r="R1782" s="69">
        <v>2.1800000000000002</v>
      </c>
      <c r="S1782" s="69">
        <v>162.62</v>
      </c>
      <c r="X1782" s="2">
        <f t="shared" si="81"/>
        <v>0.54</v>
      </c>
      <c r="Y1782" s="2">
        <f>SUMIF(收盤價!A:A,A1782,收盤價!C:C)</f>
        <v>61.62</v>
      </c>
      <c r="Z1782" s="2">
        <f t="shared" si="82"/>
        <v>973980.84000000008</v>
      </c>
      <c r="AA1782" s="2">
        <f t="shared" si="83"/>
        <v>3018948.6599999997</v>
      </c>
    </row>
    <row r="1783" spans="1:27" ht="14.5" customHeight="1">
      <c r="A1783" s="7" t="s">
        <v>6143</v>
      </c>
      <c r="B1783" s="8" t="s">
        <v>3746</v>
      </c>
      <c r="C1783" s="27">
        <v>328433</v>
      </c>
      <c r="D1783" s="27">
        <v>278474</v>
      </c>
      <c r="E1783" s="69">
        <v>17.940000000000001</v>
      </c>
      <c r="F1783" s="27">
        <v>14999</v>
      </c>
      <c r="G1783" s="27">
        <v>19397</v>
      </c>
      <c r="H1783" s="27">
        <v>99</v>
      </c>
      <c r="I1783" s="27">
        <v>1661</v>
      </c>
      <c r="J1783" s="27">
        <v>7264</v>
      </c>
      <c r="K1783" s="27">
        <v>16841</v>
      </c>
      <c r="L1783" s="69">
        <v>-56.87</v>
      </c>
      <c r="M1783" s="27">
        <v>391800</v>
      </c>
      <c r="N1783" s="69">
        <v>0.19</v>
      </c>
      <c r="O1783" s="69">
        <v>0.49</v>
      </c>
      <c r="P1783" s="69">
        <v>12.58</v>
      </c>
      <c r="Q1783" s="27">
        <v>75</v>
      </c>
      <c r="R1783" s="69">
        <v>2.96</v>
      </c>
      <c r="S1783" s="69">
        <v>160.63</v>
      </c>
      <c r="X1783" s="2">
        <f t="shared" si="81"/>
        <v>0.25</v>
      </c>
      <c r="Y1783" s="2">
        <f>SUMIF(收盤價!A:A,A1783,收盤價!C:C)</f>
        <v>18.25</v>
      </c>
      <c r="Z1783" s="2">
        <f t="shared" si="82"/>
        <v>492884.4</v>
      </c>
      <c r="AA1783" s="2">
        <f t="shared" si="83"/>
        <v>715035</v>
      </c>
    </row>
    <row r="1784" spans="1:27" ht="14.5" customHeight="1">
      <c r="A1784" s="7" t="s">
        <v>6145</v>
      </c>
      <c r="B1784" s="8" t="s">
        <v>3750</v>
      </c>
      <c r="C1784" s="27">
        <v>61720</v>
      </c>
      <c r="D1784" s="27">
        <v>0</v>
      </c>
      <c r="E1784" s="28" t="s">
        <v>6571</v>
      </c>
      <c r="F1784" s="27">
        <v>32674</v>
      </c>
      <c r="G1784" s="27">
        <v>-68335</v>
      </c>
      <c r="H1784" s="27">
        <v>-3074</v>
      </c>
      <c r="I1784" s="27">
        <v>438</v>
      </c>
      <c r="J1784" s="27">
        <v>23428</v>
      </c>
      <c r="K1784" s="27">
        <v>-67897</v>
      </c>
      <c r="L1784" s="69">
        <v>134.51</v>
      </c>
      <c r="M1784" s="27">
        <v>692030</v>
      </c>
      <c r="N1784" s="69">
        <v>0.34</v>
      </c>
      <c r="O1784" s="69">
        <v>-1.04</v>
      </c>
      <c r="P1784" s="69">
        <v>2.59</v>
      </c>
      <c r="Q1784" s="27">
        <v>95</v>
      </c>
      <c r="R1784" s="69">
        <v>14.77</v>
      </c>
      <c r="S1784" s="69">
        <v>1477.48</v>
      </c>
      <c r="X1784" s="2">
        <f t="shared" si="81"/>
        <v>0.05</v>
      </c>
      <c r="Y1784" s="2">
        <f>SUMIF(收盤價!A:A,A1784,收盤價!C:C)</f>
        <v>11.64</v>
      </c>
      <c r="Z1784" s="2">
        <f t="shared" si="82"/>
        <v>179235.77</v>
      </c>
      <c r="AA1784" s="2">
        <f t="shared" si="83"/>
        <v>805522.92</v>
      </c>
    </row>
    <row r="1785" spans="1:27" ht="14.5" customHeight="1">
      <c r="A1785" s="7" t="s">
        <v>6151</v>
      </c>
      <c r="B1785" s="8" t="s">
        <v>4414</v>
      </c>
      <c r="C1785" s="27">
        <v>229199</v>
      </c>
      <c r="D1785" s="27">
        <v>214994</v>
      </c>
      <c r="E1785" s="69">
        <v>6.61</v>
      </c>
      <c r="F1785" s="27">
        <v>-106320</v>
      </c>
      <c r="G1785" s="27">
        <v>-104589</v>
      </c>
      <c r="H1785" s="27">
        <v>-6808</v>
      </c>
      <c r="I1785" s="27">
        <v>-3605</v>
      </c>
      <c r="J1785" s="27">
        <v>-107918</v>
      </c>
      <c r="K1785" s="27">
        <v>-107168</v>
      </c>
      <c r="L1785" s="69">
        <v>-0.7</v>
      </c>
      <c r="M1785" s="27">
        <v>1424471</v>
      </c>
      <c r="N1785" s="69">
        <v>-0.76</v>
      </c>
      <c r="O1785" s="69">
        <v>-0.76</v>
      </c>
      <c r="P1785" s="69">
        <v>4.45</v>
      </c>
      <c r="Q1785" s="27">
        <v>22</v>
      </c>
      <c r="R1785" s="69">
        <v>2.2799999999999998</v>
      </c>
      <c r="S1785" s="69">
        <v>202.68</v>
      </c>
      <c r="X1785" s="2">
        <f t="shared" si="81"/>
        <v>0.78</v>
      </c>
      <c r="Y1785" s="2">
        <f>SUMIF(收盤價!A:A,A1785,收盤價!C:C)</f>
        <v>6.39</v>
      </c>
      <c r="Z1785" s="2">
        <f t="shared" si="82"/>
        <v>633889.59499999997</v>
      </c>
      <c r="AA1785" s="2">
        <f t="shared" si="83"/>
        <v>910236.96899999992</v>
      </c>
    </row>
    <row r="1786" spans="1:27" ht="14.5" customHeight="1">
      <c r="A1786" s="7" t="s">
        <v>6152</v>
      </c>
      <c r="B1786" s="8" t="s">
        <v>3758</v>
      </c>
      <c r="C1786" s="27">
        <v>1211</v>
      </c>
      <c r="D1786" s="27">
        <v>1159</v>
      </c>
      <c r="E1786" s="69">
        <v>4.49</v>
      </c>
      <c r="F1786" s="27">
        <v>-30339</v>
      </c>
      <c r="G1786" s="27">
        <v>-34019</v>
      </c>
      <c r="H1786" s="27">
        <v>5768</v>
      </c>
      <c r="I1786" s="27">
        <v>3327</v>
      </c>
      <c r="J1786" s="27">
        <v>-24571</v>
      </c>
      <c r="K1786" s="27">
        <v>-30692</v>
      </c>
      <c r="L1786" s="69">
        <v>19.940000000000001</v>
      </c>
      <c r="M1786" s="27">
        <v>440000</v>
      </c>
      <c r="N1786" s="69">
        <v>-0.56000000000000005</v>
      </c>
      <c r="O1786" s="69">
        <v>-0.77</v>
      </c>
      <c r="P1786" s="69">
        <v>8.08</v>
      </c>
      <c r="Q1786" s="27">
        <v>97</v>
      </c>
      <c r="R1786" s="69">
        <v>36.14</v>
      </c>
      <c r="S1786" s="69">
        <v>3256.43</v>
      </c>
      <c r="X1786" s="2">
        <f t="shared" si="81"/>
        <v>0.03</v>
      </c>
      <c r="Y1786" s="2">
        <f>SUMIF(收盤價!A:A,A1786,收盤價!C:C)</f>
        <v>24.72</v>
      </c>
      <c r="Z1786" s="2">
        <f t="shared" si="82"/>
        <v>355520</v>
      </c>
      <c r="AA1786" s="2">
        <f t="shared" si="83"/>
        <v>1087680</v>
      </c>
    </row>
    <row r="1787" spans="1:27" ht="14.5" customHeight="1">
      <c r="A1787" s="7" t="s">
        <v>6154</v>
      </c>
      <c r="B1787" s="8" t="s">
        <v>3762</v>
      </c>
      <c r="C1787" s="27">
        <v>100382</v>
      </c>
      <c r="D1787" s="27">
        <v>125242</v>
      </c>
      <c r="E1787" s="69">
        <v>-19.850000000000001</v>
      </c>
      <c r="F1787" s="27">
        <v>-18881</v>
      </c>
      <c r="G1787" s="27">
        <v>-28787</v>
      </c>
      <c r="H1787" s="27">
        <v>-441</v>
      </c>
      <c r="I1787" s="27">
        <v>1266</v>
      </c>
      <c r="J1787" s="27">
        <v>-17883</v>
      </c>
      <c r="K1787" s="27">
        <v>-22270</v>
      </c>
      <c r="L1787" s="69">
        <v>19.7</v>
      </c>
      <c r="M1787" s="27">
        <v>229720</v>
      </c>
      <c r="N1787" s="69">
        <v>-0.78</v>
      </c>
      <c r="O1787" s="69">
        <v>-0.97</v>
      </c>
      <c r="P1787" s="69">
        <v>9.2100000000000009</v>
      </c>
      <c r="Q1787" s="27">
        <v>45</v>
      </c>
      <c r="R1787" s="69">
        <v>1.56</v>
      </c>
      <c r="S1787" s="69">
        <v>64.66</v>
      </c>
      <c r="X1787" s="2">
        <f t="shared" si="81"/>
        <v>0.55000000000000004</v>
      </c>
      <c r="Y1787" s="2">
        <f>SUMIF(收盤價!A:A,A1787,收盤價!C:C)</f>
        <v>23.24</v>
      </c>
      <c r="Z1787" s="2">
        <f t="shared" si="82"/>
        <v>211572.12000000002</v>
      </c>
      <c r="AA1787" s="2">
        <f t="shared" si="83"/>
        <v>533869.28</v>
      </c>
    </row>
    <row r="1788" spans="1:27" ht="14.5" customHeight="1">
      <c r="A1788" s="7" t="s">
        <v>6155</v>
      </c>
      <c r="B1788" s="8" t="s">
        <v>3764</v>
      </c>
      <c r="C1788" s="27">
        <v>20481</v>
      </c>
      <c r="D1788" s="27">
        <v>18361</v>
      </c>
      <c r="E1788" s="69">
        <v>11.55</v>
      </c>
      <c r="F1788" s="27">
        <v>-80293</v>
      </c>
      <c r="G1788" s="27">
        <v>-104538</v>
      </c>
      <c r="H1788" s="27">
        <v>689</v>
      </c>
      <c r="I1788" s="27">
        <v>61</v>
      </c>
      <c r="J1788" s="27">
        <v>-88165</v>
      </c>
      <c r="K1788" s="27">
        <v>-104477</v>
      </c>
      <c r="L1788" s="69">
        <v>15.61</v>
      </c>
      <c r="M1788" s="27">
        <v>696085</v>
      </c>
      <c r="N1788" s="69">
        <v>-1.27</v>
      </c>
      <c r="O1788" s="69">
        <v>-1.6</v>
      </c>
      <c r="P1788" s="69">
        <v>2.25</v>
      </c>
      <c r="Q1788" s="27">
        <v>53</v>
      </c>
      <c r="R1788" s="69">
        <v>3.8</v>
      </c>
      <c r="S1788" s="69">
        <v>218.68</v>
      </c>
      <c r="X1788" s="2">
        <f t="shared" si="81"/>
        <v>0.47</v>
      </c>
      <c r="Y1788" s="2">
        <f>SUMIF(收盤價!A:A,A1788,收盤價!C:C)</f>
        <v>18.14</v>
      </c>
      <c r="Z1788" s="2">
        <f t="shared" si="82"/>
        <v>156619.125</v>
      </c>
      <c r="AA1788" s="2">
        <f t="shared" si="83"/>
        <v>1262698.19</v>
      </c>
    </row>
    <row r="1789" spans="1:27" ht="14.5" customHeight="1">
      <c r="A1789" s="7" t="s">
        <v>6156</v>
      </c>
      <c r="B1789" s="8" t="s">
        <v>3766</v>
      </c>
      <c r="C1789" s="27">
        <v>0</v>
      </c>
      <c r="D1789" s="27">
        <v>0</v>
      </c>
      <c r="E1789" s="28" t="s">
        <v>6571</v>
      </c>
      <c r="F1789" s="27">
        <v>-89301</v>
      </c>
      <c r="G1789" s="27">
        <v>-92087</v>
      </c>
      <c r="H1789" s="27">
        <v>3702</v>
      </c>
      <c r="I1789" s="27">
        <v>8002</v>
      </c>
      <c r="J1789" s="27">
        <v>-86075</v>
      </c>
      <c r="K1789" s="27">
        <v>-84399</v>
      </c>
      <c r="L1789" s="69">
        <v>-1.99</v>
      </c>
      <c r="M1789" s="27">
        <v>1059143</v>
      </c>
      <c r="N1789" s="69">
        <v>-0.84</v>
      </c>
      <c r="O1789" s="69">
        <v>-0.82</v>
      </c>
      <c r="P1789" s="69">
        <v>4.07</v>
      </c>
      <c r="Q1789" s="27">
        <v>94</v>
      </c>
      <c r="R1789" s="69">
        <v>22.54</v>
      </c>
      <c r="S1789" s="69">
        <v>1690.49</v>
      </c>
      <c r="X1789" s="2">
        <f t="shared" si="81"/>
        <v>0.06</v>
      </c>
      <c r="Y1789" s="2">
        <f>SUMIF(收盤價!A:A,A1789,收盤價!C:C)</f>
        <v>46.92</v>
      </c>
      <c r="Z1789" s="2">
        <f t="shared" si="82"/>
        <v>431071.20100000006</v>
      </c>
      <c r="AA1789" s="2">
        <f t="shared" si="83"/>
        <v>4969498.9560000002</v>
      </c>
    </row>
    <row r="1790" spans="1:27" ht="14.5" customHeight="1">
      <c r="A1790" s="7" t="s">
        <v>6157</v>
      </c>
      <c r="B1790" s="8" t="s">
        <v>3768</v>
      </c>
      <c r="C1790" s="27">
        <v>0</v>
      </c>
      <c r="D1790" s="27">
        <v>0</v>
      </c>
      <c r="E1790" s="28" t="s">
        <v>6571</v>
      </c>
      <c r="F1790" s="27">
        <v>-85397</v>
      </c>
      <c r="G1790" s="27">
        <v>-88514</v>
      </c>
      <c r="H1790" s="27">
        <v>2123</v>
      </c>
      <c r="I1790" s="27">
        <v>2598</v>
      </c>
      <c r="J1790" s="27">
        <v>-81739</v>
      </c>
      <c r="K1790" s="27">
        <v>-85916</v>
      </c>
      <c r="L1790" s="69">
        <v>4.8600000000000003</v>
      </c>
      <c r="M1790" s="27">
        <v>719258</v>
      </c>
      <c r="N1790" s="69">
        <v>-1.2</v>
      </c>
      <c r="O1790" s="69">
        <v>-1.28</v>
      </c>
      <c r="P1790" s="69">
        <v>8.16</v>
      </c>
      <c r="Q1790" s="27">
        <v>93</v>
      </c>
      <c r="R1790" s="69">
        <v>17.309999999999999</v>
      </c>
      <c r="S1790" s="69">
        <v>1731.12</v>
      </c>
      <c r="X1790" s="2">
        <f t="shared" si="81"/>
        <v>7.0000000000000007E-2</v>
      </c>
      <c r="Y1790" s="2">
        <f>SUMIF(收盤價!A:A,A1790,收盤價!C:C)</f>
        <v>19.21</v>
      </c>
      <c r="Z1790" s="2">
        <f t="shared" si="82"/>
        <v>586914.52800000005</v>
      </c>
      <c r="AA1790" s="2">
        <f t="shared" si="83"/>
        <v>1381694.618</v>
      </c>
    </row>
    <row r="1791" spans="1:27" ht="14.5" customHeight="1">
      <c r="A1791" s="7" t="s">
        <v>6161</v>
      </c>
      <c r="B1791" s="8" t="s">
        <v>3776</v>
      </c>
      <c r="C1791" s="27">
        <v>0</v>
      </c>
      <c r="D1791" s="27">
        <v>0</v>
      </c>
      <c r="E1791" s="28" t="s">
        <v>6571</v>
      </c>
      <c r="F1791" s="27">
        <v>-172987</v>
      </c>
      <c r="G1791" s="27">
        <v>-143915</v>
      </c>
      <c r="H1791" s="27">
        <v>6009</v>
      </c>
      <c r="I1791" s="27">
        <v>6981</v>
      </c>
      <c r="J1791" s="27">
        <v>-166978</v>
      </c>
      <c r="K1791" s="27">
        <v>-136934</v>
      </c>
      <c r="L1791" s="69">
        <v>-21.94</v>
      </c>
      <c r="M1791" s="27">
        <v>1833935</v>
      </c>
      <c r="N1791" s="69">
        <v>-0.91</v>
      </c>
      <c r="O1791" s="69">
        <v>-0.76</v>
      </c>
      <c r="P1791" s="69">
        <v>13.4</v>
      </c>
      <c r="Q1791" s="27">
        <v>94</v>
      </c>
      <c r="R1791" s="69">
        <v>19.02</v>
      </c>
      <c r="S1791" s="69">
        <v>1902.36</v>
      </c>
      <c r="X1791" s="2">
        <f t="shared" si="81"/>
        <v>0.06</v>
      </c>
      <c r="Y1791" s="2">
        <f>SUMIF(收盤價!A:A,A1791,收盤價!C:C)</f>
        <v>24.05</v>
      </c>
      <c r="Z1791" s="2">
        <f t="shared" si="82"/>
        <v>2457472.9</v>
      </c>
      <c r="AA1791" s="2">
        <f t="shared" si="83"/>
        <v>4410613.6749999998</v>
      </c>
    </row>
    <row r="1792" spans="1:27" ht="14.5" customHeight="1">
      <c r="A1792" s="7" t="s">
        <v>6169</v>
      </c>
      <c r="B1792" s="8" t="s">
        <v>3790</v>
      </c>
      <c r="C1792" s="27">
        <v>0</v>
      </c>
      <c r="D1792" s="27">
        <v>1611</v>
      </c>
      <c r="E1792" s="69">
        <v>-100</v>
      </c>
      <c r="F1792" s="27">
        <v>-59057</v>
      </c>
      <c r="G1792" s="27">
        <v>-63104</v>
      </c>
      <c r="H1792" s="27">
        <v>1744</v>
      </c>
      <c r="I1792" s="27">
        <v>1882</v>
      </c>
      <c r="J1792" s="27">
        <v>-57313</v>
      </c>
      <c r="K1792" s="27">
        <v>-61222</v>
      </c>
      <c r="L1792" s="69">
        <v>6.38</v>
      </c>
      <c r="M1792" s="27">
        <v>674344</v>
      </c>
      <c r="N1792" s="69">
        <v>-0.85</v>
      </c>
      <c r="O1792" s="69">
        <v>-1.08</v>
      </c>
      <c r="P1792" s="69">
        <v>6.68</v>
      </c>
      <c r="Q1792" s="27">
        <v>93</v>
      </c>
      <c r="R1792" s="69">
        <v>17.690000000000001</v>
      </c>
      <c r="S1792" s="69">
        <v>1691.99</v>
      </c>
      <c r="X1792" s="2">
        <f t="shared" si="81"/>
        <v>7.0000000000000007E-2</v>
      </c>
      <c r="Y1792" s="2">
        <f>SUMIF(收盤價!A:A,A1792,收盤價!C:C)</f>
        <v>8.73</v>
      </c>
      <c r="Z1792" s="2">
        <f t="shared" si="82"/>
        <v>450461.79200000002</v>
      </c>
      <c r="AA1792" s="2">
        <f t="shared" si="83"/>
        <v>588702.31200000003</v>
      </c>
    </row>
    <row r="1793" spans="1:27" ht="14.5" customHeight="1">
      <c r="A1793" s="7" t="s">
        <v>6173</v>
      </c>
      <c r="B1793" s="8" t="s">
        <v>3798</v>
      </c>
      <c r="C1793" s="27">
        <v>59036</v>
      </c>
      <c r="D1793" s="27">
        <v>50129</v>
      </c>
      <c r="E1793" s="69">
        <v>17.77</v>
      </c>
      <c r="F1793" s="27">
        <v>-74695</v>
      </c>
      <c r="G1793" s="27">
        <v>-91270</v>
      </c>
      <c r="H1793" s="27">
        <v>6518</v>
      </c>
      <c r="I1793" s="27">
        <v>-2737</v>
      </c>
      <c r="J1793" s="27">
        <v>-60000</v>
      </c>
      <c r="K1793" s="27">
        <v>-85238</v>
      </c>
      <c r="L1793" s="69">
        <v>29.61</v>
      </c>
      <c r="M1793" s="27">
        <v>1190868</v>
      </c>
      <c r="N1793" s="69">
        <v>-0.56999999999999995</v>
      </c>
      <c r="O1793" s="69">
        <v>-0.82</v>
      </c>
      <c r="P1793" s="69">
        <v>7.3</v>
      </c>
      <c r="Q1793" s="27">
        <v>94</v>
      </c>
      <c r="R1793" s="69">
        <v>20.28</v>
      </c>
      <c r="S1793" s="69">
        <v>2027.91</v>
      </c>
      <c r="X1793" s="2">
        <f t="shared" si="81"/>
        <v>0.06</v>
      </c>
      <c r="Y1793" s="2">
        <f>SUMIF(收盤價!A:A,A1793,收盤價!C:C)</f>
        <v>29.82</v>
      </c>
      <c r="Z1793" s="2">
        <f t="shared" si="82"/>
        <v>869333.64</v>
      </c>
      <c r="AA1793" s="2">
        <f t="shared" si="83"/>
        <v>3551168.3759999997</v>
      </c>
    </row>
    <row r="1794" spans="1:27" ht="14.5" customHeight="1">
      <c r="A1794" s="7" t="s">
        <v>6174</v>
      </c>
      <c r="B1794" s="8" t="s">
        <v>3800</v>
      </c>
      <c r="C1794" s="27">
        <v>74811</v>
      </c>
      <c r="D1794" s="27">
        <v>82622</v>
      </c>
      <c r="E1794" s="69">
        <v>-9.4499999999999993</v>
      </c>
      <c r="F1794" s="27">
        <v>-19326</v>
      </c>
      <c r="G1794" s="27">
        <v>3781</v>
      </c>
      <c r="H1794" s="27">
        <v>1377</v>
      </c>
      <c r="I1794" s="27">
        <v>1196</v>
      </c>
      <c r="J1794" s="27">
        <v>-17949</v>
      </c>
      <c r="K1794" s="27">
        <v>4977</v>
      </c>
      <c r="L1794" s="69">
        <v>-460.64</v>
      </c>
      <c r="M1794" s="27">
        <v>355010</v>
      </c>
      <c r="N1794" s="69">
        <v>-0.51</v>
      </c>
      <c r="O1794" s="69">
        <v>0.19</v>
      </c>
      <c r="P1794" s="69">
        <v>11.94</v>
      </c>
      <c r="Q1794" s="27">
        <v>88</v>
      </c>
      <c r="R1794" s="69">
        <v>6.63</v>
      </c>
      <c r="S1794" s="69">
        <v>608.88</v>
      </c>
      <c r="X1794" s="2">
        <f t="shared" si="81"/>
        <v>0.12</v>
      </c>
      <c r="Y1794" s="2">
        <f>SUMIF(收盤價!A:A,A1794,收盤價!C:C)</f>
        <v>8.8000000000000007</v>
      </c>
      <c r="Z1794" s="2">
        <f t="shared" si="82"/>
        <v>423881.93999999994</v>
      </c>
      <c r="AA1794" s="2">
        <f t="shared" si="83"/>
        <v>312408.80000000005</v>
      </c>
    </row>
    <row r="1795" spans="1:27" ht="14.5" customHeight="1">
      <c r="A1795" s="7" t="s">
        <v>6178</v>
      </c>
      <c r="B1795" s="8" t="s">
        <v>3806</v>
      </c>
      <c r="C1795" s="27">
        <v>7962</v>
      </c>
      <c r="D1795" s="27">
        <v>3925</v>
      </c>
      <c r="E1795" s="69">
        <v>102.85</v>
      </c>
      <c r="F1795" s="27">
        <v>-50741</v>
      </c>
      <c r="G1795" s="27">
        <v>-51843</v>
      </c>
      <c r="H1795" s="27">
        <v>1204</v>
      </c>
      <c r="I1795" s="27">
        <v>987</v>
      </c>
      <c r="J1795" s="27">
        <v>-49537</v>
      </c>
      <c r="K1795" s="27">
        <v>-50856</v>
      </c>
      <c r="L1795" s="69">
        <v>2.59</v>
      </c>
      <c r="M1795" s="27">
        <v>372173</v>
      </c>
      <c r="N1795" s="69">
        <v>-1.34</v>
      </c>
      <c r="O1795" s="69">
        <v>-1.67</v>
      </c>
      <c r="P1795" s="69">
        <v>3.9</v>
      </c>
      <c r="Q1795" s="27">
        <v>73</v>
      </c>
      <c r="R1795" s="69">
        <v>7.6</v>
      </c>
      <c r="S1795" s="69">
        <v>679.11</v>
      </c>
      <c r="X1795" s="2">
        <f t="shared" si="81"/>
        <v>0.27</v>
      </c>
      <c r="Y1795" s="2">
        <f>SUMIF(收盤價!A:A,A1795,收盤價!C:C)</f>
        <v>12.6</v>
      </c>
      <c r="Z1795" s="2">
        <f t="shared" si="82"/>
        <v>145147.47</v>
      </c>
      <c r="AA1795" s="2">
        <f t="shared" si="83"/>
        <v>468937.98</v>
      </c>
    </row>
    <row r="1796" spans="1:27" ht="14.5" customHeight="1">
      <c r="A1796" s="7" t="s">
        <v>6179</v>
      </c>
      <c r="B1796" s="8" t="s">
        <v>3808</v>
      </c>
      <c r="C1796" s="27">
        <v>0</v>
      </c>
      <c r="D1796" s="27">
        <v>0</v>
      </c>
      <c r="E1796" s="28" t="s">
        <v>6571</v>
      </c>
      <c r="F1796" s="27">
        <v>-35297</v>
      </c>
      <c r="G1796" s="27">
        <v>-36799</v>
      </c>
      <c r="H1796" s="27">
        <v>437</v>
      </c>
      <c r="I1796" s="27">
        <v>891</v>
      </c>
      <c r="J1796" s="27">
        <v>-34860</v>
      </c>
      <c r="K1796" s="27">
        <v>-35908</v>
      </c>
      <c r="L1796" s="69">
        <v>2.92</v>
      </c>
      <c r="M1796" s="27">
        <v>383200</v>
      </c>
      <c r="N1796" s="69">
        <v>-0.91</v>
      </c>
      <c r="O1796" s="69">
        <v>-0.94</v>
      </c>
      <c r="P1796" s="69">
        <v>5.44</v>
      </c>
      <c r="Q1796" s="27">
        <v>93</v>
      </c>
      <c r="R1796" s="69">
        <v>12.97</v>
      </c>
      <c r="S1796" s="69">
        <v>1084.5</v>
      </c>
      <c r="X1796" s="2">
        <f t="shared" si="81"/>
        <v>7.0000000000000007E-2</v>
      </c>
      <c r="Y1796" s="2">
        <f>SUMIF(收盤價!A:A,A1796,收盤價!C:C)</f>
        <v>25.2</v>
      </c>
      <c r="Z1796" s="2">
        <f t="shared" si="82"/>
        <v>208460.80000000002</v>
      </c>
      <c r="AA1796" s="2">
        <f t="shared" si="83"/>
        <v>965664</v>
      </c>
    </row>
    <row r="1797" spans="1:27" ht="14.5" customHeight="1">
      <c r="A1797" s="7" t="s">
        <v>6180</v>
      </c>
      <c r="B1797" s="8" t="s">
        <v>3810</v>
      </c>
      <c r="C1797" s="27">
        <v>227248</v>
      </c>
      <c r="D1797" s="27">
        <v>196751</v>
      </c>
      <c r="E1797" s="69">
        <v>15.5</v>
      </c>
      <c r="F1797" s="27">
        <v>63923</v>
      </c>
      <c r="G1797" s="27">
        <v>43850</v>
      </c>
      <c r="H1797" s="27">
        <v>-10</v>
      </c>
      <c r="I1797" s="27">
        <v>1007</v>
      </c>
      <c r="J1797" s="27">
        <v>50769</v>
      </c>
      <c r="K1797" s="27">
        <v>34256</v>
      </c>
      <c r="L1797" s="69">
        <v>48.2</v>
      </c>
      <c r="M1797" s="27">
        <v>214500</v>
      </c>
      <c r="N1797" s="69">
        <v>2.37</v>
      </c>
      <c r="O1797" s="69">
        <v>1.6</v>
      </c>
      <c r="P1797" s="69">
        <v>16.28</v>
      </c>
      <c r="Q1797" s="27">
        <v>48</v>
      </c>
      <c r="R1797" s="69">
        <v>1.58</v>
      </c>
      <c r="S1797" s="69">
        <v>131.03</v>
      </c>
      <c r="X1797" s="2">
        <f t="shared" ref="X1797:X1860" si="84">IF(W1797&lt;&gt;"",ROUND(W1797/U1797,2),(100-Q1797)/100)</f>
        <v>0.52</v>
      </c>
      <c r="Y1797" s="2">
        <f>SUMIF(收盤價!A:A,A1797,收盤價!C:C)</f>
        <v>50.01</v>
      </c>
      <c r="Z1797" s="2">
        <f t="shared" ref="Z1797:Z1860" si="85">IF(W1797&lt;&gt;"",U1797-W1797,M1797*P1797/10)</f>
        <v>349206.00000000006</v>
      </c>
      <c r="AA1797" s="2">
        <f t="shared" ref="AA1797:AA1860" si="86">Y1797*M1797/10</f>
        <v>1072714.5</v>
      </c>
    </row>
    <row r="1798" spans="1:27" ht="14.5" customHeight="1">
      <c r="A1798" s="7" t="s">
        <v>6185</v>
      </c>
      <c r="B1798" s="8" t="s">
        <v>3816</v>
      </c>
      <c r="C1798" s="27">
        <v>122160</v>
      </c>
      <c r="D1798" s="27">
        <v>102267</v>
      </c>
      <c r="E1798" s="69">
        <v>19.45</v>
      </c>
      <c r="F1798" s="27">
        <v>-25061</v>
      </c>
      <c r="G1798" s="27">
        <v>-15191</v>
      </c>
      <c r="H1798" s="27">
        <v>-134</v>
      </c>
      <c r="I1798" s="27">
        <v>224</v>
      </c>
      <c r="J1798" s="27">
        <v>-20469</v>
      </c>
      <c r="K1798" s="27">
        <v>-14427</v>
      </c>
      <c r="L1798" s="69">
        <v>-41.88</v>
      </c>
      <c r="M1798" s="27">
        <v>206000</v>
      </c>
      <c r="N1798" s="69">
        <v>-0.99</v>
      </c>
      <c r="O1798" s="69">
        <v>-0.7</v>
      </c>
      <c r="P1798" s="69">
        <v>10.79</v>
      </c>
      <c r="Q1798" s="27">
        <v>44</v>
      </c>
      <c r="R1798" s="69">
        <v>1.46</v>
      </c>
      <c r="S1798" s="69">
        <v>102.92</v>
      </c>
      <c r="X1798" s="2">
        <f t="shared" si="84"/>
        <v>0.56000000000000005</v>
      </c>
      <c r="Y1798" s="2">
        <f>SUMIF(收盤價!A:A,A1798,收盤價!C:C)</f>
        <v>20.94</v>
      </c>
      <c r="Z1798" s="2">
        <f t="shared" si="85"/>
        <v>222274</v>
      </c>
      <c r="AA1798" s="2">
        <f t="shared" si="86"/>
        <v>431364</v>
      </c>
    </row>
    <row r="1799" spans="1:27" ht="14.5" customHeight="1">
      <c r="A1799" s="7" t="s">
        <v>6190</v>
      </c>
      <c r="B1799" s="8" t="s">
        <v>3824</v>
      </c>
      <c r="C1799" s="27">
        <v>0</v>
      </c>
      <c r="D1799" s="27">
        <v>0</v>
      </c>
      <c r="E1799" s="28" t="s">
        <v>6571</v>
      </c>
      <c r="F1799" s="27">
        <v>-55931</v>
      </c>
      <c r="G1799" s="27">
        <v>-133120</v>
      </c>
      <c r="H1799" s="27">
        <v>6192</v>
      </c>
      <c r="I1799" s="27">
        <v>28491</v>
      </c>
      <c r="J1799" s="27">
        <v>-49739</v>
      </c>
      <c r="K1799" s="27">
        <v>-104629</v>
      </c>
      <c r="L1799" s="69">
        <v>52.46</v>
      </c>
      <c r="M1799" s="27">
        <v>1250000</v>
      </c>
      <c r="N1799" s="69">
        <v>-0.4</v>
      </c>
      <c r="O1799" s="69">
        <v>-0.85</v>
      </c>
      <c r="P1799" s="69">
        <v>3.45</v>
      </c>
      <c r="Q1799" s="27">
        <v>95</v>
      </c>
      <c r="R1799" s="69">
        <v>17.440000000000001</v>
      </c>
      <c r="S1799" s="69">
        <v>1494.19</v>
      </c>
      <c r="X1799" s="2">
        <f t="shared" si="84"/>
        <v>0.05</v>
      </c>
      <c r="Y1799" s="2">
        <f>SUMIF(收盤價!A:A,A1799,收盤價!C:C)</f>
        <v>19.59</v>
      </c>
      <c r="Z1799" s="2">
        <f t="shared" si="85"/>
        <v>431250</v>
      </c>
      <c r="AA1799" s="2">
        <f t="shared" si="86"/>
        <v>2448750</v>
      </c>
    </row>
    <row r="1800" spans="1:27" ht="14.5" customHeight="1">
      <c r="A1800" s="7" t="s">
        <v>6195</v>
      </c>
      <c r="B1800" s="8" t="s">
        <v>3826</v>
      </c>
      <c r="C1800" s="27">
        <v>2479</v>
      </c>
      <c r="D1800" s="27">
        <v>2424</v>
      </c>
      <c r="E1800" s="69">
        <v>2.27</v>
      </c>
      <c r="F1800" s="27">
        <v>-65454</v>
      </c>
      <c r="G1800" s="27">
        <v>-45907</v>
      </c>
      <c r="H1800" s="27">
        <v>870</v>
      </c>
      <c r="I1800" s="27">
        <v>2006</v>
      </c>
      <c r="J1800" s="27">
        <v>-64584</v>
      </c>
      <c r="K1800" s="27">
        <v>-43901</v>
      </c>
      <c r="L1800" s="69">
        <v>-47.11</v>
      </c>
      <c r="M1800" s="27">
        <v>705010</v>
      </c>
      <c r="N1800" s="69">
        <v>-1.31</v>
      </c>
      <c r="O1800" s="69">
        <v>-1.08</v>
      </c>
      <c r="P1800" s="69">
        <v>11.16</v>
      </c>
      <c r="Q1800" s="27">
        <v>93</v>
      </c>
      <c r="R1800" s="69">
        <v>42.59</v>
      </c>
      <c r="S1800" s="69">
        <v>4200.7299999999996</v>
      </c>
      <c r="X1800" s="2">
        <f t="shared" si="84"/>
        <v>7.0000000000000007E-2</v>
      </c>
      <c r="Y1800" s="2">
        <f>SUMIF(收盤價!A:A,A1800,收盤價!C:C)</f>
        <v>80.42</v>
      </c>
      <c r="Z1800" s="2">
        <f t="shared" si="85"/>
        <v>786791.16</v>
      </c>
      <c r="AA1800" s="2">
        <f t="shared" si="86"/>
        <v>5669690.4199999999</v>
      </c>
    </row>
    <row r="1801" spans="1:27" ht="14.5" customHeight="1">
      <c r="A1801" s="7" t="s">
        <v>6196</v>
      </c>
      <c r="B1801" s="8" t="s">
        <v>3828</v>
      </c>
      <c r="C1801" s="27">
        <v>159957</v>
      </c>
      <c r="D1801" s="27">
        <v>173986</v>
      </c>
      <c r="E1801" s="69">
        <v>-8.06</v>
      </c>
      <c r="F1801" s="27">
        <v>10125</v>
      </c>
      <c r="G1801" s="27">
        <v>6478</v>
      </c>
      <c r="H1801" s="27">
        <v>454</v>
      </c>
      <c r="I1801" s="27">
        <v>-2002</v>
      </c>
      <c r="J1801" s="27">
        <v>7893</v>
      </c>
      <c r="K1801" s="27">
        <v>2032</v>
      </c>
      <c r="L1801" s="69">
        <v>288.44</v>
      </c>
      <c r="M1801" s="27">
        <v>207043</v>
      </c>
      <c r="N1801" s="69">
        <v>0.38</v>
      </c>
      <c r="O1801" s="69">
        <v>0.11</v>
      </c>
      <c r="P1801" s="69">
        <v>10.97</v>
      </c>
      <c r="Q1801" s="27">
        <v>61</v>
      </c>
      <c r="R1801" s="69">
        <v>2.19</v>
      </c>
      <c r="S1801" s="69">
        <v>179.21</v>
      </c>
      <c r="X1801" s="2">
        <f t="shared" si="84"/>
        <v>0.39</v>
      </c>
      <c r="Y1801" s="2">
        <f>SUMIF(收盤價!A:A,A1801,收盤價!C:C)</f>
        <v>28.11</v>
      </c>
      <c r="Z1801" s="2">
        <f t="shared" si="85"/>
        <v>227126.171</v>
      </c>
      <c r="AA1801" s="2">
        <f t="shared" si="86"/>
        <v>581997.87299999991</v>
      </c>
    </row>
    <row r="1802" spans="1:27" ht="14.5" customHeight="1">
      <c r="A1802" s="7" t="s">
        <v>6198</v>
      </c>
      <c r="B1802" s="8" t="s">
        <v>3830</v>
      </c>
      <c r="C1802" s="27">
        <v>848377</v>
      </c>
      <c r="D1802" s="27">
        <v>783025</v>
      </c>
      <c r="E1802" s="69">
        <v>8.35</v>
      </c>
      <c r="F1802" s="27">
        <v>145539</v>
      </c>
      <c r="G1802" s="27">
        <v>119429</v>
      </c>
      <c r="H1802" s="27">
        <v>3139</v>
      </c>
      <c r="I1802" s="27">
        <v>2081</v>
      </c>
      <c r="J1802" s="27">
        <v>115900</v>
      </c>
      <c r="K1802" s="27">
        <v>89383</v>
      </c>
      <c r="L1802" s="69">
        <v>29.67</v>
      </c>
      <c r="M1802" s="27">
        <v>452529</v>
      </c>
      <c r="N1802" s="69">
        <v>2.56</v>
      </c>
      <c r="O1802" s="69">
        <v>1.98</v>
      </c>
      <c r="P1802" s="69">
        <v>25.25</v>
      </c>
      <c r="Q1802" s="27">
        <v>56</v>
      </c>
      <c r="R1802" s="69">
        <v>2.12</v>
      </c>
      <c r="S1802" s="69">
        <v>189.23</v>
      </c>
      <c r="X1802" s="2">
        <f t="shared" si="84"/>
        <v>0.44</v>
      </c>
      <c r="Y1802" s="2">
        <f>SUMIF(收盤價!A:A,A1802,收盤價!C:C)</f>
        <v>149.13999999999999</v>
      </c>
      <c r="Z1802" s="2">
        <f t="shared" si="85"/>
        <v>1142635.7250000001</v>
      </c>
      <c r="AA1802" s="2">
        <f t="shared" si="86"/>
        <v>6749017.5059999991</v>
      </c>
    </row>
    <row r="1803" spans="1:27" ht="14.5" customHeight="1">
      <c r="A1803" s="7" t="s">
        <v>6200</v>
      </c>
      <c r="B1803" s="8" t="s">
        <v>3834</v>
      </c>
      <c r="C1803" s="27">
        <v>432302</v>
      </c>
      <c r="D1803" s="27">
        <v>434939</v>
      </c>
      <c r="E1803" s="69">
        <v>-0.61</v>
      </c>
      <c r="F1803" s="27">
        <v>26659</v>
      </c>
      <c r="G1803" s="27">
        <v>44153</v>
      </c>
      <c r="H1803" s="27">
        <v>-6007</v>
      </c>
      <c r="I1803" s="27">
        <v>-6047</v>
      </c>
      <c r="J1803" s="27">
        <v>18132</v>
      </c>
      <c r="K1803" s="27">
        <v>30792</v>
      </c>
      <c r="L1803" s="69">
        <v>-41.11</v>
      </c>
      <c r="M1803" s="27">
        <v>427450</v>
      </c>
      <c r="N1803" s="69">
        <v>0.42</v>
      </c>
      <c r="O1803" s="69">
        <v>0.72</v>
      </c>
      <c r="P1803" s="69">
        <v>14.27</v>
      </c>
      <c r="Q1803" s="27">
        <v>30</v>
      </c>
      <c r="R1803" s="69">
        <v>1.32</v>
      </c>
      <c r="S1803" s="69">
        <v>79.84</v>
      </c>
      <c r="X1803" s="2">
        <f t="shared" si="84"/>
        <v>0.7</v>
      </c>
      <c r="Y1803" s="2">
        <f>SUMIF(收盤價!A:A,A1803,收盤價!C:C)</f>
        <v>33.33</v>
      </c>
      <c r="Z1803" s="2">
        <f t="shared" si="85"/>
        <v>609971.15</v>
      </c>
      <c r="AA1803" s="2">
        <f t="shared" si="86"/>
        <v>1424690.85</v>
      </c>
    </row>
    <row r="1804" spans="1:27" ht="14.5" customHeight="1">
      <c r="A1804" s="7" t="s">
        <v>6213</v>
      </c>
      <c r="B1804" s="8" t="s">
        <v>3852</v>
      </c>
      <c r="C1804" s="27">
        <v>0</v>
      </c>
      <c r="D1804" s="27">
        <v>0</v>
      </c>
      <c r="E1804" s="28" t="s">
        <v>6571</v>
      </c>
      <c r="F1804" s="27">
        <v>-97331</v>
      </c>
      <c r="G1804" s="27">
        <v>-61014</v>
      </c>
      <c r="H1804" s="27">
        <v>505</v>
      </c>
      <c r="I1804" s="27">
        <v>1125</v>
      </c>
      <c r="J1804" s="27">
        <v>-91948</v>
      </c>
      <c r="K1804" s="27">
        <v>-47796</v>
      </c>
      <c r="L1804" s="69">
        <v>-92.38</v>
      </c>
      <c r="M1804" s="27">
        <v>595000</v>
      </c>
      <c r="N1804" s="69">
        <v>-1.55</v>
      </c>
      <c r="O1804" s="69">
        <v>-0.8</v>
      </c>
      <c r="P1804" s="69">
        <v>4.83</v>
      </c>
      <c r="Q1804" s="27">
        <v>93</v>
      </c>
      <c r="R1804" s="69">
        <v>10.46</v>
      </c>
      <c r="S1804" s="69">
        <v>1045.74</v>
      </c>
      <c r="X1804" s="2">
        <f t="shared" si="84"/>
        <v>7.0000000000000007E-2</v>
      </c>
      <c r="Y1804" s="2">
        <f>SUMIF(收盤價!A:A,A1804,收盤價!C:C)</f>
        <v>30.51</v>
      </c>
      <c r="Z1804" s="2">
        <f t="shared" si="85"/>
        <v>287385</v>
      </c>
      <c r="AA1804" s="2">
        <f t="shared" si="86"/>
        <v>1815345</v>
      </c>
    </row>
    <row r="1805" spans="1:27" ht="14.5" customHeight="1">
      <c r="A1805" s="7" t="s">
        <v>6216</v>
      </c>
      <c r="B1805" s="8" t="s">
        <v>3856</v>
      </c>
      <c r="C1805" s="27">
        <v>446530</v>
      </c>
      <c r="D1805" s="27">
        <v>448981</v>
      </c>
      <c r="E1805" s="69">
        <v>-0.55000000000000004</v>
      </c>
      <c r="F1805" s="27">
        <v>57404</v>
      </c>
      <c r="G1805" s="27">
        <v>101947</v>
      </c>
      <c r="H1805" s="27">
        <v>1800</v>
      </c>
      <c r="I1805" s="27">
        <v>6895</v>
      </c>
      <c r="J1805" s="27">
        <v>46887</v>
      </c>
      <c r="K1805" s="27">
        <v>87133</v>
      </c>
      <c r="L1805" s="69">
        <v>-46.19</v>
      </c>
      <c r="M1805" s="27">
        <v>178000</v>
      </c>
      <c r="N1805" s="69">
        <v>2.97</v>
      </c>
      <c r="O1805" s="69">
        <v>6.26</v>
      </c>
      <c r="P1805" s="69">
        <v>30.97</v>
      </c>
      <c r="Q1805" s="27">
        <v>65</v>
      </c>
      <c r="R1805" s="69">
        <v>2.8</v>
      </c>
      <c r="S1805" s="69">
        <v>249.66</v>
      </c>
      <c r="X1805" s="2">
        <f t="shared" si="84"/>
        <v>0.35</v>
      </c>
      <c r="Y1805" s="2">
        <f>SUMIF(收盤價!A:A,A1805,收盤價!C:C)</f>
        <v>75.06</v>
      </c>
      <c r="Z1805" s="2">
        <f t="shared" si="85"/>
        <v>551266</v>
      </c>
      <c r="AA1805" s="2">
        <f t="shared" si="86"/>
        <v>1336068</v>
      </c>
    </row>
    <row r="1806" spans="1:27" ht="14.5" customHeight="1">
      <c r="A1806" s="7" t="s">
        <v>6218</v>
      </c>
      <c r="B1806" s="8" t="s">
        <v>3862</v>
      </c>
      <c r="C1806" s="27">
        <v>0</v>
      </c>
      <c r="D1806" s="27">
        <v>0</v>
      </c>
      <c r="E1806" s="28" t="s">
        <v>6571</v>
      </c>
      <c r="F1806" s="27">
        <v>-35774</v>
      </c>
      <c r="G1806" s="27">
        <v>-64207</v>
      </c>
      <c r="H1806" s="27">
        <v>1172</v>
      </c>
      <c r="I1806" s="27">
        <v>302</v>
      </c>
      <c r="J1806" s="27">
        <v>-34602</v>
      </c>
      <c r="K1806" s="27">
        <v>-63905</v>
      </c>
      <c r="L1806" s="69">
        <v>45.85</v>
      </c>
      <c r="M1806" s="27">
        <v>442160</v>
      </c>
      <c r="N1806" s="69">
        <v>-0.78</v>
      </c>
      <c r="O1806" s="69">
        <v>-1.98</v>
      </c>
      <c r="P1806" s="69">
        <v>7.1</v>
      </c>
      <c r="Q1806" s="27">
        <v>96</v>
      </c>
      <c r="R1806" s="69">
        <v>36.630000000000003</v>
      </c>
      <c r="S1806" s="69">
        <v>3464.67</v>
      </c>
      <c r="X1806" s="2">
        <f t="shared" si="84"/>
        <v>0.04</v>
      </c>
      <c r="Y1806" s="2">
        <f>SUMIF(收盤價!A:A,A1806,收盤價!C:C)</f>
        <v>20</v>
      </c>
      <c r="Z1806" s="2">
        <f t="shared" si="85"/>
        <v>313933.59999999998</v>
      </c>
      <c r="AA1806" s="2">
        <f t="shared" si="86"/>
        <v>884320</v>
      </c>
    </row>
    <row r="1807" spans="1:27" ht="14.5" customHeight="1">
      <c r="A1807" s="7" t="s">
        <v>6219</v>
      </c>
      <c r="B1807" s="8" t="s">
        <v>3864</v>
      </c>
      <c r="C1807" s="27">
        <v>0</v>
      </c>
      <c r="D1807" s="27">
        <v>0</v>
      </c>
      <c r="E1807" s="28" t="s">
        <v>6571</v>
      </c>
      <c r="F1807" s="27">
        <v>-57519</v>
      </c>
      <c r="G1807" s="27">
        <v>-29683</v>
      </c>
      <c r="H1807" s="27">
        <v>11142</v>
      </c>
      <c r="I1807" s="27">
        <v>2907</v>
      </c>
      <c r="J1807" s="27">
        <v>-37113</v>
      </c>
      <c r="K1807" s="27">
        <v>-20459</v>
      </c>
      <c r="L1807" s="69">
        <v>-81.400000000000006</v>
      </c>
      <c r="M1807" s="27">
        <v>560000</v>
      </c>
      <c r="N1807" s="69">
        <v>-0.66</v>
      </c>
      <c r="O1807" s="69">
        <v>-0.42</v>
      </c>
      <c r="P1807" s="69">
        <v>16.05</v>
      </c>
      <c r="Q1807" s="27">
        <v>93</v>
      </c>
      <c r="R1807" s="69">
        <v>43.3</v>
      </c>
      <c r="S1807" s="69">
        <v>4289.96</v>
      </c>
      <c r="X1807" s="2">
        <f t="shared" si="84"/>
        <v>7.0000000000000007E-2</v>
      </c>
      <c r="Y1807" s="2">
        <f>SUMIF(收盤價!A:A,A1807,收盤價!C:C)</f>
        <v>161.22999999999999</v>
      </c>
      <c r="Z1807" s="2">
        <f t="shared" si="85"/>
        <v>898800</v>
      </c>
      <c r="AA1807" s="2">
        <f t="shared" si="86"/>
        <v>9028880</v>
      </c>
    </row>
    <row r="1808" spans="1:27" ht="14.5" customHeight="1">
      <c r="A1808" s="7" t="s">
        <v>6220</v>
      </c>
      <c r="B1808" s="8" t="s">
        <v>3866</v>
      </c>
      <c r="C1808" s="27">
        <v>82467</v>
      </c>
      <c r="D1808" s="27">
        <v>71368</v>
      </c>
      <c r="E1808" s="69">
        <v>15.55</v>
      </c>
      <c r="F1808" s="27">
        <v>-70862</v>
      </c>
      <c r="G1808" s="27">
        <v>-11743</v>
      </c>
      <c r="H1808" s="27">
        <v>-716</v>
      </c>
      <c r="I1808" s="27">
        <v>87</v>
      </c>
      <c r="J1808" s="27">
        <v>-71210</v>
      </c>
      <c r="K1808" s="27">
        <v>-11512</v>
      </c>
      <c r="L1808" s="69">
        <v>-518.57000000000005</v>
      </c>
      <c r="M1808" s="27">
        <v>192198</v>
      </c>
      <c r="N1808" s="69">
        <v>-3.81</v>
      </c>
      <c r="O1808" s="69">
        <v>-0.82</v>
      </c>
      <c r="P1808" s="69">
        <v>14.8</v>
      </c>
      <c r="Q1808" s="27">
        <v>46</v>
      </c>
      <c r="R1808" s="69">
        <v>0.98</v>
      </c>
      <c r="S1808" s="69">
        <v>64.5</v>
      </c>
      <c r="X1808" s="2">
        <f t="shared" si="84"/>
        <v>0.54</v>
      </c>
      <c r="Y1808" s="2">
        <f>SUMIF(收盤價!A:A,A1808,收盤價!C:C)</f>
        <v>26.17</v>
      </c>
      <c r="Z1808" s="2">
        <f t="shared" si="85"/>
        <v>284453.03999999998</v>
      </c>
      <c r="AA1808" s="2">
        <f t="shared" si="86"/>
        <v>502982.16600000003</v>
      </c>
    </row>
    <row r="1809" spans="1:27" ht="14.5" customHeight="1">
      <c r="A1809" s="7" t="s">
        <v>6233</v>
      </c>
      <c r="B1809" s="8" t="s">
        <v>3890</v>
      </c>
      <c r="C1809" s="27">
        <v>566</v>
      </c>
      <c r="D1809" s="27">
        <v>0</v>
      </c>
      <c r="E1809" s="28" t="s">
        <v>6571</v>
      </c>
      <c r="F1809" s="27">
        <v>-76004</v>
      </c>
      <c r="G1809" s="27">
        <v>-78158</v>
      </c>
      <c r="H1809" s="27">
        <v>1770</v>
      </c>
      <c r="I1809" s="27">
        <v>551</v>
      </c>
      <c r="J1809" s="27">
        <v>-74234</v>
      </c>
      <c r="K1809" s="27">
        <v>-77607</v>
      </c>
      <c r="L1809" s="69">
        <v>4.3499999999999996</v>
      </c>
      <c r="M1809" s="27">
        <v>820000</v>
      </c>
      <c r="N1809" s="69">
        <v>-0.92</v>
      </c>
      <c r="O1809" s="69">
        <v>-1.39</v>
      </c>
      <c r="P1809" s="69">
        <v>8.27</v>
      </c>
      <c r="Q1809" s="27">
        <v>97</v>
      </c>
      <c r="R1809" s="69">
        <v>40.58</v>
      </c>
      <c r="S1809" s="69">
        <v>3905.85</v>
      </c>
      <c r="X1809" s="2">
        <f t="shared" si="84"/>
        <v>0.03</v>
      </c>
      <c r="Y1809" s="2">
        <f>SUMIF(收盤價!A:A,A1809,收盤價!C:C)</f>
        <v>29.87</v>
      </c>
      <c r="Z1809" s="2">
        <f t="shared" si="85"/>
        <v>678140</v>
      </c>
      <c r="AA1809" s="2">
        <f t="shared" si="86"/>
        <v>2449340</v>
      </c>
    </row>
    <row r="1810" spans="1:27" ht="14.5" customHeight="1">
      <c r="A1810" s="7" t="s">
        <v>6234</v>
      </c>
      <c r="B1810" s="8" t="s">
        <v>3892</v>
      </c>
      <c r="C1810" s="27">
        <v>16896</v>
      </c>
      <c r="D1810" s="27">
        <v>4374</v>
      </c>
      <c r="E1810" s="69">
        <v>286.27999999999997</v>
      </c>
      <c r="F1810" s="27">
        <v>-44089</v>
      </c>
      <c r="G1810" s="27">
        <v>-50329</v>
      </c>
      <c r="H1810" s="27">
        <v>1588</v>
      </c>
      <c r="I1810" s="27">
        <v>563</v>
      </c>
      <c r="J1810" s="27">
        <v>-42501</v>
      </c>
      <c r="K1810" s="27">
        <v>-49766</v>
      </c>
      <c r="L1810" s="69">
        <v>14.6</v>
      </c>
      <c r="M1810" s="27">
        <v>491592</v>
      </c>
      <c r="N1810" s="69">
        <v>-0.89</v>
      </c>
      <c r="O1810" s="69">
        <v>-1.1100000000000001</v>
      </c>
      <c r="P1810" s="69">
        <v>4.3499999999999996</v>
      </c>
      <c r="Q1810" s="27">
        <v>90</v>
      </c>
      <c r="R1810" s="69">
        <v>11.54</v>
      </c>
      <c r="S1810" s="69">
        <v>972.26</v>
      </c>
      <c r="X1810" s="2">
        <f t="shared" si="84"/>
        <v>0.1</v>
      </c>
      <c r="Y1810" s="2">
        <f>SUMIF(收盤價!A:A,A1810,收盤價!C:C)</f>
        <v>18.02</v>
      </c>
      <c r="Z1810" s="2">
        <f t="shared" si="85"/>
        <v>213842.51999999996</v>
      </c>
      <c r="AA1810" s="2">
        <f t="shared" si="86"/>
        <v>885848.78399999999</v>
      </c>
    </row>
    <row r="1811" spans="1:27" ht="14.5" customHeight="1">
      <c r="A1811" s="7" t="s">
        <v>6182</v>
      </c>
      <c r="B1811" s="8" t="s">
        <v>3814</v>
      </c>
      <c r="C1811" s="27">
        <v>93426</v>
      </c>
      <c r="D1811" s="27">
        <v>88779</v>
      </c>
      <c r="E1811" s="69">
        <v>5.23</v>
      </c>
      <c r="F1811" s="27">
        <v>12360</v>
      </c>
      <c r="G1811" s="27">
        <v>9318</v>
      </c>
      <c r="H1811" s="27">
        <v>-4509</v>
      </c>
      <c r="I1811" s="27">
        <v>9583</v>
      </c>
      <c r="J1811" s="27">
        <v>5971</v>
      </c>
      <c r="K1811" s="27">
        <v>15027</v>
      </c>
      <c r="L1811" s="69">
        <v>-60.26</v>
      </c>
      <c r="M1811" s="27">
        <v>414297</v>
      </c>
      <c r="N1811" s="69">
        <v>0.14000000000000001</v>
      </c>
      <c r="O1811" s="69">
        <v>0.36</v>
      </c>
      <c r="P1811" s="69">
        <v>10.73</v>
      </c>
      <c r="Q1811" s="27">
        <v>81</v>
      </c>
      <c r="R1811" s="69">
        <v>1.34</v>
      </c>
      <c r="S1811" s="69">
        <v>126.73</v>
      </c>
      <c r="X1811" s="2">
        <f t="shared" si="84"/>
        <v>0.19</v>
      </c>
      <c r="Y1811" s="2">
        <f>SUMIF(收盤價!A:A,A1811,收盤價!C:C)</f>
        <v>19.2</v>
      </c>
      <c r="Z1811" s="2">
        <f t="shared" si="85"/>
        <v>444540.68100000004</v>
      </c>
      <c r="AA1811" s="2">
        <f t="shared" si="86"/>
        <v>795450.24</v>
      </c>
    </row>
    <row r="1812" spans="1:27" ht="14.5" customHeight="1">
      <c r="A1812" s="7" t="s">
        <v>6013</v>
      </c>
      <c r="B1812" s="8" t="s">
        <v>3544</v>
      </c>
      <c r="C1812" s="27">
        <v>131531</v>
      </c>
      <c r="D1812" s="27">
        <v>136974</v>
      </c>
      <c r="E1812" s="69">
        <v>-3.97</v>
      </c>
      <c r="F1812" s="27">
        <v>7485</v>
      </c>
      <c r="G1812" s="27">
        <v>1114</v>
      </c>
      <c r="H1812" s="27">
        <v>2080</v>
      </c>
      <c r="I1812" s="27">
        <v>1475</v>
      </c>
      <c r="J1812" s="27">
        <v>9565</v>
      </c>
      <c r="K1812" s="27">
        <v>2589</v>
      </c>
      <c r="L1812" s="69">
        <v>269.45</v>
      </c>
      <c r="M1812" s="27">
        <v>375820</v>
      </c>
      <c r="N1812" s="69">
        <v>0.25</v>
      </c>
      <c r="O1812" s="69">
        <v>7.0000000000000007E-2</v>
      </c>
      <c r="P1812" s="69">
        <v>6.85</v>
      </c>
      <c r="Q1812" s="27">
        <v>84</v>
      </c>
      <c r="R1812" s="69">
        <v>6.46</v>
      </c>
      <c r="S1812" s="69">
        <v>515.59</v>
      </c>
      <c r="X1812" s="2">
        <f t="shared" si="84"/>
        <v>0.16</v>
      </c>
      <c r="Y1812" s="2">
        <f>SUMIF(收盤價!A:A,A1812,收盤價!C:C)</f>
        <v>7.8</v>
      </c>
      <c r="Z1812" s="2">
        <f t="shared" si="85"/>
        <v>257436.7</v>
      </c>
      <c r="AA1812" s="2">
        <f t="shared" si="86"/>
        <v>293139.59999999998</v>
      </c>
    </row>
    <row r="1813" spans="1:27" ht="14.5" customHeight="1">
      <c r="A1813" s="7" t="s">
        <v>6026</v>
      </c>
      <c r="B1813" s="8" t="s">
        <v>7093</v>
      </c>
      <c r="C1813" s="27">
        <v>6758501</v>
      </c>
      <c r="D1813" s="27">
        <v>4429319</v>
      </c>
      <c r="E1813" s="69">
        <v>52.59</v>
      </c>
      <c r="F1813" s="27">
        <v>408409</v>
      </c>
      <c r="G1813" s="27">
        <v>172762</v>
      </c>
      <c r="H1813" s="27">
        <v>21160</v>
      </c>
      <c r="I1813" s="27">
        <v>21403</v>
      </c>
      <c r="J1813" s="27">
        <v>368531</v>
      </c>
      <c r="K1813" s="27">
        <v>170773</v>
      </c>
      <c r="L1813" s="69">
        <v>115.8</v>
      </c>
      <c r="M1813" s="27">
        <v>703200</v>
      </c>
      <c r="N1813" s="69">
        <v>5.67</v>
      </c>
      <c r="O1813" s="69">
        <v>2.65</v>
      </c>
      <c r="P1813" s="69">
        <v>61.25</v>
      </c>
      <c r="Q1813" s="27">
        <v>50</v>
      </c>
      <c r="R1813" s="69">
        <v>1.8</v>
      </c>
      <c r="S1813" s="69">
        <v>143.97999999999999</v>
      </c>
      <c r="X1813" s="2">
        <f t="shared" si="84"/>
        <v>0.5</v>
      </c>
      <c r="Y1813" s="2">
        <f>SUMIF(收盤價!A:A,A1813,收盤價!C:C)</f>
        <v>101.42</v>
      </c>
      <c r="Z1813" s="2">
        <f t="shared" si="85"/>
        <v>4307100</v>
      </c>
      <c r="AA1813" s="2">
        <f t="shared" si="86"/>
        <v>7131854.4000000004</v>
      </c>
    </row>
    <row r="1814" spans="1:27" ht="14.5" customHeight="1">
      <c r="A1814" s="7" t="s">
        <v>6084</v>
      </c>
      <c r="B1814" s="8" t="s">
        <v>7094</v>
      </c>
      <c r="C1814" s="27">
        <v>344439</v>
      </c>
      <c r="D1814" s="27">
        <v>375170</v>
      </c>
      <c r="E1814" s="69">
        <v>-8.19</v>
      </c>
      <c r="F1814" s="27">
        <v>18612</v>
      </c>
      <c r="G1814" s="27">
        <v>29936</v>
      </c>
      <c r="H1814" s="27">
        <v>5984</v>
      </c>
      <c r="I1814" s="27">
        <v>4251</v>
      </c>
      <c r="J1814" s="27">
        <v>20137</v>
      </c>
      <c r="K1814" s="27">
        <v>27350</v>
      </c>
      <c r="L1814" s="69">
        <v>-26.37</v>
      </c>
      <c r="M1814" s="27">
        <v>250000</v>
      </c>
      <c r="N1814" s="69">
        <v>0.81</v>
      </c>
      <c r="O1814" s="69">
        <v>1.37</v>
      </c>
      <c r="P1814" s="69">
        <v>17.57</v>
      </c>
      <c r="Q1814" s="27">
        <v>70</v>
      </c>
      <c r="R1814" s="69">
        <v>3.77</v>
      </c>
      <c r="S1814" s="69">
        <v>299.07</v>
      </c>
      <c r="X1814" s="2">
        <f t="shared" si="84"/>
        <v>0.3</v>
      </c>
      <c r="Y1814" s="2">
        <f>SUMIF(收盤價!A:A,A1814,收盤價!C:C)</f>
        <v>23.98</v>
      </c>
      <c r="Z1814" s="2">
        <f t="shared" si="85"/>
        <v>439250</v>
      </c>
      <c r="AA1814" s="2">
        <f t="shared" si="86"/>
        <v>599500</v>
      </c>
    </row>
    <row r="1815" spans="1:27" ht="14.5" customHeight="1">
      <c r="A1815" s="7" t="s">
        <v>6085</v>
      </c>
      <c r="B1815" s="8" t="s">
        <v>3658</v>
      </c>
      <c r="C1815" s="27">
        <v>372167</v>
      </c>
      <c r="D1815" s="27">
        <v>353453</v>
      </c>
      <c r="E1815" s="69">
        <v>5.29</v>
      </c>
      <c r="F1815" s="27">
        <v>-87579</v>
      </c>
      <c r="G1815" s="27">
        <v>-43924</v>
      </c>
      <c r="H1815" s="27">
        <v>132534</v>
      </c>
      <c r="I1815" s="27">
        <v>29161</v>
      </c>
      <c r="J1815" s="27">
        <v>50508</v>
      </c>
      <c r="K1815" s="27">
        <v>2545</v>
      </c>
      <c r="L1815" s="28" t="s">
        <v>6378</v>
      </c>
      <c r="M1815" s="27">
        <v>697365</v>
      </c>
      <c r="N1815" s="69">
        <v>0.74</v>
      </c>
      <c r="O1815" s="69">
        <v>0.04</v>
      </c>
      <c r="P1815" s="69">
        <v>19.82</v>
      </c>
      <c r="Q1815" s="27">
        <v>81</v>
      </c>
      <c r="R1815" s="69">
        <v>7.68</v>
      </c>
      <c r="S1815" s="69">
        <v>717.1</v>
      </c>
      <c r="X1815" s="2">
        <f t="shared" si="84"/>
        <v>0.19</v>
      </c>
      <c r="Y1815" s="2">
        <f>SUMIF(收盤價!A:A,A1815,收盤價!C:C)</f>
        <v>18.29</v>
      </c>
      <c r="Z1815" s="2">
        <f t="shared" si="85"/>
        <v>1382177.4300000002</v>
      </c>
      <c r="AA1815" s="2">
        <f t="shared" si="86"/>
        <v>1275480.585</v>
      </c>
    </row>
    <row r="1816" spans="1:27" ht="14.5" customHeight="1">
      <c r="A1816" s="7" t="s">
        <v>6087</v>
      </c>
      <c r="B1816" s="8" t="s">
        <v>3660</v>
      </c>
      <c r="C1816" s="27">
        <v>177758</v>
      </c>
      <c r="D1816" s="27">
        <v>178483</v>
      </c>
      <c r="E1816" s="69">
        <v>-0.41</v>
      </c>
      <c r="F1816" s="27">
        <v>24041</v>
      </c>
      <c r="G1816" s="27">
        <v>32451</v>
      </c>
      <c r="H1816" s="27">
        <v>6058</v>
      </c>
      <c r="I1816" s="27">
        <v>6258</v>
      </c>
      <c r="J1816" s="27">
        <v>23298</v>
      </c>
      <c r="K1816" s="27">
        <v>34850</v>
      </c>
      <c r="L1816" s="69">
        <v>-33.15</v>
      </c>
      <c r="M1816" s="27">
        <v>260000</v>
      </c>
      <c r="N1816" s="69">
        <v>0.9</v>
      </c>
      <c r="O1816" s="69">
        <v>1.53</v>
      </c>
      <c r="P1816" s="69">
        <v>15.74</v>
      </c>
      <c r="Q1816" s="27">
        <v>77</v>
      </c>
      <c r="R1816" s="69">
        <v>4.62</v>
      </c>
      <c r="S1816" s="69">
        <v>422.04</v>
      </c>
      <c r="X1816" s="2">
        <f t="shared" si="84"/>
        <v>0.23</v>
      </c>
      <c r="Y1816" s="2">
        <f>SUMIF(收盤價!A:A,A1816,收盤價!C:C)</f>
        <v>38.450000000000003</v>
      </c>
      <c r="Z1816" s="2">
        <f t="shared" si="85"/>
        <v>409240</v>
      </c>
      <c r="AA1816" s="2">
        <f t="shared" si="86"/>
        <v>999700</v>
      </c>
    </row>
    <row r="1817" spans="1:27" ht="14.5" customHeight="1">
      <c r="A1817" s="7" t="s">
        <v>6088</v>
      </c>
      <c r="B1817" s="8" t="s">
        <v>7095</v>
      </c>
      <c r="C1817" s="27">
        <v>144748</v>
      </c>
      <c r="D1817" s="27">
        <v>142948</v>
      </c>
      <c r="E1817" s="69">
        <v>1.26</v>
      </c>
      <c r="F1817" s="27">
        <v>19950</v>
      </c>
      <c r="G1817" s="27">
        <v>19314</v>
      </c>
      <c r="H1817" s="27">
        <v>1941</v>
      </c>
      <c r="I1817" s="27">
        <v>2680</v>
      </c>
      <c r="J1817" s="27">
        <v>18623</v>
      </c>
      <c r="K1817" s="27">
        <v>21987</v>
      </c>
      <c r="L1817" s="69">
        <v>-15.3</v>
      </c>
      <c r="M1817" s="27">
        <v>325423</v>
      </c>
      <c r="N1817" s="69">
        <v>0.56999999999999995</v>
      </c>
      <c r="O1817" s="69">
        <v>0.68</v>
      </c>
      <c r="P1817" s="69">
        <v>16.27</v>
      </c>
      <c r="Q1817" s="27">
        <v>81</v>
      </c>
      <c r="R1817" s="69">
        <v>4.01</v>
      </c>
      <c r="S1817" s="69">
        <v>359.51</v>
      </c>
      <c r="X1817" s="2">
        <f t="shared" si="84"/>
        <v>0.19</v>
      </c>
      <c r="Y1817" s="2">
        <f>SUMIF(收盤價!A:A,A1817,收盤價!C:C)</f>
        <v>14.98</v>
      </c>
      <c r="Z1817" s="2">
        <f t="shared" si="85"/>
        <v>529463.22100000002</v>
      </c>
      <c r="AA1817" s="2">
        <f t="shared" si="86"/>
        <v>487483.65399999998</v>
      </c>
    </row>
    <row r="1818" spans="1:27" ht="14.5" customHeight="1">
      <c r="A1818" s="7" t="s">
        <v>6091</v>
      </c>
      <c r="B1818" s="8" t="s">
        <v>7096</v>
      </c>
      <c r="C1818" s="27">
        <v>207090</v>
      </c>
      <c r="D1818" s="27">
        <v>182580</v>
      </c>
      <c r="E1818" s="69">
        <v>13.42</v>
      </c>
      <c r="F1818" s="27">
        <v>52530</v>
      </c>
      <c r="G1818" s="27">
        <v>39566</v>
      </c>
      <c r="H1818" s="27">
        <v>-6341</v>
      </c>
      <c r="I1818" s="27">
        <v>-3575</v>
      </c>
      <c r="J1818" s="27">
        <v>39561</v>
      </c>
      <c r="K1818" s="27">
        <v>29347</v>
      </c>
      <c r="L1818" s="69">
        <v>34.799999999999997</v>
      </c>
      <c r="M1818" s="27">
        <v>367626</v>
      </c>
      <c r="N1818" s="69">
        <v>1.1299999999999999</v>
      </c>
      <c r="O1818" s="69">
        <v>0.85</v>
      </c>
      <c r="P1818" s="69">
        <v>12.47</v>
      </c>
      <c r="Q1818" s="27">
        <v>66</v>
      </c>
      <c r="R1818" s="69">
        <v>2.21</v>
      </c>
      <c r="S1818" s="69">
        <v>87.8</v>
      </c>
      <c r="X1818" s="2">
        <f t="shared" si="84"/>
        <v>0.34</v>
      </c>
      <c r="Y1818" s="2">
        <f>SUMIF(收盤價!A:A,A1818,收盤價!C:C)</f>
        <v>81.23</v>
      </c>
      <c r="Z1818" s="2">
        <f t="shared" si="85"/>
        <v>458429.62200000009</v>
      </c>
      <c r="AA1818" s="2">
        <f t="shared" si="86"/>
        <v>2986225.9980000001</v>
      </c>
    </row>
    <row r="1819" spans="1:27" ht="14.5" customHeight="1">
      <c r="A1819" s="7" t="s">
        <v>6099</v>
      </c>
      <c r="B1819" s="8" t="s">
        <v>7097</v>
      </c>
      <c r="C1819" s="27">
        <v>712598</v>
      </c>
      <c r="D1819" s="27">
        <v>951987</v>
      </c>
      <c r="E1819" s="69">
        <v>-25.15</v>
      </c>
      <c r="F1819" s="27">
        <v>-13102</v>
      </c>
      <c r="G1819" s="27">
        <v>-42605</v>
      </c>
      <c r="H1819" s="27">
        <v>-4088</v>
      </c>
      <c r="I1819" s="27">
        <v>-2101</v>
      </c>
      <c r="J1819" s="27">
        <v>-17190</v>
      </c>
      <c r="K1819" s="27">
        <v>-46676</v>
      </c>
      <c r="L1819" s="69">
        <v>63.17</v>
      </c>
      <c r="M1819" s="27">
        <v>506986</v>
      </c>
      <c r="N1819" s="69">
        <v>-0.34</v>
      </c>
      <c r="O1819" s="69">
        <v>-0.92</v>
      </c>
      <c r="P1819" s="69">
        <v>6.64</v>
      </c>
      <c r="Q1819" s="27">
        <v>35</v>
      </c>
      <c r="R1819" s="69">
        <v>1.39</v>
      </c>
      <c r="S1819" s="69">
        <v>83.91</v>
      </c>
      <c r="X1819" s="2">
        <f t="shared" si="84"/>
        <v>0.65</v>
      </c>
      <c r="Y1819" s="2">
        <f>SUMIF(收盤價!A:A,A1819,收盤價!C:C)</f>
        <v>4.0999999999999996</v>
      </c>
      <c r="Z1819" s="2">
        <f t="shared" si="85"/>
        <v>336638.70400000003</v>
      </c>
      <c r="AA1819" s="2">
        <f t="shared" si="86"/>
        <v>207864.25999999998</v>
      </c>
    </row>
    <row r="1820" spans="1:27" ht="14.5" customHeight="1">
      <c r="A1820" s="7" t="s">
        <v>6106</v>
      </c>
      <c r="B1820" s="8" t="s">
        <v>3694</v>
      </c>
      <c r="C1820" s="27">
        <v>147469</v>
      </c>
      <c r="D1820" s="27">
        <v>147684</v>
      </c>
      <c r="E1820" s="69">
        <v>-0.15</v>
      </c>
      <c r="F1820" s="27">
        <v>11974</v>
      </c>
      <c r="G1820" s="27">
        <v>3057</v>
      </c>
      <c r="H1820" s="27">
        <v>3898</v>
      </c>
      <c r="I1820" s="27">
        <v>4679</v>
      </c>
      <c r="J1820" s="27">
        <v>11298</v>
      </c>
      <c r="K1820" s="27">
        <v>8040</v>
      </c>
      <c r="L1820" s="69">
        <v>40.520000000000003</v>
      </c>
      <c r="M1820" s="27">
        <v>235070</v>
      </c>
      <c r="N1820" s="69">
        <v>0.48</v>
      </c>
      <c r="O1820" s="69">
        <v>0.34</v>
      </c>
      <c r="P1820" s="69">
        <v>11.35</v>
      </c>
      <c r="Q1820" s="27">
        <v>56</v>
      </c>
      <c r="R1820" s="69">
        <v>2.4700000000000002</v>
      </c>
      <c r="S1820" s="69">
        <v>173.42</v>
      </c>
      <c r="X1820" s="2">
        <f t="shared" si="84"/>
        <v>0.44</v>
      </c>
      <c r="Y1820" s="2">
        <f>SUMIF(收盤價!A:A,A1820,收盤價!C:C)</f>
        <v>11.87</v>
      </c>
      <c r="Z1820" s="2">
        <f t="shared" si="85"/>
        <v>266804.45</v>
      </c>
      <c r="AA1820" s="2">
        <f t="shared" si="86"/>
        <v>279028.08999999997</v>
      </c>
    </row>
    <row r="1821" spans="1:27" ht="14.5" customHeight="1">
      <c r="A1821" s="7" t="s">
        <v>6115</v>
      </c>
      <c r="B1821" s="8" t="s">
        <v>3712</v>
      </c>
      <c r="C1821" s="27">
        <v>69755</v>
      </c>
      <c r="D1821" s="27">
        <v>54878</v>
      </c>
      <c r="E1821" s="69">
        <v>27.11</v>
      </c>
      <c r="F1821" s="27">
        <v>15442</v>
      </c>
      <c r="G1821" s="27">
        <v>9043</v>
      </c>
      <c r="H1821" s="27">
        <v>831</v>
      </c>
      <c r="I1821" s="27">
        <v>674</v>
      </c>
      <c r="J1821" s="27">
        <v>12649</v>
      </c>
      <c r="K1821" s="27">
        <v>8726</v>
      </c>
      <c r="L1821" s="69">
        <v>44.96</v>
      </c>
      <c r="M1821" s="27">
        <v>268100</v>
      </c>
      <c r="N1821" s="69">
        <v>0.47</v>
      </c>
      <c r="O1821" s="69">
        <v>0.33</v>
      </c>
      <c r="P1821" s="69">
        <v>8.93</v>
      </c>
      <c r="Q1821" s="27">
        <v>91</v>
      </c>
      <c r="R1821" s="69">
        <v>9.7200000000000006</v>
      </c>
      <c r="S1821" s="69">
        <v>968.53</v>
      </c>
      <c r="X1821" s="2">
        <f t="shared" si="84"/>
        <v>0.09</v>
      </c>
      <c r="Y1821" s="2">
        <f>SUMIF(收盤價!A:A,A1821,收盤價!C:C)</f>
        <v>51</v>
      </c>
      <c r="Z1821" s="2">
        <f t="shared" si="85"/>
        <v>239413.3</v>
      </c>
      <c r="AA1821" s="2">
        <f t="shared" si="86"/>
        <v>1367310</v>
      </c>
    </row>
    <row r="1822" spans="1:27" ht="14.5" customHeight="1">
      <c r="A1822" s="7" t="s">
        <v>6144</v>
      </c>
      <c r="B1822" s="8" t="s">
        <v>3748</v>
      </c>
      <c r="C1822" s="27">
        <v>62727</v>
      </c>
      <c r="D1822" s="27">
        <v>116905</v>
      </c>
      <c r="E1822" s="69">
        <v>-46.34</v>
      </c>
      <c r="F1822" s="27">
        <v>-20199</v>
      </c>
      <c r="G1822" s="27">
        <v>5003</v>
      </c>
      <c r="H1822" s="27">
        <v>646</v>
      </c>
      <c r="I1822" s="27">
        <v>424</v>
      </c>
      <c r="J1822" s="27">
        <v>-19553</v>
      </c>
      <c r="K1822" s="27">
        <v>5427</v>
      </c>
      <c r="L1822" s="69">
        <v>-460.29</v>
      </c>
      <c r="M1822" s="27">
        <v>220100</v>
      </c>
      <c r="N1822" s="69">
        <v>-0.89</v>
      </c>
      <c r="O1822" s="69">
        <v>0.32</v>
      </c>
      <c r="P1822" s="69">
        <v>6.92</v>
      </c>
      <c r="Q1822" s="27">
        <v>88</v>
      </c>
      <c r="R1822" s="69">
        <v>7.83</v>
      </c>
      <c r="S1822" s="69">
        <v>445.81</v>
      </c>
      <c r="X1822" s="2">
        <f t="shared" si="84"/>
        <v>0.12</v>
      </c>
      <c r="Y1822" s="2">
        <f>SUMIF(收盤價!A:A,A1822,收盤價!C:C)</f>
        <v>5.98</v>
      </c>
      <c r="Z1822" s="2">
        <f t="shared" si="85"/>
        <v>152309.20000000001</v>
      </c>
      <c r="AA1822" s="2">
        <f t="shared" si="86"/>
        <v>131619.79999999999</v>
      </c>
    </row>
    <row r="1823" spans="1:27" ht="14.5" customHeight="1">
      <c r="A1823" s="7" t="s">
        <v>6189</v>
      </c>
      <c r="B1823" s="8" t="s">
        <v>3822</v>
      </c>
      <c r="C1823" s="27">
        <v>477724</v>
      </c>
      <c r="D1823" s="27">
        <v>446627</v>
      </c>
      <c r="E1823" s="69">
        <v>6.96</v>
      </c>
      <c r="F1823" s="27">
        <v>57615</v>
      </c>
      <c r="G1823" s="27">
        <v>62768</v>
      </c>
      <c r="H1823" s="27">
        <v>-2523</v>
      </c>
      <c r="I1823" s="27">
        <v>-2335</v>
      </c>
      <c r="J1823" s="27">
        <v>42459</v>
      </c>
      <c r="K1823" s="27">
        <v>48594</v>
      </c>
      <c r="L1823" s="69">
        <v>-12.63</v>
      </c>
      <c r="M1823" s="27">
        <v>260027</v>
      </c>
      <c r="N1823" s="69">
        <v>1.63</v>
      </c>
      <c r="O1823" s="69">
        <v>1.87</v>
      </c>
      <c r="P1823" s="69">
        <v>17</v>
      </c>
      <c r="Q1823" s="27">
        <v>48</v>
      </c>
      <c r="R1823" s="69">
        <v>1.89</v>
      </c>
      <c r="S1823" s="69">
        <v>120.07</v>
      </c>
      <c r="X1823" s="2">
        <f t="shared" si="84"/>
        <v>0.52</v>
      </c>
      <c r="Y1823" s="2">
        <f>SUMIF(收盤價!A:A,A1823,收盤價!C:C)</f>
        <v>53.11</v>
      </c>
      <c r="Z1823" s="2">
        <f t="shared" si="85"/>
        <v>442045.9</v>
      </c>
      <c r="AA1823" s="2">
        <f t="shared" si="86"/>
        <v>1381003.3970000001</v>
      </c>
    </row>
    <row r="1824" spans="1:27" ht="14.5" customHeight="1">
      <c r="A1824" s="7" t="s">
        <v>6205</v>
      </c>
      <c r="B1824" s="8" t="s">
        <v>3838</v>
      </c>
      <c r="C1824" s="27">
        <v>117281</v>
      </c>
      <c r="D1824" s="27">
        <v>185874</v>
      </c>
      <c r="E1824" s="69">
        <v>-36.9</v>
      </c>
      <c r="F1824" s="27">
        <v>-4868</v>
      </c>
      <c r="G1824" s="27">
        <v>42731</v>
      </c>
      <c r="H1824" s="27">
        <v>2730</v>
      </c>
      <c r="I1824" s="27">
        <v>4648</v>
      </c>
      <c r="J1824" s="27">
        <v>-2670</v>
      </c>
      <c r="K1824" s="27">
        <v>35045</v>
      </c>
      <c r="L1824" s="69">
        <v>-107.62</v>
      </c>
      <c r="M1824" s="27">
        <v>209010</v>
      </c>
      <c r="N1824" s="69">
        <v>-0.13</v>
      </c>
      <c r="O1824" s="69">
        <v>1.71</v>
      </c>
      <c r="P1824" s="69">
        <v>15.36</v>
      </c>
      <c r="Q1824" s="27">
        <v>80</v>
      </c>
      <c r="R1824" s="69">
        <v>4.95</v>
      </c>
      <c r="S1824" s="69">
        <v>443.14</v>
      </c>
      <c r="X1824" s="2">
        <f t="shared" si="84"/>
        <v>0.2</v>
      </c>
      <c r="Y1824" s="2">
        <f>SUMIF(收盤價!A:A,A1824,收盤價!C:C)</f>
        <v>26.16</v>
      </c>
      <c r="Z1824" s="2">
        <f t="shared" si="85"/>
        <v>321039.35999999999</v>
      </c>
      <c r="AA1824" s="2">
        <f t="shared" si="86"/>
        <v>546770.15999999992</v>
      </c>
    </row>
    <row r="1825" spans="1:27" ht="14.5" customHeight="1">
      <c r="A1825" s="7" t="s">
        <v>6211</v>
      </c>
      <c r="B1825" s="8" t="s">
        <v>3848</v>
      </c>
      <c r="C1825" s="27">
        <v>381793</v>
      </c>
      <c r="D1825" s="27">
        <v>344989</v>
      </c>
      <c r="E1825" s="69">
        <v>10.67</v>
      </c>
      <c r="F1825" s="27">
        <v>12020</v>
      </c>
      <c r="G1825" s="27">
        <v>21569</v>
      </c>
      <c r="H1825" s="27">
        <v>4414</v>
      </c>
      <c r="I1825" s="27">
        <v>1760</v>
      </c>
      <c r="J1825" s="27">
        <v>13144</v>
      </c>
      <c r="K1825" s="27">
        <v>18721</v>
      </c>
      <c r="L1825" s="69">
        <v>-29.79</v>
      </c>
      <c r="M1825" s="27">
        <v>406400</v>
      </c>
      <c r="N1825" s="69">
        <v>0.32</v>
      </c>
      <c r="O1825" s="69">
        <v>0.53</v>
      </c>
      <c r="P1825" s="69">
        <v>9.49</v>
      </c>
      <c r="Q1825" s="27">
        <v>63</v>
      </c>
      <c r="R1825" s="69">
        <v>1.97</v>
      </c>
      <c r="S1825" s="69">
        <v>138.02000000000001</v>
      </c>
      <c r="X1825" s="2">
        <f t="shared" si="84"/>
        <v>0.37</v>
      </c>
      <c r="Y1825" s="2">
        <f>SUMIF(收盤價!A:A,A1825,收盤價!C:C)</f>
        <v>27.16</v>
      </c>
      <c r="Z1825" s="2">
        <f t="shared" si="85"/>
        <v>385673.6</v>
      </c>
      <c r="AA1825" s="2">
        <f t="shared" si="86"/>
        <v>1103782.3999999999</v>
      </c>
    </row>
    <row r="1826" spans="1:27" ht="14.5" customHeight="1">
      <c r="A1826" s="7" t="s">
        <v>6212</v>
      </c>
      <c r="B1826" s="8" t="s">
        <v>3850</v>
      </c>
      <c r="C1826" s="27">
        <v>403102</v>
      </c>
      <c r="D1826" s="27">
        <v>434810</v>
      </c>
      <c r="E1826" s="69">
        <v>-7.29</v>
      </c>
      <c r="F1826" s="27">
        <v>-64632</v>
      </c>
      <c r="G1826" s="27">
        <v>-39937</v>
      </c>
      <c r="H1826" s="27">
        <v>5153</v>
      </c>
      <c r="I1826" s="27">
        <v>3377</v>
      </c>
      <c r="J1826" s="27">
        <v>-59479</v>
      </c>
      <c r="K1826" s="27">
        <v>-36560</v>
      </c>
      <c r="L1826" s="69">
        <v>-62.69</v>
      </c>
      <c r="M1826" s="27">
        <v>703140</v>
      </c>
      <c r="N1826" s="69">
        <v>-0.85</v>
      </c>
      <c r="O1826" s="69">
        <v>-0.66</v>
      </c>
      <c r="P1826" s="69">
        <v>7.72</v>
      </c>
      <c r="Q1826" s="27">
        <v>68</v>
      </c>
      <c r="R1826" s="69">
        <v>4</v>
      </c>
      <c r="S1826" s="69">
        <v>314.10000000000002</v>
      </c>
      <c r="X1826" s="2">
        <f t="shared" si="84"/>
        <v>0.32</v>
      </c>
      <c r="Y1826" s="2">
        <f>SUMIF(收盤價!A:A,A1826,收盤價!C:C)</f>
        <v>19.489999999999998</v>
      </c>
      <c r="Z1826" s="2">
        <f t="shared" si="85"/>
        <v>542824.07999999996</v>
      </c>
      <c r="AA1826" s="2">
        <f t="shared" si="86"/>
        <v>1370419.8599999999</v>
      </c>
    </row>
    <row r="1827" spans="1:27" ht="14.5" customHeight="1">
      <c r="A1827" s="7" t="s">
        <v>6223</v>
      </c>
      <c r="B1827" s="8" t="s">
        <v>3870</v>
      </c>
      <c r="C1827" s="27">
        <v>79346</v>
      </c>
      <c r="D1827" s="27">
        <v>83468</v>
      </c>
      <c r="E1827" s="69">
        <v>-4.9400000000000004</v>
      </c>
      <c r="F1827" s="27">
        <v>431</v>
      </c>
      <c r="G1827" s="27">
        <v>5924</v>
      </c>
      <c r="H1827" s="27">
        <v>2443</v>
      </c>
      <c r="I1827" s="27">
        <v>1581</v>
      </c>
      <c r="J1827" s="27">
        <v>3024</v>
      </c>
      <c r="K1827" s="27">
        <v>7091</v>
      </c>
      <c r="L1827" s="69">
        <v>-57.35</v>
      </c>
      <c r="M1827" s="27">
        <v>166400</v>
      </c>
      <c r="N1827" s="69">
        <v>0.18</v>
      </c>
      <c r="O1827" s="69">
        <v>0.43</v>
      </c>
      <c r="P1827" s="69">
        <v>10.5</v>
      </c>
      <c r="Q1827" s="27">
        <v>76</v>
      </c>
      <c r="R1827" s="69">
        <v>5.18</v>
      </c>
      <c r="S1827" s="69">
        <v>415.68</v>
      </c>
      <c r="X1827" s="2">
        <f t="shared" si="84"/>
        <v>0.24</v>
      </c>
      <c r="Y1827" s="2">
        <f>SUMIF(收盤價!A:A,A1827,收盤價!C:C)</f>
        <v>28</v>
      </c>
      <c r="Z1827" s="2">
        <f t="shared" si="85"/>
        <v>174720</v>
      </c>
      <c r="AA1827" s="2">
        <f t="shared" si="86"/>
        <v>465920</v>
      </c>
    </row>
    <row r="1828" spans="1:27" ht="14.5" customHeight="1">
      <c r="A1828" s="7" t="s">
        <v>6232</v>
      </c>
      <c r="B1828" s="8" t="s">
        <v>3888</v>
      </c>
      <c r="C1828" s="27">
        <v>1956091</v>
      </c>
      <c r="D1828" s="27">
        <v>501935</v>
      </c>
      <c r="E1828" s="69">
        <v>289.70999999999998</v>
      </c>
      <c r="F1828" s="27">
        <v>616122</v>
      </c>
      <c r="G1828" s="27">
        <v>12608</v>
      </c>
      <c r="H1828" s="27">
        <v>8616</v>
      </c>
      <c r="I1828" s="27">
        <v>310</v>
      </c>
      <c r="J1828" s="27">
        <v>543679</v>
      </c>
      <c r="K1828" s="27">
        <v>10616</v>
      </c>
      <c r="L1828" s="28" t="s">
        <v>6378</v>
      </c>
      <c r="M1828" s="27">
        <v>377813</v>
      </c>
      <c r="N1828" s="69">
        <v>14.46</v>
      </c>
      <c r="O1828" s="69">
        <v>0.3</v>
      </c>
      <c r="P1828" s="69">
        <v>27.3</v>
      </c>
      <c r="Q1828" s="27">
        <v>50</v>
      </c>
      <c r="R1828" s="69">
        <v>2.17</v>
      </c>
      <c r="S1828" s="69">
        <v>173.57</v>
      </c>
      <c r="X1828" s="2">
        <f t="shared" si="84"/>
        <v>0.5</v>
      </c>
      <c r="Y1828" s="2">
        <f>SUMIF(收盤價!A:A,A1828,收盤價!C:C)</f>
        <v>766.78</v>
      </c>
      <c r="Z1828" s="2">
        <f t="shared" si="85"/>
        <v>1031429.49</v>
      </c>
      <c r="AA1828" s="2">
        <f t="shared" si="86"/>
        <v>28969945.213999998</v>
      </c>
    </row>
    <row r="1829" spans="1:27" ht="14.5" customHeight="1">
      <c r="A1829" s="7" t="s">
        <v>6267</v>
      </c>
      <c r="B1829" s="8" t="s">
        <v>7098</v>
      </c>
      <c r="C1829" s="27">
        <v>316398</v>
      </c>
      <c r="D1829" s="27">
        <v>421578</v>
      </c>
      <c r="E1829" s="69">
        <v>-24.95</v>
      </c>
      <c r="F1829" s="27">
        <v>-10499</v>
      </c>
      <c r="G1829" s="27">
        <v>24794</v>
      </c>
      <c r="H1829" s="27">
        <v>-4396</v>
      </c>
      <c r="I1829" s="27">
        <v>-3414</v>
      </c>
      <c r="J1829" s="27">
        <v>-14893</v>
      </c>
      <c r="K1829" s="27">
        <v>19134</v>
      </c>
      <c r="L1829" s="69">
        <v>-177.84</v>
      </c>
      <c r="M1829" s="27">
        <v>428119</v>
      </c>
      <c r="N1829" s="69">
        <v>-0.35</v>
      </c>
      <c r="O1829" s="69">
        <v>0.45</v>
      </c>
      <c r="P1829" s="69">
        <v>10.18</v>
      </c>
      <c r="Q1829" s="27">
        <v>44</v>
      </c>
      <c r="R1829" s="69">
        <v>1.05</v>
      </c>
      <c r="S1829" s="69">
        <v>64.5</v>
      </c>
      <c r="X1829" s="2">
        <f t="shared" si="84"/>
        <v>0.56000000000000005</v>
      </c>
      <c r="Y1829" s="2">
        <f>SUMIF(收盤價!A:A,A1829,收盤價!C:C)</f>
        <v>3.01</v>
      </c>
      <c r="Z1829" s="2">
        <f t="shared" si="85"/>
        <v>435825.14199999999</v>
      </c>
      <c r="AA1829" s="2">
        <f t="shared" si="86"/>
        <v>128863.81899999999</v>
      </c>
    </row>
    <row r="1830" spans="1:27" ht="14.5" customHeight="1">
      <c r="A1830" s="7" t="s">
        <v>6269</v>
      </c>
      <c r="B1830" s="8" t="s">
        <v>7099</v>
      </c>
      <c r="C1830" s="27">
        <v>1585209</v>
      </c>
      <c r="D1830" s="27">
        <v>1648500</v>
      </c>
      <c r="E1830" s="69">
        <v>-3.84</v>
      </c>
      <c r="F1830" s="27">
        <v>52517</v>
      </c>
      <c r="G1830" s="27">
        <v>61253</v>
      </c>
      <c r="H1830" s="27">
        <v>24330</v>
      </c>
      <c r="I1830" s="27">
        <v>13206</v>
      </c>
      <c r="J1830" s="27">
        <v>77191</v>
      </c>
      <c r="K1830" s="27">
        <v>73313</v>
      </c>
      <c r="L1830" s="69">
        <v>5.29</v>
      </c>
      <c r="M1830" s="27">
        <v>2877824</v>
      </c>
      <c r="N1830" s="69">
        <v>0.28000000000000003</v>
      </c>
      <c r="O1830" s="69">
        <v>0.26</v>
      </c>
      <c r="P1830" s="69">
        <v>11.97</v>
      </c>
      <c r="Q1830" s="27">
        <v>63</v>
      </c>
      <c r="R1830" s="69">
        <v>1.91</v>
      </c>
      <c r="S1830" s="69">
        <v>145.21</v>
      </c>
      <c r="X1830" s="2">
        <f t="shared" si="84"/>
        <v>0.37</v>
      </c>
      <c r="Y1830" s="2">
        <f>SUMIF(收盤價!A:A,A1830,收盤價!C:C)</f>
        <v>12.22</v>
      </c>
      <c r="Z1830" s="2">
        <f t="shared" si="85"/>
        <v>3444755.3280000002</v>
      </c>
      <c r="AA1830" s="2">
        <f t="shared" si="86"/>
        <v>3516700.9280000003</v>
      </c>
    </row>
    <row r="1831" spans="1:27" ht="14.5" customHeight="1">
      <c r="A1831" s="7" t="s">
        <v>6010</v>
      </c>
      <c r="B1831" s="8" t="s">
        <v>3538</v>
      </c>
      <c r="C1831" s="27">
        <v>1540430</v>
      </c>
      <c r="D1831" s="27">
        <v>1095427</v>
      </c>
      <c r="E1831" s="69">
        <v>40.619999999999997</v>
      </c>
      <c r="F1831" s="27">
        <v>24653</v>
      </c>
      <c r="G1831" s="27">
        <v>-57573</v>
      </c>
      <c r="H1831" s="27">
        <v>-13424</v>
      </c>
      <c r="I1831" s="27">
        <v>99043</v>
      </c>
      <c r="J1831" s="27">
        <v>14247</v>
      </c>
      <c r="K1831" s="27">
        <v>52549</v>
      </c>
      <c r="L1831" s="69">
        <v>-72.89</v>
      </c>
      <c r="M1831" s="27">
        <v>750856</v>
      </c>
      <c r="N1831" s="69">
        <v>0.19</v>
      </c>
      <c r="O1831" s="69">
        <v>0.7</v>
      </c>
      <c r="P1831" s="69">
        <v>13.13</v>
      </c>
      <c r="Q1831" s="27">
        <v>40</v>
      </c>
      <c r="R1831" s="69">
        <v>1.49</v>
      </c>
      <c r="S1831" s="69">
        <v>79.989999999999995</v>
      </c>
      <c r="X1831" s="2">
        <f t="shared" si="84"/>
        <v>0.6</v>
      </c>
      <c r="Y1831" s="2">
        <f>SUMIF(收盤價!A:A,A1831,收盤價!C:C)</f>
        <v>22.57</v>
      </c>
      <c r="Z1831" s="2">
        <f t="shared" si="85"/>
        <v>985873.92800000007</v>
      </c>
      <c r="AA1831" s="2">
        <f t="shared" si="86"/>
        <v>1694681.9920000001</v>
      </c>
    </row>
    <row r="1832" spans="1:27" ht="14.5" customHeight="1">
      <c r="A1832" s="7" t="s">
        <v>6017</v>
      </c>
      <c r="B1832" s="8" t="s">
        <v>7100</v>
      </c>
      <c r="C1832" s="27">
        <v>316078</v>
      </c>
      <c r="D1832" s="27">
        <v>255008</v>
      </c>
      <c r="E1832" s="69">
        <v>23.95</v>
      </c>
      <c r="F1832" s="27">
        <v>-13895</v>
      </c>
      <c r="G1832" s="27">
        <v>-35345</v>
      </c>
      <c r="H1832" s="27">
        <v>6731</v>
      </c>
      <c r="I1832" s="27">
        <v>12688</v>
      </c>
      <c r="J1832" s="27">
        <v>-5433</v>
      </c>
      <c r="K1832" s="27">
        <v>-18895</v>
      </c>
      <c r="L1832" s="69">
        <v>71.25</v>
      </c>
      <c r="M1832" s="27">
        <v>329783</v>
      </c>
      <c r="N1832" s="69">
        <v>-0.17</v>
      </c>
      <c r="O1832" s="69">
        <v>-0.57999999999999996</v>
      </c>
      <c r="P1832" s="69">
        <v>11.49</v>
      </c>
      <c r="Q1832" s="27">
        <v>61</v>
      </c>
      <c r="R1832" s="69">
        <v>2.35</v>
      </c>
      <c r="S1832" s="69">
        <v>211.98</v>
      </c>
      <c r="X1832" s="2">
        <f t="shared" si="84"/>
        <v>0.39</v>
      </c>
      <c r="Y1832" s="2">
        <f>SUMIF(收盤價!A:A,A1832,收盤價!C:C)</f>
        <v>8.24</v>
      </c>
      <c r="Z1832" s="2">
        <f t="shared" si="85"/>
        <v>378920.66700000002</v>
      </c>
      <c r="AA1832" s="2">
        <f t="shared" si="86"/>
        <v>271741.19199999998</v>
      </c>
    </row>
    <row r="1833" spans="1:27" ht="14.5" customHeight="1">
      <c r="A1833" s="7" t="s">
        <v>6168</v>
      </c>
      <c r="B1833" s="8" t="s">
        <v>3786</v>
      </c>
      <c r="C1833" s="27">
        <v>444758</v>
      </c>
      <c r="D1833" s="27">
        <v>545797</v>
      </c>
      <c r="E1833" s="69">
        <v>-18.510000000000002</v>
      </c>
      <c r="F1833" s="27">
        <v>24661</v>
      </c>
      <c r="G1833" s="27">
        <v>16866</v>
      </c>
      <c r="H1833" s="27">
        <v>4172</v>
      </c>
      <c r="I1833" s="27">
        <v>4923</v>
      </c>
      <c r="J1833" s="27">
        <v>22856</v>
      </c>
      <c r="K1833" s="27">
        <v>19144</v>
      </c>
      <c r="L1833" s="69">
        <v>19.39</v>
      </c>
      <c r="M1833" s="27">
        <v>210000</v>
      </c>
      <c r="N1833" s="69">
        <v>1.0900000000000001</v>
      </c>
      <c r="O1833" s="69">
        <v>0.91</v>
      </c>
      <c r="P1833" s="69">
        <v>24.71</v>
      </c>
      <c r="Q1833" s="27">
        <v>67</v>
      </c>
      <c r="R1833" s="69">
        <v>3.05</v>
      </c>
      <c r="S1833" s="69">
        <v>214.76</v>
      </c>
      <c r="X1833" s="2">
        <f t="shared" si="84"/>
        <v>0.33</v>
      </c>
      <c r="Y1833" s="2">
        <f>SUMIF(收盤價!A:A,A1833,收盤價!C:C)</f>
        <v>18.079999999999998</v>
      </c>
      <c r="Z1833" s="2">
        <f t="shared" si="85"/>
        <v>518910</v>
      </c>
      <c r="AA1833" s="2">
        <f t="shared" si="86"/>
        <v>379679.99999999994</v>
      </c>
    </row>
    <row r="1834" spans="1:27" ht="14.5" customHeight="1">
      <c r="A1834" s="7" t="s">
        <v>6181</v>
      </c>
      <c r="B1834" s="8" t="s">
        <v>3812</v>
      </c>
      <c r="C1834" s="27">
        <v>3820533</v>
      </c>
      <c r="D1834" s="27">
        <v>2971972</v>
      </c>
      <c r="E1834" s="69">
        <v>28.55</v>
      </c>
      <c r="F1834" s="27">
        <v>517583</v>
      </c>
      <c r="G1834" s="27">
        <v>236433</v>
      </c>
      <c r="H1834" s="27">
        <v>41836</v>
      </c>
      <c r="I1834" s="27">
        <v>30556</v>
      </c>
      <c r="J1834" s="27">
        <v>376753</v>
      </c>
      <c r="K1834" s="27">
        <v>200292</v>
      </c>
      <c r="L1834" s="69">
        <v>88.1</v>
      </c>
      <c r="M1834" s="27">
        <v>300000</v>
      </c>
      <c r="N1834" s="69">
        <v>12.56</v>
      </c>
      <c r="O1834" s="69">
        <v>6.68</v>
      </c>
      <c r="P1834" s="69">
        <v>50.94</v>
      </c>
      <c r="Q1834" s="27">
        <v>32</v>
      </c>
      <c r="R1834" s="69">
        <v>1.63</v>
      </c>
      <c r="S1834" s="69">
        <v>155.44999999999999</v>
      </c>
      <c r="X1834" s="2">
        <f t="shared" si="84"/>
        <v>0.68</v>
      </c>
      <c r="Y1834" s="2">
        <f>SUMIF(收盤價!A:A,A1834,收盤價!C:C)</f>
        <v>168.1</v>
      </c>
      <c r="Z1834" s="2">
        <f t="shared" si="85"/>
        <v>1528200</v>
      </c>
      <c r="AA1834" s="2">
        <f t="shared" si="86"/>
        <v>5043000</v>
      </c>
    </row>
    <row r="1835" spans="1:27" ht="14.5" customHeight="1">
      <c r="A1835" s="7" t="s">
        <v>6264</v>
      </c>
      <c r="B1835" s="8" t="s">
        <v>3958</v>
      </c>
      <c r="C1835" s="27">
        <v>967474</v>
      </c>
      <c r="D1835" s="27">
        <v>760167</v>
      </c>
      <c r="E1835" s="69">
        <v>27.27</v>
      </c>
      <c r="F1835" s="27">
        <v>84080</v>
      </c>
      <c r="G1835" s="27">
        <v>36869</v>
      </c>
      <c r="H1835" s="27">
        <v>8237</v>
      </c>
      <c r="I1835" s="27">
        <v>11530</v>
      </c>
      <c r="J1835" s="27">
        <v>68368</v>
      </c>
      <c r="K1835" s="27">
        <v>42974</v>
      </c>
      <c r="L1835" s="69">
        <v>59.09</v>
      </c>
      <c r="M1835" s="27">
        <v>636216</v>
      </c>
      <c r="N1835" s="69">
        <v>1.07</v>
      </c>
      <c r="O1835" s="69">
        <v>0.56999999999999995</v>
      </c>
      <c r="P1835" s="69">
        <v>16.829999999999998</v>
      </c>
      <c r="Q1835" s="27">
        <v>56</v>
      </c>
      <c r="R1835" s="69">
        <v>1.8</v>
      </c>
      <c r="S1835" s="69">
        <v>133.61000000000001</v>
      </c>
      <c r="X1835" s="2">
        <f t="shared" si="84"/>
        <v>0.44</v>
      </c>
      <c r="Y1835" s="2">
        <f>SUMIF(收盤價!A:A,A1835,收盤價!C:C)</f>
        <v>22.67</v>
      </c>
      <c r="Z1835" s="2">
        <f t="shared" si="85"/>
        <v>1070751.5279999999</v>
      </c>
      <c r="AA1835" s="2">
        <f t="shared" si="86"/>
        <v>1442301.672</v>
      </c>
    </row>
    <row r="1836" spans="1:27" ht="14.5" customHeight="1">
      <c r="A1836" s="7" t="s">
        <v>6015</v>
      </c>
      <c r="B1836" s="8" t="s">
        <v>7101</v>
      </c>
      <c r="C1836" s="27">
        <v>1462884</v>
      </c>
      <c r="D1836" s="27">
        <v>1458453</v>
      </c>
      <c r="E1836" s="69">
        <v>0.3</v>
      </c>
      <c r="F1836" s="27">
        <v>124205</v>
      </c>
      <c r="G1836" s="27">
        <v>66944</v>
      </c>
      <c r="H1836" s="27">
        <v>9152</v>
      </c>
      <c r="I1836" s="27">
        <v>7261</v>
      </c>
      <c r="J1836" s="27">
        <v>106579</v>
      </c>
      <c r="K1836" s="27">
        <v>47644</v>
      </c>
      <c r="L1836" s="69">
        <v>123.7</v>
      </c>
      <c r="M1836" s="27">
        <v>693996</v>
      </c>
      <c r="N1836" s="69">
        <v>1.54</v>
      </c>
      <c r="O1836" s="69">
        <v>0.96</v>
      </c>
      <c r="P1836" s="69">
        <v>13.8</v>
      </c>
      <c r="Q1836" s="27">
        <v>56</v>
      </c>
      <c r="R1836" s="69">
        <v>1.69</v>
      </c>
      <c r="S1836" s="69">
        <v>116.49</v>
      </c>
      <c r="X1836" s="2">
        <f t="shared" si="84"/>
        <v>0.44</v>
      </c>
      <c r="Y1836" s="2">
        <f>SUMIF(收盤價!A:A,A1836,收盤價!C:C)</f>
        <v>25.52</v>
      </c>
      <c r="Z1836" s="2">
        <f t="shared" si="85"/>
        <v>957714.4800000001</v>
      </c>
      <c r="AA1836" s="2">
        <f t="shared" si="86"/>
        <v>1771077.7919999999</v>
      </c>
    </row>
    <row r="1837" spans="1:27" ht="14.5" customHeight="1">
      <c r="A1837" s="7" t="s">
        <v>6023</v>
      </c>
      <c r="B1837" s="8" t="s">
        <v>3564</v>
      </c>
      <c r="C1837" s="27">
        <v>105179</v>
      </c>
      <c r="D1837" s="27">
        <v>212967</v>
      </c>
      <c r="E1837" s="69">
        <v>-50.61</v>
      </c>
      <c r="F1837" s="27">
        <v>2725</v>
      </c>
      <c r="G1837" s="27">
        <v>11331</v>
      </c>
      <c r="H1837" s="27">
        <v>25574</v>
      </c>
      <c r="I1837" s="27">
        <v>18530</v>
      </c>
      <c r="J1837" s="27">
        <v>24159</v>
      </c>
      <c r="K1837" s="27">
        <v>26712</v>
      </c>
      <c r="L1837" s="69">
        <v>-9.56</v>
      </c>
      <c r="M1837" s="27">
        <v>319550</v>
      </c>
      <c r="N1837" s="69">
        <v>0.76</v>
      </c>
      <c r="O1837" s="69">
        <v>0.84</v>
      </c>
      <c r="P1837" s="69">
        <v>28.18</v>
      </c>
      <c r="Q1837" s="27">
        <v>81</v>
      </c>
      <c r="R1837" s="69">
        <v>4.07</v>
      </c>
      <c r="S1837" s="69">
        <v>344.07</v>
      </c>
      <c r="X1837" s="2">
        <f t="shared" si="84"/>
        <v>0.19</v>
      </c>
      <c r="Y1837" s="2">
        <f>SUMIF(收盤價!A:A,A1837,收盤價!C:C)</f>
        <v>21.68</v>
      </c>
      <c r="Z1837" s="2">
        <f t="shared" si="85"/>
        <v>900491.9</v>
      </c>
      <c r="AA1837" s="2">
        <f t="shared" si="86"/>
        <v>692784.4</v>
      </c>
    </row>
    <row r="1838" spans="1:27" ht="14.5" customHeight="1">
      <c r="A1838" s="7" t="s">
        <v>6024</v>
      </c>
      <c r="B1838" s="8" t="s">
        <v>3566</v>
      </c>
      <c r="C1838" s="27">
        <v>1444638</v>
      </c>
      <c r="D1838" s="27">
        <v>1773188</v>
      </c>
      <c r="E1838" s="69">
        <v>-18.53</v>
      </c>
      <c r="F1838" s="27">
        <v>30580</v>
      </c>
      <c r="G1838" s="27">
        <v>-11577</v>
      </c>
      <c r="H1838" s="27">
        <v>65305</v>
      </c>
      <c r="I1838" s="27">
        <v>71060</v>
      </c>
      <c r="J1838" s="27">
        <v>46037</v>
      </c>
      <c r="K1838" s="27">
        <v>40070</v>
      </c>
      <c r="L1838" s="69">
        <v>14.89</v>
      </c>
      <c r="M1838" s="27">
        <v>794361</v>
      </c>
      <c r="N1838" s="69">
        <v>0.57999999999999996</v>
      </c>
      <c r="O1838" s="69">
        <v>0.5</v>
      </c>
      <c r="P1838" s="69">
        <v>42.6</v>
      </c>
      <c r="Q1838" s="27">
        <v>58</v>
      </c>
      <c r="R1838" s="69">
        <v>2.1800000000000002</v>
      </c>
      <c r="S1838" s="69">
        <v>210.03</v>
      </c>
      <c r="X1838" s="2">
        <f t="shared" si="84"/>
        <v>0.42</v>
      </c>
      <c r="Y1838" s="2">
        <f>SUMIF(收盤價!A:A,A1838,收盤價!C:C)</f>
        <v>23.13</v>
      </c>
      <c r="Z1838" s="2">
        <f t="shared" si="85"/>
        <v>3383977.8600000003</v>
      </c>
      <c r="AA1838" s="2">
        <f t="shared" si="86"/>
        <v>1837356.993</v>
      </c>
    </row>
    <row r="1839" spans="1:27" ht="14.5" customHeight="1">
      <c r="A1839" s="7" t="s">
        <v>6027</v>
      </c>
      <c r="B1839" s="8" t="s">
        <v>3572</v>
      </c>
      <c r="C1839" s="27">
        <v>222090</v>
      </c>
      <c r="D1839" s="27">
        <v>150796</v>
      </c>
      <c r="E1839" s="69">
        <v>47.28</v>
      </c>
      <c r="F1839" s="27">
        <v>2828</v>
      </c>
      <c r="G1839" s="27">
        <v>-2442</v>
      </c>
      <c r="H1839" s="27">
        <v>865</v>
      </c>
      <c r="I1839" s="27">
        <v>1354</v>
      </c>
      <c r="J1839" s="27">
        <v>3656</v>
      </c>
      <c r="K1839" s="27">
        <v>-2467</v>
      </c>
      <c r="L1839" s="69">
        <v>248.2</v>
      </c>
      <c r="M1839" s="27">
        <v>223443</v>
      </c>
      <c r="N1839" s="69">
        <v>0.16</v>
      </c>
      <c r="O1839" s="69">
        <v>-0.11</v>
      </c>
      <c r="P1839" s="69">
        <v>10.23</v>
      </c>
      <c r="Q1839" s="27">
        <v>73</v>
      </c>
      <c r="R1839" s="69">
        <v>3.48</v>
      </c>
      <c r="S1839" s="69">
        <v>275.77999999999997</v>
      </c>
      <c r="X1839" s="2">
        <f t="shared" si="84"/>
        <v>0.27</v>
      </c>
      <c r="Y1839" s="2">
        <f>SUMIF(收盤價!A:A,A1839,收盤價!C:C)</f>
        <v>11.12</v>
      </c>
      <c r="Z1839" s="2">
        <f t="shared" si="85"/>
        <v>228582.18900000001</v>
      </c>
      <c r="AA1839" s="2">
        <f t="shared" si="86"/>
        <v>248468.61599999998</v>
      </c>
    </row>
    <row r="1840" spans="1:27" ht="14.5" customHeight="1">
      <c r="A1840" s="7" t="s">
        <v>6031</v>
      </c>
      <c r="B1840" s="8" t="s">
        <v>7102</v>
      </c>
      <c r="C1840" s="27">
        <v>400456</v>
      </c>
      <c r="D1840" s="27">
        <v>400847</v>
      </c>
      <c r="E1840" s="69">
        <v>-0.1</v>
      </c>
      <c r="F1840" s="27">
        <v>31370</v>
      </c>
      <c r="G1840" s="27">
        <v>34924</v>
      </c>
      <c r="H1840" s="27">
        <v>7742</v>
      </c>
      <c r="I1840" s="27">
        <v>8285</v>
      </c>
      <c r="J1840" s="27">
        <v>30912</v>
      </c>
      <c r="K1840" s="27">
        <v>42213</v>
      </c>
      <c r="L1840" s="69">
        <v>-26.77</v>
      </c>
      <c r="M1840" s="27">
        <v>281735</v>
      </c>
      <c r="N1840" s="69">
        <v>1.1000000000000001</v>
      </c>
      <c r="O1840" s="69">
        <v>1.5</v>
      </c>
      <c r="P1840" s="69">
        <v>28.63</v>
      </c>
      <c r="Q1840" s="27">
        <v>60</v>
      </c>
      <c r="R1840" s="69">
        <v>2.6</v>
      </c>
      <c r="S1840" s="69">
        <v>211.84</v>
      </c>
      <c r="X1840" s="2">
        <f t="shared" si="84"/>
        <v>0.4</v>
      </c>
      <c r="Y1840" s="2">
        <f>SUMIF(收盤價!A:A,A1840,收盤價!C:C)</f>
        <v>17.940000000000001</v>
      </c>
      <c r="Z1840" s="2">
        <f t="shared" si="85"/>
        <v>806607.30499999993</v>
      </c>
      <c r="AA1840" s="2">
        <f t="shared" si="86"/>
        <v>505432.59</v>
      </c>
    </row>
    <row r="1841" spans="1:27" ht="14.5" customHeight="1">
      <c r="A1841" s="7" t="s">
        <v>6032</v>
      </c>
      <c r="B1841" s="8" t="s">
        <v>3580</v>
      </c>
      <c r="C1841" s="27">
        <v>1800092</v>
      </c>
      <c r="D1841" s="27">
        <v>2140020</v>
      </c>
      <c r="E1841" s="69">
        <v>-15.88</v>
      </c>
      <c r="F1841" s="27">
        <v>77241</v>
      </c>
      <c r="G1841" s="27">
        <v>122339</v>
      </c>
      <c r="H1841" s="27">
        <v>9823</v>
      </c>
      <c r="I1841" s="27">
        <v>11625</v>
      </c>
      <c r="J1841" s="27">
        <v>73637</v>
      </c>
      <c r="K1841" s="27">
        <v>99989</v>
      </c>
      <c r="L1841" s="69">
        <v>-26.35</v>
      </c>
      <c r="M1841" s="27">
        <v>340236</v>
      </c>
      <c r="N1841" s="69">
        <v>2.16</v>
      </c>
      <c r="O1841" s="69">
        <v>2.94</v>
      </c>
      <c r="P1841" s="69">
        <v>32.53</v>
      </c>
      <c r="Q1841" s="27">
        <v>41</v>
      </c>
      <c r="R1841" s="69">
        <v>1.57</v>
      </c>
      <c r="S1841" s="69">
        <v>145.36000000000001</v>
      </c>
      <c r="X1841" s="2">
        <f t="shared" si="84"/>
        <v>0.59</v>
      </c>
      <c r="Y1841" s="2">
        <f>SUMIF(收盤價!A:A,A1841,收盤價!C:C)</f>
        <v>40.130000000000003</v>
      </c>
      <c r="Z1841" s="2">
        <f t="shared" si="85"/>
        <v>1106787.7080000001</v>
      </c>
      <c r="AA1841" s="2">
        <f t="shared" si="86"/>
        <v>1365367.0680000002</v>
      </c>
    </row>
    <row r="1842" spans="1:27" ht="14.5" customHeight="1">
      <c r="A1842" s="7" t="s">
        <v>6033</v>
      </c>
      <c r="B1842" s="8" t="s">
        <v>7103</v>
      </c>
      <c r="C1842" s="27">
        <v>771600</v>
      </c>
      <c r="D1842" s="27">
        <v>772532</v>
      </c>
      <c r="E1842" s="69">
        <v>-0.12</v>
      </c>
      <c r="F1842" s="27">
        <v>39664</v>
      </c>
      <c r="G1842" s="27">
        <v>19199</v>
      </c>
      <c r="H1842" s="27">
        <v>3912</v>
      </c>
      <c r="I1842" s="27">
        <v>4325</v>
      </c>
      <c r="J1842" s="27">
        <v>38619</v>
      </c>
      <c r="K1842" s="27">
        <v>21290</v>
      </c>
      <c r="L1842" s="69">
        <v>81.400000000000006</v>
      </c>
      <c r="M1842" s="27">
        <v>492035</v>
      </c>
      <c r="N1842" s="69">
        <v>0.78</v>
      </c>
      <c r="O1842" s="69">
        <v>0.43</v>
      </c>
      <c r="P1842" s="69">
        <v>13.18</v>
      </c>
      <c r="Q1842" s="27">
        <v>45</v>
      </c>
      <c r="R1842" s="69">
        <v>1.57</v>
      </c>
      <c r="S1842" s="69">
        <v>112.38</v>
      </c>
      <c r="X1842" s="2">
        <f t="shared" si="84"/>
        <v>0.55000000000000004</v>
      </c>
      <c r="Y1842" s="2">
        <f>SUMIF(收盤價!A:A,A1842,收盤價!C:C)</f>
        <v>13.97</v>
      </c>
      <c r="Z1842" s="2">
        <f t="shared" si="85"/>
        <v>648502.13</v>
      </c>
      <c r="AA1842" s="2">
        <f t="shared" si="86"/>
        <v>687372.89500000002</v>
      </c>
    </row>
    <row r="1843" spans="1:27" ht="14.5" customHeight="1">
      <c r="A1843" s="7" t="s">
        <v>6035</v>
      </c>
      <c r="B1843" s="8" t="s">
        <v>3586</v>
      </c>
      <c r="C1843" s="27">
        <v>98381</v>
      </c>
      <c r="D1843" s="27">
        <v>84863</v>
      </c>
      <c r="E1843" s="69">
        <v>15.93</v>
      </c>
      <c r="F1843" s="27">
        <v>2906</v>
      </c>
      <c r="G1843" s="27">
        <v>-4636</v>
      </c>
      <c r="H1843" s="27">
        <v>-1220</v>
      </c>
      <c r="I1843" s="27">
        <v>595</v>
      </c>
      <c r="J1843" s="27">
        <v>1686</v>
      </c>
      <c r="K1843" s="27">
        <v>-4041</v>
      </c>
      <c r="L1843" s="69">
        <v>141.72</v>
      </c>
      <c r="M1843" s="27">
        <v>280000</v>
      </c>
      <c r="N1843" s="69">
        <v>0.06</v>
      </c>
      <c r="O1843" s="69">
        <v>-0.14000000000000001</v>
      </c>
      <c r="P1843" s="69">
        <v>6.74</v>
      </c>
      <c r="Q1843" s="27">
        <v>46</v>
      </c>
      <c r="R1843" s="69">
        <v>0.84</v>
      </c>
      <c r="S1843" s="69">
        <v>39.39</v>
      </c>
      <c r="X1843" s="2">
        <f t="shared" si="84"/>
        <v>0.54</v>
      </c>
      <c r="Y1843" s="2">
        <f>SUMIF(收盤價!A:A,A1843,收盤價!C:C)</f>
        <v>8</v>
      </c>
      <c r="Z1843" s="2">
        <f t="shared" si="85"/>
        <v>188720</v>
      </c>
      <c r="AA1843" s="2">
        <f t="shared" si="86"/>
        <v>224000</v>
      </c>
    </row>
    <row r="1844" spans="1:27" ht="14.5" customHeight="1">
      <c r="A1844" s="7" t="s">
        <v>6036</v>
      </c>
      <c r="B1844" s="8" t="s">
        <v>3588</v>
      </c>
      <c r="C1844" s="27">
        <v>314413</v>
      </c>
      <c r="D1844" s="27">
        <v>94716</v>
      </c>
      <c r="E1844" s="69">
        <v>231.95</v>
      </c>
      <c r="F1844" s="27">
        <v>57238</v>
      </c>
      <c r="G1844" s="27">
        <v>-21254</v>
      </c>
      <c r="H1844" s="27">
        <v>40286</v>
      </c>
      <c r="I1844" s="27">
        <v>3687</v>
      </c>
      <c r="J1844" s="27">
        <v>97144</v>
      </c>
      <c r="K1844" s="27">
        <v>-17567</v>
      </c>
      <c r="L1844" s="69">
        <v>652.99</v>
      </c>
      <c r="M1844" s="27">
        <v>896218</v>
      </c>
      <c r="N1844" s="69">
        <v>1.08</v>
      </c>
      <c r="O1844" s="69">
        <v>-0.24</v>
      </c>
      <c r="P1844" s="69">
        <v>25.8</v>
      </c>
      <c r="Q1844" s="27">
        <v>93</v>
      </c>
      <c r="R1844" s="69">
        <v>12.37</v>
      </c>
      <c r="S1844" s="69">
        <v>1176.94</v>
      </c>
      <c r="X1844" s="2">
        <f t="shared" si="84"/>
        <v>7.0000000000000007E-2</v>
      </c>
      <c r="Y1844" s="2">
        <f>SUMIF(收盤價!A:A,A1844,收盤價!C:C)</f>
        <v>91.97</v>
      </c>
      <c r="Z1844" s="2">
        <f t="shared" si="85"/>
        <v>2312242.4400000004</v>
      </c>
      <c r="AA1844" s="2">
        <f t="shared" si="86"/>
        <v>8242516.9459999995</v>
      </c>
    </row>
    <row r="1845" spans="1:27" ht="14.5" customHeight="1">
      <c r="A1845" s="7" t="s">
        <v>6063</v>
      </c>
      <c r="B1845" s="8" t="s">
        <v>7104</v>
      </c>
      <c r="C1845" s="27">
        <v>1464804</v>
      </c>
      <c r="D1845" s="27">
        <v>1085045</v>
      </c>
      <c r="E1845" s="69">
        <v>35</v>
      </c>
      <c r="F1845" s="27">
        <v>67616</v>
      </c>
      <c r="G1845" s="27">
        <v>7157</v>
      </c>
      <c r="H1845" s="27">
        <v>39980</v>
      </c>
      <c r="I1845" s="27">
        <v>93431</v>
      </c>
      <c r="J1845" s="27">
        <v>58805</v>
      </c>
      <c r="K1845" s="27">
        <v>89795</v>
      </c>
      <c r="L1845" s="69">
        <v>-34.51</v>
      </c>
      <c r="M1845" s="27">
        <v>788400</v>
      </c>
      <c r="N1845" s="69">
        <v>0.82</v>
      </c>
      <c r="O1845" s="69">
        <v>1.25</v>
      </c>
      <c r="P1845" s="69">
        <v>16.190000000000001</v>
      </c>
      <c r="Q1845" s="27">
        <v>28</v>
      </c>
      <c r="R1845" s="69">
        <v>1.26</v>
      </c>
      <c r="S1845" s="69">
        <v>74.760000000000005</v>
      </c>
      <c r="X1845" s="2">
        <f t="shared" si="84"/>
        <v>0.72</v>
      </c>
      <c r="Y1845" s="2">
        <f>SUMIF(收盤價!A:A,A1845,收盤價!C:C)</f>
        <v>17.14</v>
      </c>
      <c r="Z1845" s="2">
        <f t="shared" si="85"/>
        <v>1276419.6000000001</v>
      </c>
      <c r="AA1845" s="2">
        <f t="shared" si="86"/>
        <v>1351317.6</v>
      </c>
    </row>
    <row r="1846" spans="1:27" ht="14.5" customHeight="1">
      <c r="A1846" s="7" t="s">
        <v>6090</v>
      </c>
      <c r="B1846" s="8" t="s">
        <v>3666</v>
      </c>
      <c r="C1846" s="27">
        <v>109256</v>
      </c>
      <c r="D1846" s="27">
        <v>121374</v>
      </c>
      <c r="E1846" s="69">
        <v>-9.98</v>
      </c>
      <c r="F1846" s="27">
        <v>-11502</v>
      </c>
      <c r="G1846" s="27">
        <v>-2866</v>
      </c>
      <c r="H1846" s="27">
        <v>1678</v>
      </c>
      <c r="I1846" s="27">
        <v>2331</v>
      </c>
      <c r="J1846" s="27">
        <v>-10496</v>
      </c>
      <c r="K1846" s="27">
        <v>1657</v>
      </c>
      <c r="L1846" s="69">
        <v>-733.43</v>
      </c>
      <c r="M1846" s="27">
        <v>178470</v>
      </c>
      <c r="N1846" s="69">
        <v>-0.59</v>
      </c>
      <c r="O1846" s="69">
        <v>0.09</v>
      </c>
      <c r="P1846" s="69">
        <v>8.66</v>
      </c>
      <c r="Q1846" s="27">
        <v>61</v>
      </c>
      <c r="R1846" s="69">
        <v>2.73</v>
      </c>
      <c r="S1846" s="69">
        <v>238.05</v>
      </c>
      <c r="X1846" s="2">
        <f t="shared" si="84"/>
        <v>0.39</v>
      </c>
      <c r="Y1846" s="2">
        <f>SUMIF(收盤價!A:A,A1846,收盤價!C:C)</f>
        <v>5.3</v>
      </c>
      <c r="Z1846" s="2">
        <f t="shared" si="85"/>
        <v>154555.01999999999</v>
      </c>
      <c r="AA1846" s="2">
        <f t="shared" si="86"/>
        <v>94589.1</v>
      </c>
    </row>
    <row r="1847" spans="1:27" ht="14.5" customHeight="1">
      <c r="A1847" s="7" t="s">
        <v>6094</v>
      </c>
      <c r="B1847" s="8" t="s">
        <v>7105</v>
      </c>
      <c r="C1847" s="27">
        <v>281109</v>
      </c>
      <c r="D1847" s="27">
        <v>262139</v>
      </c>
      <c r="E1847" s="69">
        <v>7.24</v>
      </c>
      <c r="F1847" s="27">
        <v>-11670</v>
      </c>
      <c r="G1847" s="27">
        <v>-68376</v>
      </c>
      <c r="H1847" s="27">
        <v>1458</v>
      </c>
      <c r="I1847" s="27">
        <v>3238</v>
      </c>
      <c r="J1847" s="27">
        <v>-11173</v>
      </c>
      <c r="K1847" s="27">
        <v>-47775</v>
      </c>
      <c r="L1847" s="69">
        <v>76.61</v>
      </c>
      <c r="M1847" s="27">
        <v>370567</v>
      </c>
      <c r="N1847" s="69">
        <v>-0.31</v>
      </c>
      <c r="O1847" s="69">
        <v>-1.35</v>
      </c>
      <c r="P1847" s="69">
        <v>9.39</v>
      </c>
      <c r="Q1847" s="27">
        <v>55</v>
      </c>
      <c r="R1847" s="69">
        <v>1.96</v>
      </c>
      <c r="S1847" s="69">
        <v>88.31</v>
      </c>
      <c r="X1847" s="2">
        <f t="shared" si="84"/>
        <v>0.45</v>
      </c>
      <c r="Y1847" s="2">
        <f>SUMIF(收盤價!A:A,A1847,收盤價!C:C)</f>
        <v>5.2</v>
      </c>
      <c r="Z1847" s="2">
        <f t="shared" si="85"/>
        <v>347962.41300000006</v>
      </c>
      <c r="AA1847" s="2">
        <f t="shared" si="86"/>
        <v>192694.84000000003</v>
      </c>
    </row>
    <row r="1848" spans="1:27" ht="14.5" customHeight="1">
      <c r="A1848" s="7" t="s">
        <v>6095</v>
      </c>
      <c r="B1848" s="8" t="s">
        <v>7106</v>
      </c>
      <c r="C1848" s="27">
        <v>319986</v>
      </c>
      <c r="D1848" s="27">
        <v>416781</v>
      </c>
      <c r="E1848" s="69">
        <v>-23.22</v>
      </c>
      <c r="F1848" s="27">
        <v>44252</v>
      </c>
      <c r="G1848" s="27">
        <v>57201</v>
      </c>
      <c r="H1848" s="27">
        <v>6561</v>
      </c>
      <c r="I1848" s="27">
        <v>2226</v>
      </c>
      <c r="J1848" s="27">
        <v>39285</v>
      </c>
      <c r="K1848" s="27">
        <v>50153</v>
      </c>
      <c r="L1848" s="69">
        <v>-21.67</v>
      </c>
      <c r="M1848" s="27">
        <v>604991</v>
      </c>
      <c r="N1848" s="69">
        <v>0.65</v>
      </c>
      <c r="O1848" s="69">
        <v>0.83</v>
      </c>
      <c r="P1848" s="69">
        <v>14.99</v>
      </c>
      <c r="Q1848" s="27">
        <v>72</v>
      </c>
      <c r="R1848" s="69">
        <v>2.99</v>
      </c>
      <c r="S1848" s="69">
        <v>278.85000000000002</v>
      </c>
      <c r="X1848" s="2">
        <f t="shared" si="84"/>
        <v>0.28000000000000003</v>
      </c>
      <c r="Y1848" s="2">
        <f>SUMIF(收盤價!A:A,A1848,收盤價!C:C)</f>
        <v>13.98</v>
      </c>
      <c r="Z1848" s="2">
        <f t="shared" si="85"/>
        <v>906881.50899999996</v>
      </c>
      <c r="AA1848" s="2">
        <f t="shared" si="86"/>
        <v>845777.41799999995</v>
      </c>
    </row>
    <row r="1849" spans="1:27" ht="14.5" customHeight="1">
      <c r="A1849" s="7" t="s">
        <v>6096</v>
      </c>
      <c r="B1849" s="8" t="s">
        <v>7107</v>
      </c>
      <c r="C1849" s="27">
        <v>206694</v>
      </c>
      <c r="D1849" s="27">
        <v>213299</v>
      </c>
      <c r="E1849" s="69">
        <v>-3.1</v>
      </c>
      <c r="F1849" s="27">
        <v>15481</v>
      </c>
      <c r="G1849" s="27">
        <v>19574</v>
      </c>
      <c r="H1849" s="27">
        <v>1641</v>
      </c>
      <c r="I1849" s="27">
        <v>6462</v>
      </c>
      <c r="J1849" s="27">
        <v>16272</v>
      </c>
      <c r="K1849" s="27">
        <v>24239</v>
      </c>
      <c r="L1849" s="69">
        <v>-32.869999999999997</v>
      </c>
      <c r="M1849" s="27">
        <v>190920</v>
      </c>
      <c r="N1849" s="69">
        <v>1.02</v>
      </c>
      <c r="O1849" s="69">
        <v>1.52</v>
      </c>
      <c r="P1849" s="69">
        <v>32.11</v>
      </c>
      <c r="Q1849" s="27">
        <v>77</v>
      </c>
      <c r="R1849" s="69">
        <v>2.15</v>
      </c>
      <c r="S1849" s="69">
        <v>165.76</v>
      </c>
      <c r="X1849" s="2">
        <f t="shared" si="84"/>
        <v>0.23</v>
      </c>
      <c r="Y1849" s="2">
        <f>SUMIF(收盤價!A:A,A1849,收盤價!C:C)</f>
        <v>29.31</v>
      </c>
      <c r="Z1849" s="2">
        <f t="shared" si="85"/>
        <v>613044.12</v>
      </c>
      <c r="AA1849" s="2">
        <f t="shared" si="86"/>
        <v>559586.52</v>
      </c>
    </row>
    <row r="1850" spans="1:27" ht="14.5" customHeight="1">
      <c r="A1850" s="7" t="s">
        <v>6098</v>
      </c>
      <c r="B1850" s="8" t="s">
        <v>4307</v>
      </c>
      <c r="C1850" s="27">
        <v>257528</v>
      </c>
      <c r="D1850" s="27">
        <v>663373</v>
      </c>
      <c r="E1850" s="69">
        <v>-61.18</v>
      </c>
      <c r="F1850" s="27">
        <v>-275783</v>
      </c>
      <c r="G1850" s="27">
        <v>-196850</v>
      </c>
      <c r="H1850" s="27">
        <v>11586</v>
      </c>
      <c r="I1850" s="27">
        <v>-7700</v>
      </c>
      <c r="J1850" s="27">
        <v>-271698</v>
      </c>
      <c r="K1850" s="27">
        <v>-180945</v>
      </c>
      <c r="L1850" s="69">
        <v>-50.16</v>
      </c>
      <c r="M1850" s="27">
        <v>716015</v>
      </c>
      <c r="N1850" s="69">
        <v>-3.79</v>
      </c>
      <c r="O1850" s="69">
        <v>-2.5299999999999998</v>
      </c>
      <c r="P1850" s="69">
        <v>10.58</v>
      </c>
      <c r="Q1850" s="27">
        <v>46</v>
      </c>
      <c r="R1850" s="69">
        <v>0.97</v>
      </c>
      <c r="S1850" s="69">
        <v>68.58</v>
      </c>
      <c r="X1850" s="2">
        <f t="shared" si="84"/>
        <v>0.54</v>
      </c>
      <c r="Y1850" s="2">
        <f>SUMIF(收盤價!A:A,A1850,收盤價!C:C)</f>
        <v>3.91</v>
      </c>
      <c r="Z1850" s="2">
        <f t="shared" si="85"/>
        <v>757543.87</v>
      </c>
      <c r="AA1850" s="2">
        <f t="shared" si="86"/>
        <v>279961.86499999999</v>
      </c>
    </row>
    <row r="1851" spans="1:27" ht="14.5" customHeight="1">
      <c r="A1851" s="7" t="s">
        <v>6100</v>
      </c>
      <c r="B1851" s="8" t="s">
        <v>7108</v>
      </c>
      <c r="C1851" s="27">
        <v>168434</v>
      </c>
      <c r="D1851" s="27">
        <v>254969</v>
      </c>
      <c r="E1851" s="69">
        <v>-33.94</v>
      </c>
      <c r="F1851" s="27">
        <v>28955</v>
      </c>
      <c r="G1851" s="27">
        <v>53760</v>
      </c>
      <c r="H1851" s="27">
        <v>5829</v>
      </c>
      <c r="I1851" s="27">
        <v>11342</v>
      </c>
      <c r="J1851" s="27">
        <v>27474</v>
      </c>
      <c r="K1851" s="27">
        <v>50632</v>
      </c>
      <c r="L1851" s="69">
        <v>-45.74</v>
      </c>
      <c r="M1851" s="27">
        <v>255000</v>
      </c>
      <c r="N1851" s="69">
        <v>1.08</v>
      </c>
      <c r="O1851" s="69">
        <v>1.99</v>
      </c>
      <c r="P1851" s="69">
        <v>23.07</v>
      </c>
      <c r="Q1851" s="27">
        <v>70</v>
      </c>
      <c r="R1851" s="69">
        <v>3.56</v>
      </c>
      <c r="S1851" s="69">
        <v>305.75</v>
      </c>
      <c r="X1851" s="2">
        <f t="shared" si="84"/>
        <v>0.3</v>
      </c>
      <c r="Y1851" s="2">
        <f>SUMIF(收盤價!A:A,A1851,收盤價!C:C)</f>
        <v>34.51</v>
      </c>
      <c r="Z1851" s="2">
        <f t="shared" si="85"/>
        <v>588285</v>
      </c>
      <c r="AA1851" s="2">
        <f t="shared" si="86"/>
        <v>880005</v>
      </c>
    </row>
    <row r="1852" spans="1:27" ht="14.5" customHeight="1">
      <c r="A1852" s="7" t="s">
        <v>6102</v>
      </c>
      <c r="B1852" s="8" t="s">
        <v>7109</v>
      </c>
      <c r="C1852" s="27">
        <v>308184</v>
      </c>
      <c r="D1852" s="27">
        <v>324343</v>
      </c>
      <c r="E1852" s="69">
        <v>-4.9800000000000004</v>
      </c>
      <c r="F1852" s="27">
        <v>-16195</v>
      </c>
      <c r="G1852" s="27">
        <v>-18132</v>
      </c>
      <c r="H1852" s="27">
        <v>3534</v>
      </c>
      <c r="I1852" s="27">
        <v>4800</v>
      </c>
      <c r="J1852" s="27">
        <v>-12661</v>
      </c>
      <c r="K1852" s="27">
        <v>-14389</v>
      </c>
      <c r="L1852" s="69">
        <v>12.01</v>
      </c>
      <c r="M1852" s="27">
        <v>680620</v>
      </c>
      <c r="N1852" s="69">
        <v>-0.2</v>
      </c>
      <c r="O1852" s="69">
        <v>-0.31</v>
      </c>
      <c r="P1852" s="69">
        <v>12.5</v>
      </c>
      <c r="Q1852" s="27">
        <v>72</v>
      </c>
      <c r="R1852" s="69">
        <v>2.57</v>
      </c>
      <c r="S1852" s="69">
        <v>216.83</v>
      </c>
      <c r="X1852" s="2">
        <f t="shared" si="84"/>
        <v>0.28000000000000003</v>
      </c>
      <c r="Y1852" s="2">
        <f>SUMIF(收盤價!A:A,A1852,收盤價!C:C)</f>
        <v>11.43</v>
      </c>
      <c r="Z1852" s="2">
        <f t="shared" si="85"/>
        <v>850775</v>
      </c>
      <c r="AA1852" s="2">
        <f t="shared" si="86"/>
        <v>777948.65999999992</v>
      </c>
    </row>
    <row r="1853" spans="1:27" ht="14.5" customHeight="1">
      <c r="A1853" s="7" t="s">
        <v>6118</v>
      </c>
      <c r="B1853" s="8" t="s">
        <v>3716</v>
      </c>
      <c r="C1853" s="27">
        <v>765582</v>
      </c>
      <c r="D1853" s="27">
        <v>506008</v>
      </c>
      <c r="E1853" s="69">
        <v>51.3</v>
      </c>
      <c r="F1853" s="27">
        <v>51833</v>
      </c>
      <c r="G1853" s="27">
        <v>-205890</v>
      </c>
      <c r="H1853" s="27">
        <v>-15709</v>
      </c>
      <c r="I1853" s="27">
        <v>-16431</v>
      </c>
      <c r="J1853" s="27">
        <v>31712</v>
      </c>
      <c r="K1853" s="27">
        <v>-218996</v>
      </c>
      <c r="L1853" s="69">
        <v>114.48</v>
      </c>
      <c r="M1853" s="27">
        <v>4636020</v>
      </c>
      <c r="N1853" s="69">
        <v>7.0000000000000007E-2</v>
      </c>
      <c r="O1853" s="69">
        <v>-0.47</v>
      </c>
      <c r="P1853" s="69">
        <v>5.09</v>
      </c>
      <c r="Q1853" s="27">
        <v>46</v>
      </c>
      <c r="R1853" s="69">
        <v>0.3</v>
      </c>
      <c r="S1853" s="69">
        <v>19.93</v>
      </c>
      <c r="X1853" s="2">
        <f t="shared" si="84"/>
        <v>0.54</v>
      </c>
      <c r="Y1853" s="2">
        <f>SUMIF(收盤價!A:A,A1853,收盤價!C:C)</f>
        <v>5.29</v>
      </c>
      <c r="Z1853" s="2">
        <f t="shared" si="85"/>
        <v>2359734.1800000002</v>
      </c>
      <c r="AA1853" s="2">
        <f t="shared" si="86"/>
        <v>2452454.58</v>
      </c>
    </row>
    <row r="1854" spans="1:27" ht="14.5" customHeight="1">
      <c r="A1854" s="7" t="s">
        <v>6131</v>
      </c>
      <c r="B1854" s="8" t="s">
        <v>7110</v>
      </c>
      <c r="C1854" s="27">
        <v>163857</v>
      </c>
      <c r="D1854" s="27">
        <v>165418</v>
      </c>
      <c r="E1854" s="69">
        <v>-0.94</v>
      </c>
      <c r="F1854" s="27">
        <v>8789</v>
      </c>
      <c r="G1854" s="27">
        <v>1802</v>
      </c>
      <c r="H1854" s="27">
        <v>-46</v>
      </c>
      <c r="I1854" s="27">
        <v>4298</v>
      </c>
      <c r="J1854" s="27">
        <v>8125</v>
      </c>
      <c r="K1854" s="27">
        <v>4634</v>
      </c>
      <c r="L1854" s="69">
        <v>75.33</v>
      </c>
      <c r="M1854" s="27">
        <v>305650</v>
      </c>
      <c r="N1854" s="69">
        <v>0.27</v>
      </c>
      <c r="O1854" s="69">
        <v>0.15</v>
      </c>
      <c r="P1854" s="69">
        <v>10.14</v>
      </c>
      <c r="Q1854" s="27">
        <v>63</v>
      </c>
      <c r="R1854" s="69">
        <v>2.13</v>
      </c>
      <c r="S1854" s="69">
        <v>193.18</v>
      </c>
      <c r="X1854" s="2">
        <f t="shared" si="84"/>
        <v>0.37</v>
      </c>
      <c r="Y1854" s="2">
        <f>SUMIF(收盤價!A:A,A1854,收盤價!C:C)</f>
        <v>14.37</v>
      </c>
      <c r="Z1854" s="2">
        <f t="shared" si="85"/>
        <v>309929.09999999998</v>
      </c>
      <c r="AA1854" s="2">
        <f t="shared" si="86"/>
        <v>439219.05</v>
      </c>
    </row>
    <row r="1855" spans="1:27" ht="14.5" customHeight="1">
      <c r="A1855" s="7" t="s">
        <v>6150</v>
      </c>
      <c r="B1855" s="8" t="s">
        <v>3756</v>
      </c>
      <c r="C1855" s="27">
        <v>54492</v>
      </c>
      <c r="D1855" s="27">
        <v>170767</v>
      </c>
      <c r="E1855" s="69">
        <v>-68.09</v>
      </c>
      <c r="F1855" s="27">
        <v>-14526</v>
      </c>
      <c r="G1855" s="27">
        <v>27025</v>
      </c>
      <c r="H1855" s="27">
        <v>4552</v>
      </c>
      <c r="I1855" s="27">
        <v>3762</v>
      </c>
      <c r="J1855" s="27">
        <v>-9975</v>
      </c>
      <c r="K1855" s="27">
        <v>30489</v>
      </c>
      <c r="L1855" s="69">
        <v>-132.72</v>
      </c>
      <c r="M1855" s="27">
        <v>231887</v>
      </c>
      <c r="N1855" s="69">
        <v>-0.43</v>
      </c>
      <c r="O1855" s="69">
        <v>1.31</v>
      </c>
      <c r="P1855" s="69">
        <v>13.02</v>
      </c>
      <c r="Q1855" s="27">
        <v>82</v>
      </c>
      <c r="R1855" s="69">
        <v>7.05</v>
      </c>
      <c r="S1855" s="69">
        <v>632.86</v>
      </c>
      <c r="X1855" s="2">
        <f t="shared" si="84"/>
        <v>0.18</v>
      </c>
      <c r="Y1855" s="2">
        <f>SUMIF(收盤價!A:A,A1855,收盤價!C:C)</f>
        <v>9.0500000000000007</v>
      </c>
      <c r="Z1855" s="2">
        <f t="shared" si="85"/>
        <v>301916.87399999995</v>
      </c>
      <c r="AA1855" s="2">
        <f t="shared" si="86"/>
        <v>209857.73500000002</v>
      </c>
    </row>
    <row r="1856" spans="1:27" ht="14.5" customHeight="1">
      <c r="A1856" s="7" t="s">
        <v>6199</v>
      </c>
      <c r="B1856" s="8" t="s">
        <v>3832</v>
      </c>
      <c r="C1856" s="27">
        <v>57592</v>
      </c>
      <c r="D1856" s="27">
        <v>167695</v>
      </c>
      <c r="E1856" s="69">
        <v>-65.66</v>
      </c>
      <c r="F1856" s="27">
        <v>-47338</v>
      </c>
      <c r="G1856" s="27">
        <v>49740</v>
      </c>
      <c r="H1856" s="27">
        <v>-874</v>
      </c>
      <c r="I1856" s="27">
        <v>2550</v>
      </c>
      <c r="J1856" s="27">
        <v>-51055</v>
      </c>
      <c r="K1856" s="27">
        <v>56337</v>
      </c>
      <c r="L1856" s="69">
        <v>-190.62</v>
      </c>
      <c r="M1856" s="27">
        <v>263516</v>
      </c>
      <c r="N1856" s="69">
        <v>-1.94</v>
      </c>
      <c r="O1856" s="69">
        <v>2.15</v>
      </c>
      <c r="P1856" s="69">
        <v>11.74</v>
      </c>
      <c r="Q1856" s="27">
        <v>53</v>
      </c>
      <c r="R1856" s="69">
        <v>2.92</v>
      </c>
      <c r="S1856" s="69">
        <v>182.32</v>
      </c>
      <c r="X1856" s="2">
        <f t="shared" si="84"/>
        <v>0.47</v>
      </c>
      <c r="Y1856" s="2">
        <f>SUMIF(收盤價!A:A,A1856,收盤價!C:C)</f>
        <v>18.8</v>
      </c>
      <c r="Z1856" s="2">
        <f t="shared" si="85"/>
        <v>309367.78399999999</v>
      </c>
      <c r="AA1856" s="2">
        <f t="shared" si="86"/>
        <v>495410.07999999996</v>
      </c>
    </row>
    <row r="1857" spans="1:27" ht="14.5" customHeight="1">
      <c r="A1857" s="7" t="s">
        <v>6203</v>
      </c>
      <c r="B1857" s="8" t="s">
        <v>3836</v>
      </c>
      <c r="C1857" s="27">
        <v>315870</v>
      </c>
      <c r="D1857" s="27">
        <v>134491</v>
      </c>
      <c r="E1857" s="69">
        <v>134.86000000000001</v>
      </c>
      <c r="F1857" s="27">
        <v>-120152</v>
      </c>
      <c r="G1857" s="27">
        <v>-64380</v>
      </c>
      <c r="H1857" s="27">
        <v>2765</v>
      </c>
      <c r="I1857" s="27">
        <v>15008</v>
      </c>
      <c r="J1857" s="27">
        <v>-114739</v>
      </c>
      <c r="K1857" s="27">
        <v>-50062</v>
      </c>
      <c r="L1857" s="69">
        <v>-129.19</v>
      </c>
      <c r="M1857" s="27">
        <v>938180</v>
      </c>
      <c r="N1857" s="69">
        <v>-1.22</v>
      </c>
      <c r="O1857" s="69">
        <v>-0.55000000000000004</v>
      </c>
      <c r="P1857" s="69">
        <v>9.9600000000000009</v>
      </c>
      <c r="Q1857" s="27">
        <v>63</v>
      </c>
      <c r="R1857" s="69">
        <v>2.4500000000000002</v>
      </c>
      <c r="S1857" s="69">
        <v>157.44999999999999</v>
      </c>
      <c r="X1857" s="2">
        <f t="shared" si="84"/>
        <v>0.37</v>
      </c>
      <c r="Y1857" s="2">
        <f>SUMIF(收盤價!A:A,A1857,收盤價!C:C)</f>
        <v>6.08</v>
      </c>
      <c r="Z1857" s="2">
        <f t="shared" si="85"/>
        <v>934427.28</v>
      </c>
      <c r="AA1857" s="2">
        <f t="shared" si="86"/>
        <v>570413.44000000006</v>
      </c>
    </row>
    <row r="1858" spans="1:27" ht="14.5" customHeight="1">
      <c r="A1858" s="7" t="s">
        <v>6210</v>
      </c>
      <c r="B1858" s="8" t="s">
        <v>3846</v>
      </c>
      <c r="C1858" s="27">
        <v>1126325</v>
      </c>
      <c r="D1858" s="27">
        <v>562878</v>
      </c>
      <c r="E1858" s="69">
        <v>100.1</v>
      </c>
      <c r="F1858" s="27">
        <v>108539</v>
      </c>
      <c r="G1858" s="27">
        <v>38367</v>
      </c>
      <c r="H1858" s="27">
        <v>-9626</v>
      </c>
      <c r="I1858" s="27">
        <v>883</v>
      </c>
      <c r="J1858" s="27">
        <v>79152</v>
      </c>
      <c r="K1858" s="27">
        <v>32121</v>
      </c>
      <c r="L1858" s="69">
        <v>146.41999999999999</v>
      </c>
      <c r="M1858" s="27">
        <v>272400</v>
      </c>
      <c r="N1858" s="69">
        <v>2.91</v>
      </c>
      <c r="O1858" s="69">
        <v>1.18</v>
      </c>
      <c r="P1858" s="69">
        <v>17.78</v>
      </c>
      <c r="Q1858" s="27">
        <v>28</v>
      </c>
      <c r="R1858" s="69">
        <v>1.34</v>
      </c>
      <c r="S1858" s="69">
        <v>112.54</v>
      </c>
      <c r="X1858" s="2">
        <f t="shared" si="84"/>
        <v>0.72</v>
      </c>
      <c r="Y1858" s="2">
        <f>SUMIF(收盤價!A:A,A1858,收盤價!C:C)</f>
        <v>52.4</v>
      </c>
      <c r="Z1858" s="2">
        <f t="shared" si="85"/>
        <v>484327.2</v>
      </c>
      <c r="AA1858" s="2">
        <f t="shared" si="86"/>
        <v>1427376</v>
      </c>
    </row>
    <row r="1859" spans="1:27" ht="14.5" customHeight="1">
      <c r="A1859" s="7" t="s">
        <v>6226</v>
      </c>
      <c r="B1859" s="8" t="s">
        <v>3876</v>
      </c>
      <c r="C1859" s="27">
        <v>778</v>
      </c>
      <c r="D1859" s="27">
        <v>3000</v>
      </c>
      <c r="E1859" s="69">
        <v>-74.069999999999993</v>
      </c>
      <c r="F1859" s="27">
        <v>-82334</v>
      </c>
      <c r="G1859" s="27">
        <v>-60082</v>
      </c>
      <c r="H1859" s="27">
        <v>-7858</v>
      </c>
      <c r="I1859" s="27">
        <v>-6513</v>
      </c>
      <c r="J1859" s="27">
        <v>-87217</v>
      </c>
      <c r="K1859" s="27">
        <v>-66595</v>
      </c>
      <c r="L1859" s="69">
        <v>-30.97</v>
      </c>
      <c r="M1859" s="27">
        <v>426000</v>
      </c>
      <c r="N1859" s="69">
        <v>-2.0499999999999998</v>
      </c>
      <c r="O1859" s="69">
        <v>-1.92</v>
      </c>
      <c r="P1859" s="69">
        <v>2.12</v>
      </c>
      <c r="Q1859" s="27">
        <v>48</v>
      </c>
      <c r="R1859" s="69">
        <v>0.5</v>
      </c>
      <c r="S1859" s="69">
        <v>43.92</v>
      </c>
      <c r="X1859" s="2">
        <f t="shared" si="84"/>
        <v>0.52</v>
      </c>
      <c r="Y1859" s="2">
        <f>SUMIF(收盤價!A:A,A1859,收盤價!C:C)</f>
        <v>19.04</v>
      </c>
      <c r="Z1859" s="2">
        <f t="shared" si="85"/>
        <v>90312</v>
      </c>
      <c r="AA1859" s="2">
        <f t="shared" si="86"/>
        <v>811104</v>
      </c>
    </row>
    <row r="1860" spans="1:27" ht="14.5" customHeight="1">
      <c r="A1860" s="7" t="s">
        <v>6229</v>
      </c>
      <c r="B1860" s="8" t="s">
        <v>3882</v>
      </c>
      <c r="C1860" s="27">
        <v>44066</v>
      </c>
      <c r="D1860" s="27">
        <v>49778</v>
      </c>
      <c r="E1860" s="69">
        <v>-11.47</v>
      </c>
      <c r="F1860" s="27">
        <v>-6011</v>
      </c>
      <c r="G1860" s="27">
        <v>-5217</v>
      </c>
      <c r="H1860" s="27">
        <v>3228</v>
      </c>
      <c r="I1860" s="27">
        <v>6967</v>
      </c>
      <c r="J1860" s="27">
        <v>-3281</v>
      </c>
      <c r="K1860" s="27">
        <v>2811</v>
      </c>
      <c r="L1860" s="69">
        <v>-216.72</v>
      </c>
      <c r="M1860" s="27">
        <v>251613</v>
      </c>
      <c r="N1860" s="69">
        <v>-0.13</v>
      </c>
      <c r="O1860" s="69">
        <v>0.11</v>
      </c>
      <c r="P1860" s="69">
        <v>13.21</v>
      </c>
      <c r="Q1860" s="27">
        <v>81</v>
      </c>
      <c r="R1860" s="69">
        <v>9.3800000000000008</v>
      </c>
      <c r="S1860" s="69">
        <v>780.22</v>
      </c>
      <c r="X1860" s="2">
        <f t="shared" si="84"/>
        <v>0.19</v>
      </c>
      <c r="Y1860" s="2">
        <f>SUMIF(收盤價!A:A,A1860,收盤價!C:C)</f>
        <v>19.690000000000001</v>
      </c>
      <c r="Z1860" s="2">
        <f t="shared" si="85"/>
        <v>332380.77300000004</v>
      </c>
      <c r="AA1860" s="2">
        <f t="shared" si="86"/>
        <v>495425.99700000009</v>
      </c>
    </row>
    <row r="1861" spans="1:27" ht="14.5" customHeight="1">
      <c r="A1861" s="7" t="s">
        <v>6270</v>
      </c>
      <c r="B1861" s="8" t="s">
        <v>3962</v>
      </c>
      <c r="C1861" s="27">
        <v>49384</v>
      </c>
      <c r="D1861" s="27">
        <v>73884</v>
      </c>
      <c r="E1861" s="69">
        <v>-33.159999999999997</v>
      </c>
      <c r="F1861" s="27">
        <v>-35515</v>
      </c>
      <c r="G1861" s="27">
        <v>-43460</v>
      </c>
      <c r="H1861" s="27">
        <v>14879</v>
      </c>
      <c r="I1861" s="27">
        <v>50731</v>
      </c>
      <c r="J1861" s="27">
        <v>-20636</v>
      </c>
      <c r="K1861" s="27">
        <v>7271</v>
      </c>
      <c r="L1861" s="69">
        <v>-383.81</v>
      </c>
      <c r="M1861" s="27">
        <v>325194</v>
      </c>
      <c r="N1861" s="69">
        <v>-0.63</v>
      </c>
      <c r="O1861" s="69">
        <v>0.22</v>
      </c>
      <c r="P1861" s="69">
        <v>10.87</v>
      </c>
      <c r="Q1861" s="27">
        <v>85</v>
      </c>
      <c r="R1861" s="69">
        <v>8.9499999999999993</v>
      </c>
      <c r="S1861" s="69">
        <v>835.34</v>
      </c>
      <c r="X1861" s="2">
        <f t="shared" ref="X1861:X1924" si="87">IF(W1861&lt;&gt;"",ROUND(W1861/U1861,2),(100-Q1861)/100)</f>
        <v>0.15</v>
      </c>
      <c r="Y1861" s="2">
        <f>SUMIF(收盤價!A:A,A1861,收盤價!C:C)</f>
        <v>4.18</v>
      </c>
      <c r="Z1861" s="2">
        <f t="shared" ref="Z1861:Z1924" si="88">IF(W1861&lt;&gt;"",U1861-W1861,M1861*P1861/10)</f>
        <v>353485.87799999997</v>
      </c>
      <c r="AA1861" s="2">
        <f t="shared" ref="AA1861:AA1924" si="89">Y1861*M1861/10</f>
        <v>135931.092</v>
      </c>
    </row>
    <row r="1862" spans="1:27" ht="14.5" customHeight="1">
      <c r="A1862" s="7" t="s">
        <v>6012</v>
      </c>
      <c r="B1862" s="8" t="s">
        <v>7111</v>
      </c>
      <c r="C1862" s="27">
        <v>421714</v>
      </c>
      <c r="D1862" s="27">
        <v>311277</v>
      </c>
      <c r="E1862" s="69">
        <v>35.479999999999997</v>
      </c>
      <c r="F1862" s="27">
        <v>19099</v>
      </c>
      <c r="G1862" s="27">
        <v>13102</v>
      </c>
      <c r="H1862" s="27">
        <v>9866</v>
      </c>
      <c r="I1862" s="27">
        <v>20783</v>
      </c>
      <c r="J1862" s="27">
        <v>23430</v>
      </c>
      <c r="K1862" s="27">
        <v>27232</v>
      </c>
      <c r="L1862" s="69">
        <v>-13.96</v>
      </c>
      <c r="M1862" s="27">
        <v>406144</v>
      </c>
      <c r="N1862" s="69">
        <v>0.57999999999999996</v>
      </c>
      <c r="O1862" s="69">
        <v>0.67</v>
      </c>
      <c r="P1862" s="69">
        <v>15.58</v>
      </c>
      <c r="Q1862" s="27">
        <v>55</v>
      </c>
      <c r="R1862" s="69">
        <v>2.3199999999999998</v>
      </c>
      <c r="S1862" s="69">
        <v>202.86</v>
      </c>
      <c r="X1862" s="2">
        <f t="shared" si="87"/>
        <v>0.45</v>
      </c>
      <c r="Y1862" s="2">
        <f>SUMIF(收盤價!A:A,A1862,收盤價!C:C)</f>
        <v>49.74</v>
      </c>
      <c r="Z1862" s="2">
        <f t="shared" si="88"/>
        <v>632772.35200000007</v>
      </c>
      <c r="AA1862" s="2">
        <f t="shared" si="89"/>
        <v>2020160.2560000003</v>
      </c>
    </row>
    <row r="1863" spans="1:27" ht="14.5" customHeight="1">
      <c r="A1863" s="7" t="s">
        <v>6020</v>
      </c>
      <c r="B1863" s="8" t="s">
        <v>3558</v>
      </c>
      <c r="C1863" s="27">
        <v>126970</v>
      </c>
      <c r="D1863" s="27">
        <v>171774</v>
      </c>
      <c r="E1863" s="69">
        <v>-26.08</v>
      </c>
      <c r="F1863" s="27">
        <v>-6486</v>
      </c>
      <c r="G1863" s="27">
        <v>12981</v>
      </c>
      <c r="H1863" s="27">
        <v>242</v>
      </c>
      <c r="I1863" s="27">
        <v>3768</v>
      </c>
      <c r="J1863" s="27">
        <v>-4525</v>
      </c>
      <c r="K1863" s="27">
        <v>10952</v>
      </c>
      <c r="L1863" s="69">
        <v>-141.32</v>
      </c>
      <c r="M1863" s="27">
        <v>218073</v>
      </c>
      <c r="N1863" s="69">
        <v>-0.21</v>
      </c>
      <c r="O1863" s="69">
        <v>0.5</v>
      </c>
      <c r="P1863" s="69">
        <v>11.71</v>
      </c>
      <c r="Q1863" s="27">
        <v>60</v>
      </c>
      <c r="R1863" s="69">
        <v>3.21</v>
      </c>
      <c r="S1863" s="69">
        <v>186.85</v>
      </c>
      <c r="X1863" s="2">
        <f t="shared" si="87"/>
        <v>0.4</v>
      </c>
      <c r="Y1863" s="2">
        <f>SUMIF(收盤價!A:A,A1863,收盤價!C:C)</f>
        <v>12.67</v>
      </c>
      <c r="Z1863" s="2">
        <f t="shared" si="88"/>
        <v>255363.48300000001</v>
      </c>
      <c r="AA1863" s="2">
        <f t="shared" si="89"/>
        <v>276298.49100000004</v>
      </c>
    </row>
    <row r="1864" spans="1:27" ht="14.5" customHeight="1">
      <c r="A1864" s="7" t="s">
        <v>6029</v>
      </c>
      <c r="B1864" s="8" t="s">
        <v>3574</v>
      </c>
      <c r="C1864" s="27">
        <v>173858</v>
      </c>
      <c r="D1864" s="27">
        <v>249917</v>
      </c>
      <c r="E1864" s="69">
        <v>-30.43</v>
      </c>
      <c r="F1864" s="27">
        <v>-36104</v>
      </c>
      <c r="G1864" s="27">
        <v>-39556</v>
      </c>
      <c r="H1864" s="27">
        <v>24</v>
      </c>
      <c r="I1864" s="27">
        <v>5539</v>
      </c>
      <c r="J1864" s="27">
        <v>-36042</v>
      </c>
      <c r="K1864" s="27">
        <v>-25214</v>
      </c>
      <c r="L1864" s="69">
        <v>-42.94</v>
      </c>
      <c r="M1864" s="27">
        <v>660929</v>
      </c>
      <c r="N1864" s="69">
        <v>-0.55000000000000004</v>
      </c>
      <c r="O1864" s="69">
        <v>-0.38</v>
      </c>
      <c r="P1864" s="69">
        <v>7.41</v>
      </c>
      <c r="Q1864" s="27">
        <v>68</v>
      </c>
      <c r="R1864" s="69">
        <v>2.0499999999999998</v>
      </c>
      <c r="S1864" s="69">
        <v>122.91</v>
      </c>
      <c r="X1864" s="2">
        <f t="shared" si="87"/>
        <v>0.32</v>
      </c>
      <c r="Y1864" s="2">
        <f>SUMIF(收盤價!A:A,A1864,收盤價!C:C)</f>
        <v>5.16</v>
      </c>
      <c r="Z1864" s="2">
        <f t="shared" si="88"/>
        <v>489748.38899999997</v>
      </c>
      <c r="AA1864" s="2">
        <f t="shared" si="89"/>
        <v>341039.364</v>
      </c>
    </row>
    <row r="1865" spans="1:27" ht="14.5" customHeight="1">
      <c r="A1865" s="7" t="s">
        <v>6034</v>
      </c>
      <c r="B1865" s="8" t="s">
        <v>7112</v>
      </c>
      <c r="C1865" s="27">
        <v>71159</v>
      </c>
      <c r="D1865" s="27">
        <v>84170</v>
      </c>
      <c r="E1865" s="69">
        <v>-15.46</v>
      </c>
      <c r="F1865" s="27">
        <v>-16724</v>
      </c>
      <c r="G1865" s="27">
        <v>-19353</v>
      </c>
      <c r="H1865" s="27">
        <v>5729</v>
      </c>
      <c r="I1865" s="27">
        <v>850</v>
      </c>
      <c r="J1865" s="27">
        <v>-10995</v>
      </c>
      <c r="K1865" s="27">
        <v>-20883</v>
      </c>
      <c r="L1865" s="69">
        <v>47.35</v>
      </c>
      <c r="M1865" s="27">
        <v>182296</v>
      </c>
      <c r="N1865" s="69">
        <v>-0.62</v>
      </c>
      <c r="O1865" s="69">
        <v>-1.17</v>
      </c>
      <c r="P1865" s="69">
        <v>6.21</v>
      </c>
      <c r="Q1865" s="27">
        <v>61</v>
      </c>
      <c r="R1865" s="69">
        <v>1.9</v>
      </c>
      <c r="S1865" s="69">
        <v>75.48</v>
      </c>
      <c r="X1865" s="2">
        <f t="shared" si="87"/>
        <v>0.39</v>
      </c>
      <c r="Y1865" s="2">
        <f>SUMIF(收盤價!A:A,A1865,收盤價!C:C)</f>
        <v>4.7300000000000004</v>
      </c>
      <c r="Z1865" s="2">
        <f t="shared" si="88"/>
        <v>113205.81599999999</v>
      </c>
      <c r="AA1865" s="2">
        <f t="shared" si="89"/>
        <v>86226.008000000002</v>
      </c>
    </row>
    <row r="1866" spans="1:27" ht="14.5" customHeight="1">
      <c r="A1866" s="7" t="s">
        <v>6105</v>
      </c>
      <c r="B1866" s="8" t="s">
        <v>3692</v>
      </c>
      <c r="C1866" s="27">
        <v>73850</v>
      </c>
      <c r="D1866" s="27">
        <v>110442</v>
      </c>
      <c r="E1866" s="69">
        <v>-33.130000000000003</v>
      </c>
      <c r="F1866" s="27">
        <v>-39112</v>
      </c>
      <c r="G1866" s="27">
        <v>-16171</v>
      </c>
      <c r="H1866" s="27">
        <v>1353</v>
      </c>
      <c r="I1866" s="27">
        <v>2679</v>
      </c>
      <c r="J1866" s="27">
        <v>-37862</v>
      </c>
      <c r="K1866" s="27">
        <v>-15112</v>
      </c>
      <c r="L1866" s="69">
        <v>-150.54</v>
      </c>
      <c r="M1866" s="27">
        <v>237701</v>
      </c>
      <c r="N1866" s="69">
        <v>-1.59</v>
      </c>
      <c r="O1866" s="69">
        <v>-0.64</v>
      </c>
      <c r="P1866" s="69">
        <v>11.85</v>
      </c>
      <c r="Q1866" s="27">
        <v>59</v>
      </c>
      <c r="R1866" s="69">
        <v>2.46</v>
      </c>
      <c r="S1866" s="69">
        <v>222.67</v>
      </c>
      <c r="X1866" s="2">
        <f t="shared" si="87"/>
        <v>0.41</v>
      </c>
      <c r="Y1866" s="2">
        <f>SUMIF(收盤價!A:A,A1866,收盤價!C:C)</f>
        <v>19.3</v>
      </c>
      <c r="Z1866" s="2">
        <f t="shared" si="88"/>
        <v>281675.685</v>
      </c>
      <c r="AA1866" s="2">
        <f t="shared" si="89"/>
        <v>458762.93</v>
      </c>
    </row>
    <row r="1867" spans="1:27" ht="14.5" customHeight="1">
      <c r="A1867" s="7" t="s">
        <v>6112</v>
      </c>
      <c r="B1867" s="8" t="s">
        <v>7113</v>
      </c>
      <c r="C1867" s="27">
        <v>34154</v>
      </c>
      <c r="D1867" s="27">
        <v>40925</v>
      </c>
      <c r="E1867" s="69">
        <v>-16.54</v>
      </c>
      <c r="F1867" s="27">
        <v>-14608</v>
      </c>
      <c r="G1867" s="27">
        <v>-16825</v>
      </c>
      <c r="H1867" s="27">
        <v>5984</v>
      </c>
      <c r="I1867" s="27">
        <v>15720</v>
      </c>
      <c r="J1867" s="27">
        <v>-8624</v>
      </c>
      <c r="K1867" s="27">
        <v>-1105</v>
      </c>
      <c r="L1867" s="69">
        <v>-680.45</v>
      </c>
      <c r="M1867" s="27">
        <v>333855</v>
      </c>
      <c r="N1867" s="69">
        <v>-0.32</v>
      </c>
      <c r="O1867" s="69">
        <v>-0.04</v>
      </c>
      <c r="P1867" s="69">
        <v>6.32</v>
      </c>
      <c r="Q1867" s="27">
        <v>90</v>
      </c>
      <c r="R1867" s="69">
        <v>10.23</v>
      </c>
      <c r="S1867" s="69">
        <v>892.56</v>
      </c>
      <c r="X1867" s="2">
        <f t="shared" si="87"/>
        <v>0.1</v>
      </c>
      <c r="Y1867" s="2">
        <f>SUMIF(收盤價!A:A,A1867,收盤價!C:C)</f>
        <v>10.5</v>
      </c>
      <c r="Z1867" s="2">
        <f t="shared" si="88"/>
        <v>210996.36000000002</v>
      </c>
      <c r="AA1867" s="2">
        <f t="shared" si="89"/>
        <v>350547.75</v>
      </c>
    </row>
    <row r="1868" spans="1:27" ht="14.5" customHeight="1">
      <c r="A1868" s="7" t="s">
        <v>6162</v>
      </c>
      <c r="B1868" s="8" t="s">
        <v>6163</v>
      </c>
      <c r="C1868" s="27">
        <v>147383</v>
      </c>
      <c r="D1868" s="27">
        <v>113926</v>
      </c>
      <c r="E1868" s="69">
        <v>29.37</v>
      </c>
      <c r="F1868" s="27">
        <v>30836</v>
      </c>
      <c r="G1868" s="27">
        <v>18962</v>
      </c>
      <c r="H1868" s="27">
        <v>1645</v>
      </c>
      <c r="I1868" s="27">
        <v>3424</v>
      </c>
      <c r="J1868" s="27">
        <v>26323</v>
      </c>
      <c r="K1868" s="27">
        <v>12003</v>
      </c>
      <c r="L1868" s="69">
        <v>119.3</v>
      </c>
      <c r="M1868" s="27">
        <v>232757</v>
      </c>
      <c r="N1868" s="69">
        <v>1.1399999999999999</v>
      </c>
      <c r="O1868" s="69">
        <v>0.52</v>
      </c>
      <c r="P1868" s="69">
        <v>20.57</v>
      </c>
      <c r="Q1868" s="27">
        <v>67</v>
      </c>
      <c r="R1868" s="69">
        <v>3.45</v>
      </c>
      <c r="S1868" s="69">
        <v>238.72</v>
      </c>
      <c r="X1868" s="2">
        <f t="shared" si="87"/>
        <v>0.33</v>
      </c>
      <c r="Y1868" s="2">
        <f>SUMIF(收盤價!A:A,A1868,收盤價!C:C)</f>
        <v>127.79</v>
      </c>
      <c r="Z1868" s="2">
        <f t="shared" si="88"/>
        <v>478781.14900000003</v>
      </c>
      <c r="AA1868" s="2">
        <f t="shared" si="89"/>
        <v>2974401.7030000002</v>
      </c>
    </row>
    <row r="1869" spans="1:27" ht="14.5" customHeight="1">
      <c r="A1869" s="7" t="s">
        <v>6261</v>
      </c>
      <c r="B1869" s="8" t="s">
        <v>3952</v>
      </c>
      <c r="C1869" s="27">
        <v>586852</v>
      </c>
      <c r="D1869" s="27">
        <v>567040</v>
      </c>
      <c r="E1869" s="69">
        <v>3.49</v>
      </c>
      <c r="F1869" s="27">
        <v>11656</v>
      </c>
      <c r="G1869" s="27">
        <v>20320</v>
      </c>
      <c r="H1869" s="27">
        <v>31552</v>
      </c>
      <c r="I1869" s="27">
        <v>-15058</v>
      </c>
      <c r="J1869" s="27">
        <v>32142</v>
      </c>
      <c r="K1869" s="27">
        <v>10576</v>
      </c>
      <c r="L1869" s="69">
        <v>203.91</v>
      </c>
      <c r="M1869" s="27">
        <v>815208</v>
      </c>
      <c r="N1869" s="69">
        <v>0.39</v>
      </c>
      <c r="O1869" s="69">
        <v>0.13</v>
      </c>
      <c r="P1869" s="69">
        <v>13.28</v>
      </c>
      <c r="Q1869" s="27">
        <v>46</v>
      </c>
      <c r="R1869" s="69">
        <v>2.16</v>
      </c>
      <c r="S1869" s="69">
        <v>127.63</v>
      </c>
      <c r="X1869" s="2">
        <f t="shared" si="87"/>
        <v>0.54</v>
      </c>
      <c r="Y1869" s="2">
        <f>SUMIF(收盤價!A:A,A1869,收盤價!C:C)</f>
        <v>11.22</v>
      </c>
      <c r="Z1869" s="2">
        <f t="shared" si="88"/>
        <v>1082596.2239999999</v>
      </c>
      <c r="AA1869" s="2">
        <f t="shared" si="89"/>
        <v>914663.37599999993</v>
      </c>
    </row>
    <row r="1870" spans="1:27" ht="14.5" customHeight="1">
      <c r="A1870" s="7" t="s">
        <v>6262</v>
      </c>
      <c r="B1870" s="8" t="s">
        <v>3954</v>
      </c>
      <c r="C1870" s="27">
        <v>1287547</v>
      </c>
      <c r="D1870" s="27">
        <v>1764062</v>
      </c>
      <c r="E1870" s="69">
        <v>-27.01</v>
      </c>
      <c r="F1870" s="27">
        <v>71730</v>
      </c>
      <c r="G1870" s="27">
        <v>195631</v>
      </c>
      <c r="H1870" s="27">
        <v>13942</v>
      </c>
      <c r="I1870" s="27">
        <v>9728</v>
      </c>
      <c r="J1870" s="27">
        <v>72450</v>
      </c>
      <c r="K1870" s="27">
        <v>172676</v>
      </c>
      <c r="L1870" s="69">
        <v>-58.04</v>
      </c>
      <c r="M1870" s="27">
        <v>486248</v>
      </c>
      <c r="N1870" s="69">
        <v>1.49</v>
      </c>
      <c r="O1870" s="69">
        <v>3.6</v>
      </c>
      <c r="P1870" s="69">
        <v>19.739999999999998</v>
      </c>
      <c r="Q1870" s="27">
        <v>50</v>
      </c>
      <c r="R1870" s="69">
        <v>2</v>
      </c>
      <c r="S1870" s="69">
        <v>146.69</v>
      </c>
      <c r="X1870" s="2">
        <f t="shared" si="87"/>
        <v>0.5</v>
      </c>
      <c r="Y1870" s="2">
        <f>SUMIF(收盤價!A:A,A1870,收盤價!C:C)</f>
        <v>29.37</v>
      </c>
      <c r="Z1870" s="2">
        <f t="shared" si="88"/>
        <v>959853.55199999991</v>
      </c>
      <c r="AA1870" s="2">
        <f t="shared" si="89"/>
        <v>1428110.3759999999</v>
      </c>
    </row>
    <row r="1871" spans="1:27" ht="14.5" customHeight="1">
      <c r="A1871" s="7" t="s">
        <v>5980</v>
      </c>
      <c r="B1871" s="8" t="s">
        <v>3492</v>
      </c>
      <c r="C1871" s="27">
        <v>99284</v>
      </c>
      <c r="D1871" s="27">
        <v>127282</v>
      </c>
      <c r="E1871" s="69">
        <v>-22</v>
      </c>
      <c r="F1871" s="27">
        <v>-42588</v>
      </c>
      <c r="G1871" s="27">
        <v>-53054</v>
      </c>
      <c r="H1871" s="27">
        <v>-6910</v>
      </c>
      <c r="I1871" s="27">
        <v>-6194</v>
      </c>
      <c r="J1871" s="27">
        <v>-50608</v>
      </c>
      <c r="K1871" s="27">
        <v>-62300</v>
      </c>
      <c r="L1871" s="69">
        <v>18.77</v>
      </c>
      <c r="M1871" s="27">
        <v>539500</v>
      </c>
      <c r="N1871" s="69">
        <v>-0.94</v>
      </c>
      <c r="O1871" s="69">
        <v>-1.1499999999999999</v>
      </c>
      <c r="P1871" s="69">
        <v>6.26</v>
      </c>
      <c r="Q1871" s="27">
        <v>32</v>
      </c>
      <c r="R1871" s="69">
        <v>3.91</v>
      </c>
      <c r="S1871" s="69">
        <v>154.62</v>
      </c>
      <c r="X1871" s="2">
        <f t="shared" si="87"/>
        <v>0.68</v>
      </c>
      <c r="Y1871" s="2">
        <f>SUMIF(收盤價!A:A,A1871,收盤價!C:C)</f>
        <v>8.9700000000000006</v>
      </c>
      <c r="Z1871" s="2">
        <f t="shared" si="88"/>
        <v>337727</v>
      </c>
      <c r="AA1871" s="2">
        <f t="shared" si="89"/>
        <v>483931.5</v>
      </c>
    </row>
    <row r="1872" spans="1:27" ht="14.5" customHeight="1">
      <c r="A1872" s="7" t="s">
        <v>6011</v>
      </c>
      <c r="B1872" s="8" t="s">
        <v>7114</v>
      </c>
      <c r="C1872" s="27">
        <v>244648</v>
      </c>
      <c r="D1872" s="27">
        <v>500198</v>
      </c>
      <c r="E1872" s="69">
        <v>-51.09</v>
      </c>
      <c r="F1872" s="27">
        <v>-99478</v>
      </c>
      <c r="G1872" s="27">
        <v>12088</v>
      </c>
      <c r="H1872" s="27">
        <v>-708</v>
      </c>
      <c r="I1872" s="27">
        <v>9480</v>
      </c>
      <c r="J1872" s="27">
        <v>-106502</v>
      </c>
      <c r="K1872" s="27">
        <v>12964</v>
      </c>
      <c r="L1872" s="69">
        <v>-921.52</v>
      </c>
      <c r="M1872" s="27">
        <v>348850</v>
      </c>
      <c r="N1872" s="69">
        <v>-3.05</v>
      </c>
      <c r="O1872" s="69">
        <v>0.37</v>
      </c>
      <c r="P1872" s="69">
        <v>9.6</v>
      </c>
      <c r="Q1872" s="27">
        <v>34</v>
      </c>
      <c r="R1872" s="69">
        <v>1.19</v>
      </c>
      <c r="S1872" s="69">
        <v>76.25</v>
      </c>
      <c r="X1872" s="2">
        <f t="shared" si="87"/>
        <v>0.66</v>
      </c>
      <c r="Y1872" s="2">
        <f>SUMIF(收盤價!A:A,A1872,收盤價!C:C)</f>
        <v>5.23</v>
      </c>
      <c r="Z1872" s="2">
        <f t="shared" si="88"/>
        <v>334896</v>
      </c>
      <c r="AA1872" s="2">
        <f t="shared" si="89"/>
        <v>182448.55000000002</v>
      </c>
    </row>
    <row r="1873" spans="1:27" ht="14.5" customHeight="1">
      <c r="A1873" s="7" t="s">
        <v>6018</v>
      </c>
      <c r="B1873" s="8" t="s">
        <v>3554</v>
      </c>
      <c r="C1873" s="27">
        <v>1495570</v>
      </c>
      <c r="D1873" s="27">
        <v>1734209</v>
      </c>
      <c r="E1873" s="69">
        <v>-13.76</v>
      </c>
      <c r="F1873" s="27">
        <v>180789</v>
      </c>
      <c r="G1873" s="27">
        <v>291873</v>
      </c>
      <c r="H1873" s="27">
        <v>28534</v>
      </c>
      <c r="I1873" s="27">
        <v>41350</v>
      </c>
      <c r="J1873" s="27">
        <v>156753</v>
      </c>
      <c r="K1873" s="27">
        <v>271849</v>
      </c>
      <c r="L1873" s="69">
        <v>-42.34</v>
      </c>
      <c r="M1873" s="27">
        <v>910000</v>
      </c>
      <c r="N1873" s="69">
        <v>1.72</v>
      </c>
      <c r="O1873" s="69">
        <v>2.99</v>
      </c>
      <c r="P1873" s="69">
        <v>30.97</v>
      </c>
      <c r="Q1873" s="27">
        <v>53</v>
      </c>
      <c r="R1873" s="69">
        <v>1.18</v>
      </c>
      <c r="S1873" s="69">
        <v>90.14</v>
      </c>
      <c r="X1873" s="2">
        <f t="shared" si="87"/>
        <v>0.47</v>
      </c>
      <c r="Y1873" s="2">
        <f>SUMIF(收盤價!A:A,A1873,收盤價!C:C)</f>
        <v>34.229999999999997</v>
      </c>
      <c r="Z1873" s="2">
        <f t="shared" si="88"/>
        <v>2818270</v>
      </c>
      <c r="AA1873" s="2">
        <f t="shared" si="89"/>
        <v>3114929.9999999995</v>
      </c>
    </row>
    <row r="1874" spans="1:27" ht="14.5" customHeight="1">
      <c r="A1874" s="7" t="s">
        <v>6025</v>
      </c>
      <c r="B1874" s="8" t="s">
        <v>3568</v>
      </c>
      <c r="C1874" s="27">
        <v>267995</v>
      </c>
      <c r="D1874" s="27">
        <v>348861</v>
      </c>
      <c r="E1874" s="69">
        <v>-23.18</v>
      </c>
      <c r="F1874" s="27">
        <v>-25148</v>
      </c>
      <c r="G1874" s="27">
        <v>-627</v>
      </c>
      <c r="H1874" s="27">
        <v>8377</v>
      </c>
      <c r="I1874" s="27">
        <v>17741</v>
      </c>
      <c r="J1874" s="27">
        <v>-17922</v>
      </c>
      <c r="K1874" s="27">
        <v>22322</v>
      </c>
      <c r="L1874" s="69">
        <v>-180.29</v>
      </c>
      <c r="M1874" s="27">
        <v>1236686</v>
      </c>
      <c r="N1874" s="69">
        <v>-0.15</v>
      </c>
      <c r="O1874" s="69">
        <v>0.17</v>
      </c>
      <c r="P1874" s="69">
        <v>11.3</v>
      </c>
      <c r="Q1874" s="27">
        <v>75</v>
      </c>
      <c r="R1874" s="69">
        <v>4.8600000000000003</v>
      </c>
      <c r="S1874" s="69">
        <v>456.07</v>
      </c>
      <c r="X1874" s="2">
        <f t="shared" si="87"/>
        <v>0.25</v>
      </c>
      <c r="Y1874" s="2">
        <f>SUMIF(收盤價!A:A,A1874,收盤價!C:C)</f>
        <v>4.9800000000000004</v>
      </c>
      <c r="Z1874" s="2">
        <f t="shared" si="88"/>
        <v>1397455.1800000002</v>
      </c>
      <c r="AA1874" s="2">
        <f t="shared" si="89"/>
        <v>615869.62800000003</v>
      </c>
    </row>
    <row r="1875" spans="1:27" ht="14.5" customHeight="1">
      <c r="A1875" s="7" t="s">
        <v>6089</v>
      </c>
      <c r="B1875" s="8" t="s">
        <v>3664</v>
      </c>
      <c r="C1875" s="27">
        <v>269057</v>
      </c>
      <c r="D1875" s="27">
        <v>261203</v>
      </c>
      <c r="E1875" s="69">
        <v>3.01</v>
      </c>
      <c r="F1875" s="27">
        <v>-28072</v>
      </c>
      <c r="G1875" s="27">
        <v>-32018</v>
      </c>
      <c r="H1875" s="27">
        <v>12284</v>
      </c>
      <c r="I1875" s="27">
        <v>8868</v>
      </c>
      <c r="J1875" s="27">
        <v>-3903</v>
      </c>
      <c r="K1875" s="27">
        <v>-5169</v>
      </c>
      <c r="L1875" s="69">
        <v>24.49</v>
      </c>
      <c r="M1875" s="27">
        <v>332041</v>
      </c>
      <c r="N1875" s="69">
        <v>-0.12</v>
      </c>
      <c r="O1875" s="69">
        <v>-0.16</v>
      </c>
      <c r="P1875" s="69">
        <v>14.95</v>
      </c>
      <c r="Q1875" s="27">
        <v>59</v>
      </c>
      <c r="R1875" s="69">
        <v>2.15</v>
      </c>
      <c r="S1875" s="69">
        <v>147.33000000000001</v>
      </c>
      <c r="X1875" s="2">
        <f t="shared" si="87"/>
        <v>0.41</v>
      </c>
      <c r="Y1875" s="2">
        <f>SUMIF(收盤價!A:A,A1875,收盤價!C:C)</f>
        <v>18.07</v>
      </c>
      <c r="Z1875" s="2">
        <f t="shared" si="88"/>
        <v>496401.29500000004</v>
      </c>
      <c r="AA1875" s="2">
        <f t="shared" si="89"/>
        <v>599998.08700000006</v>
      </c>
    </row>
    <row r="1876" spans="1:27" ht="14.5" customHeight="1">
      <c r="A1876" s="7" t="s">
        <v>6092</v>
      </c>
      <c r="B1876" s="8" t="s">
        <v>3670</v>
      </c>
      <c r="C1876" s="27">
        <v>208610</v>
      </c>
      <c r="D1876" s="27">
        <v>277328</v>
      </c>
      <c r="E1876" s="69">
        <v>-24.78</v>
      </c>
      <c r="F1876" s="27">
        <v>-10070</v>
      </c>
      <c r="G1876" s="27">
        <v>16197</v>
      </c>
      <c r="H1876" s="27">
        <v>-545</v>
      </c>
      <c r="I1876" s="27">
        <v>-1013</v>
      </c>
      <c r="J1876" s="27">
        <v>-9661</v>
      </c>
      <c r="K1876" s="27">
        <v>13969</v>
      </c>
      <c r="L1876" s="69">
        <v>-169.16</v>
      </c>
      <c r="M1876" s="27">
        <v>335793</v>
      </c>
      <c r="N1876" s="69">
        <v>-0.28999999999999998</v>
      </c>
      <c r="O1876" s="69">
        <v>0.42</v>
      </c>
      <c r="P1876" s="69">
        <v>14.29</v>
      </c>
      <c r="Q1876" s="27">
        <v>38</v>
      </c>
      <c r="R1876" s="69">
        <v>1.43</v>
      </c>
      <c r="S1876" s="69">
        <v>84.33</v>
      </c>
      <c r="X1876" s="2">
        <f t="shared" si="87"/>
        <v>0.62</v>
      </c>
      <c r="Y1876" s="2">
        <f>SUMIF(收盤價!A:A,A1876,收盤價!C:C)</f>
        <v>12.73</v>
      </c>
      <c r="Z1876" s="2">
        <f t="shared" si="88"/>
        <v>479848.19699999999</v>
      </c>
      <c r="AA1876" s="2">
        <f t="shared" si="89"/>
        <v>427464.48900000006</v>
      </c>
    </row>
    <row r="1877" spans="1:27" ht="14.5" customHeight="1">
      <c r="A1877" s="7" t="s">
        <v>6097</v>
      </c>
      <c r="B1877" s="8" t="s">
        <v>3680</v>
      </c>
      <c r="C1877" s="27">
        <v>263822</v>
      </c>
      <c r="D1877" s="27">
        <v>271022</v>
      </c>
      <c r="E1877" s="69">
        <v>-2.66</v>
      </c>
      <c r="F1877" s="27">
        <v>8919</v>
      </c>
      <c r="G1877" s="27">
        <v>6558</v>
      </c>
      <c r="H1877" s="27">
        <v>8331</v>
      </c>
      <c r="I1877" s="27">
        <v>7730</v>
      </c>
      <c r="J1877" s="27">
        <v>13624</v>
      </c>
      <c r="K1877" s="27">
        <v>11269</v>
      </c>
      <c r="L1877" s="69">
        <v>20.9</v>
      </c>
      <c r="M1877" s="27">
        <v>205516</v>
      </c>
      <c r="N1877" s="69">
        <v>0.76</v>
      </c>
      <c r="O1877" s="69">
        <v>0.62</v>
      </c>
      <c r="P1877" s="69">
        <v>14.66</v>
      </c>
      <c r="Q1877" s="27">
        <v>44</v>
      </c>
      <c r="R1877" s="69">
        <v>1.1499999999999999</v>
      </c>
      <c r="S1877" s="69">
        <v>90.34</v>
      </c>
      <c r="X1877" s="2">
        <f t="shared" si="87"/>
        <v>0.56000000000000005</v>
      </c>
      <c r="Y1877" s="2">
        <f>SUMIF(收盤價!A:A,A1877,收盤價!C:C)</f>
        <v>20.52</v>
      </c>
      <c r="Z1877" s="2">
        <f t="shared" si="88"/>
        <v>301286.45600000001</v>
      </c>
      <c r="AA1877" s="2">
        <f t="shared" si="89"/>
        <v>421718.83200000005</v>
      </c>
    </row>
    <row r="1878" spans="1:27" ht="14.5" customHeight="1">
      <c r="A1878" s="7" t="s">
        <v>6101</v>
      </c>
      <c r="B1878" s="8" t="s">
        <v>7115</v>
      </c>
      <c r="C1878" s="27">
        <v>339059</v>
      </c>
      <c r="D1878" s="27">
        <v>400568</v>
      </c>
      <c r="E1878" s="69">
        <v>-15.36</v>
      </c>
      <c r="F1878" s="27">
        <v>3859</v>
      </c>
      <c r="G1878" s="27">
        <v>-12244</v>
      </c>
      <c r="H1878" s="27">
        <v>-1967</v>
      </c>
      <c r="I1878" s="27">
        <v>6204</v>
      </c>
      <c r="J1878" s="27">
        <v>1709</v>
      </c>
      <c r="K1878" s="27">
        <v>-9529</v>
      </c>
      <c r="L1878" s="69">
        <v>117.93</v>
      </c>
      <c r="M1878" s="27">
        <v>689062</v>
      </c>
      <c r="N1878" s="69">
        <v>0.02</v>
      </c>
      <c r="O1878" s="69">
        <v>-0.22</v>
      </c>
      <c r="P1878" s="69">
        <v>5.25</v>
      </c>
      <c r="Q1878" s="27">
        <v>41</v>
      </c>
      <c r="R1878" s="69">
        <v>1.03</v>
      </c>
      <c r="S1878" s="69">
        <v>71.63</v>
      </c>
      <c r="X1878" s="2">
        <f t="shared" si="87"/>
        <v>0.59</v>
      </c>
      <c r="Y1878" s="2">
        <f>SUMIF(收盤價!A:A,A1878,收盤價!C:C)</f>
        <v>9.41</v>
      </c>
      <c r="Z1878" s="2">
        <f t="shared" si="88"/>
        <v>361757.55</v>
      </c>
      <c r="AA1878" s="2">
        <f t="shared" si="89"/>
        <v>648407.34199999995</v>
      </c>
    </row>
    <row r="1879" spans="1:27" ht="14.5" customHeight="1">
      <c r="A1879" s="7" t="s">
        <v>6111</v>
      </c>
      <c r="B1879" s="8" t="s">
        <v>7116</v>
      </c>
      <c r="C1879" s="27">
        <v>1204472</v>
      </c>
      <c r="D1879" s="27">
        <v>1204197</v>
      </c>
      <c r="E1879" s="69">
        <v>0.02</v>
      </c>
      <c r="F1879" s="27">
        <v>-31580</v>
      </c>
      <c r="G1879" s="27">
        <v>-49837</v>
      </c>
      <c r="H1879" s="27">
        <v>9359</v>
      </c>
      <c r="I1879" s="27">
        <v>22397</v>
      </c>
      <c r="J1879" s="27">
        <v>-17190</v>
      </c>
      <c r="K1879" s="27">
        <v>-42341</v>
      </c>
      <c r="L1879" s="69">
        <v>59.4</v>
      </c>
      <c r="M1879" s="27">
        <v>666640</v>
      </c>
      <c r="N1879" s="69">
        <v>-0.26</v>
      </c>
      <c r="O1879" s="69">
        <v>-0.64</v>
      </c>
      <c r="P1879" s="69">
        <v>12.15</v>
      </c>
      <c r="Q1879" s="27">
        <v>32</v>
      </c>
      <c r="R1879" s="69">
        <v>1.36</v>
      </c>
      <c r="S1879" s="69">
        <v>100.95</v>
      </c>
      <c r="X1879" s="2">
        <f t="shared" si="87"/>
        <v>0.68</v>
      </c>
      <c r="Y1879" s="2">
        <f>SUMIF(收盤價!A:A,A1879,收盤價!C:C)</f>
        <v>4.04</v>
      </c>
      <c r="Z1879" s="2">
        <f t="shared" si="88"/>
        <v>809967.6</v>
      </c>
      <c r="AA1879" s="2">
        <f t="shared" si="89"/>
        <v>269322.56</v>
      </c>
    </row>
    <row r="1880" spans="1:27" ht="14.5" customHeight="1">
      <c r="A1880" s="7" t="s">
        <v>6113</v>
      </c>
      <c r="B1880" s="8" t="s">
        <v>3710</v>
      </c>
      <c r="C1880" s="27">
        <v>2166011</v>
      </c>
      <c r="D1880" s="27">
        <v>2060969</v>
      </c>
      <c r="E1880" s="69">
        <v>5.0999999999999996</v>
      </c>
      <c r="F1880" s="27">
        <v>279700</v>
      </c>
      <c r="G1880" s="27">
        <v>230320</v>
      </c>
      <c r="H1880" s="27">
        <v>-27683</v>
      </c>
      <c r="I1880" s="27">
        <v>-31682</v>
      </c>
      <c r="J1880" s="27">
        <v>181916</v>
      </c>
      <c r="K1880" s="27">
        <v>147297</v>
      </c>
      <c r="L1880" s="69">
        <v>23.5</v>
      </c>
      <c r="M1880" s="27">
        <v>700875</v>
      </c>
      <c r="N1880" s="69">
        <v>2.65</v>
      </c>
      <c r="O1880" s="69">
        <v>2.11</v>
      </c>
      <c r="P1880" s="69">
        <v>19.98</v>
      </c>
      <c r="Q1880" s="27">
        <v>27</v>
      </c>
      <c r="R1880" s="69">
        <v>0.89</v>
      </c>
      <c r="S1880" s="69">
        <v>73.78</v>
      </c>
      <c r="X1880" s="2">
        <f t="shared" si="87"/>
        <v>0.73</v>
      </c>
      <c r="Y1880" s="2">
        <f>SUMIF(收盤價!A:A,A1880,收盤價!C:C)</f>
        <v>31.37</v>
      </c>
      <c r="Z1880" s="2">
        <f t="shared" si="88"/>
        <v>1400348.25</v>
      </c>
      <c r="AA1880" s="2">
        <f t="shared" si="89"/>
        <v>2198644.875</v>
      </c>
    </row>
    <row r="1881" spans="1:27" ht="14.5" customHeight="1">
      <c r="A1881" s="7" t="s">
        <v>6126</v>
      </c>
      <c r="B1881" s="8" t="s">
        <v>3726</v>
      </c>
      <c r="C1881" s="27">
        <v>88885</v>
      </c>
      <c r="D1881" s="27">
        <v>119062</v>
      </c>
      <c r="E1881" s="69">
        <v>-25.35</v>
      </c>
      <c r="F1881" s="27">
        <v>-42264</v>
      </c>
      <c r="G1881" s="27">
        <v>-68739</v>
      </c>
      <c r="H1881" s="27">
        <v>3671</v>
      </c>
      <c r="I1881" s="27">
        <v>1387</v>
      </c>
      <c r="J1881" s="27">
        <v>-38593</v>
      </c>
      <c r="K1881" s="27">
        <v>-66952</v>
      </c>
      <c r="L1881" s="69">
        <v>42.36</v>
      </c>
      <c r="M1881" s="27">
        <v>282350</v>
      </c>
      <c r="N1881" s="69">
        <v>-1.37</v>
      </c>
      <c r="O1881" s="69">
        <v>-2.65</v>
      </c>
      <c r="P1881" s="69">
        <v>5.95</v>
      </c>
      <c r="Q1881" s="27">
        <v>59</v>
      </c>
      <c r="R1881" s="69">
        <v>1.01</v>
      </c>
      <c r="S1881" s="69">
        <v>60.88</v>
      </c>
      <c r="X1881" s="2">
        <f t="shared" si="87"/>
        <v>0.41</v>
      </c>
      <c r="Y1881" s="2">
        <f>SUMIF(收盤價!A:A,A1881,收盤價!C:C)</f>
        <v>17.12</v>
      </c>
      <c r="Z1881" s="2">
        <f t="shared" si="88"/>
        <v>167998.25</v>
      </c>
      <c r="AA1881" s="2">
        <f t="shared" si="89"/>
        <v>483383.2</v>
      </c>
    </row>
    <row r="1882" spans="1:27" ht="14.5" customHeight="1">
      <c r="A1882" s="7" t="s">
        <v>6149</v>
      </c>
      <c r="B1882" s="8" t="s">
        <v>7117</v>
      </c>
      <c r="C1882" s="27">
        <v>246913</v>
      </c>
      <c r="D1882" s="27">
        <v>178674</v>
      </c>
      <c r="E1882" s="69">
        <v>38.19</v>
      </c>
      <c r="F1882" s="27">
        <v>-21134</v>
      </c>
      <c r="G1882" s="27">
        <v>-18049</v>
      </c>
      <c r="H1882" s="27">
        <v>38223</v>
      </c>
      <c r="I1882" s="27">
        <v>4203</v>
      </c>
      <c r="J1882" s="27">
        <v>19288</v>
      </c>
      <c r="K1882" s="27">
        <v>-13130</v>
      </c>
      <c r="L1882" s="69">
        <v>246.9</v>
      </c>
      <c r="M1882" s="27">
        <v>1203000</v>
      </c>
      <c r="N1882" s="69">
        <v>0.16</v>
      </c>
      <c r="O1882" s="69">
        <v>-0.28999999999999998</v>
      </c>
      <c r="P1882" s="69">
        <v>25.67</v>
      </c>
      <c r="Q1882" s="27">
        <v>92</v>
      </c>
      <c r="R1882" s="69">
        <v>12.08</v>
      </c>
      <c r="S1882" s="69">
        <v>1063.83</v>
      </c>
      <c r="X1882" s="2">
        <f t="shared" si="87"/>
        <v>0.08</v>
      </c>
      <c r="Y1882" s="2">
        <f>SUMIF(收盤價!A:A,A1882,收盤價!C:C)</f>
        <v>29.39</v>
      </c>
      <c r="Z1882" s="2">
        <f t="shared" si="88"/>
        <v>3088101.0000000005</v>
      </c>
      <c r="AA1882" s="2">
        <f t="shared" si="89"/>
        <v>3535617</v>
      </c>
    </row>
    <row r="1883" spans="1:27" ht="14.5" customHeight="1">
      <c r="A1883" s="7" t="s">
        <v>6159</v>
      </c>
      <c r="B1883" s="8" t="s">
        <v>3772</v>
      </c>
      <c r="C1883" s="27">
        <v>848582</v>
      </c>
      <c r="D1883" s="27">
        <v>866109</v>
      </c>
      <c r="E1883" s="69">
        <v>-2.02</v>
      </c>
      <c r="F1883" s="27">
        <v>6366</v>
      </c>
      <c r="G1883" s="27">
        <v>16294</v>
      </c>
      <c r="H1883" s="27">
        <v>-3335</v>
      </c>
      <c r="I1883" s="27">
        <v>-2558</v>
      </c>
      <c r="J1883" s="27">
        <v>818</v>
      </c>
      <c r="K1883" s="27">
        <v>4866</v>
      </c>
      <c r="L1883" s="69">
        <v>-83.19</v>
      </c>
      <c r="M1883" s="27">
        <v>520000</v>
      </c>
      <c r="N1883" s="69">
        <v>0.02</v>
      </c>
      <c r="O1883" s="69">
        <v>0.09</v>
      </c>
      <c r="P1883" s="69">
        <v>22.77</v>
      </c>
      <c r="Q1883" s="27">
        <v>34</v>
      </c>
      <c r="R1883" s="69">
        <v>0.84</v>
      </c>
      <c r="S1883" s="69">
        <v>67.680000000000007</v>
      </c>
      <c r="X1883" s="2">
        <f t="shared" si="87"/>
        <v>0.66</v>
      </c>
      <c r="Y1883" s="2">
        <f>SUMIF(收盤價!A:A,A1883,收盤價!C:C)</f>
        <v>37.61</v>
      </c>
      <c r="Z1883" s="2">
        <f t="shared" si="88"/>
        <v>1184040</v>
      </c>
      <c r="AA1883" s="2">
        <f t="shared" si="89"/>
        <v>1955720</v>
      </c>
    </row>
    <row r="1884" spans="1:27" ht="14.5" customHeight="1">
      <c r="A1884" s="7" t="s">
        <v>6166</v>
      </c>
      <c r="B1884" s="8" t="s">
        <v>3782</v>
      </c>
      <c r="C1884" s="27">
        <v>222844</v>
      </c>
      <c r="D1884" s="27">
        <v>214802</v>
      </c>
      <c r="E1884" s="69">
        <v>3.74</v>
      </c>
      <c r="F1884" s="27">
        <v>24932</v>
      </c>
      <c r="G1884" s="27">
        <v>14559</v>
      </c>
      <c r="H1884" s="27">
        <v>-1650</v>
      </c>
      <c r="I1884" s="27">
        <v>1661</v>
      </c>
      <c r="J1884" s="27">
        <v>21486</v>
      </c>
      <c r="K1884" s="27">
        <v>23700</v>
      </c>
      <c r="L1884" s="69">
        <v>-9.34</v>
      </c>
      <c r="M1884" s="27">
        <v>207240</v>
      </c>
      <c r="N1884" s="69">
        <v>1.04</v>
      </c>
      <c r="O1884" s="69">
        <v>1.1599999999999999</v>
      </c>
      <c r="P1884" s="69">
        <v>12.15</v>
      </c>
      <c r="Q1884" s="27">
        <v>40</v>
      </c>
      <c r="R1884" s="69">
        <v>0.89</v>
      </c>
      <c r="S1884" s="69">
        <v>62.56</v>
      </c>
      <c r="X1884" s="2">
        <f t="shared" si="87"/>
        <v>0.6</v>
      </c>
      <c r="Y1884" s="2">
        <f>SUMIF(收盤價!A:A,A1884,收盤價!C:C)</f>
        <v>22.59</v>
      </c>
      <c r="Z1884" s="2">
        <f t="shared" si="88"/>
        <v>251796.6</v>
      </c>
      <c r="AA1884" s="2">
        <f t="shared" si="89"/>
        <v>468155.16</v>
      </c>
    </row>
    <row r="1885" spans="1:27" ht="14.5" customHeight="1">
      <c r="A1885" s="7" t="s">
        <v>6227</v>
      </c>
      <c r="B1885" s="8" t="s">
        <v>3878</v>
      </c>
      <c r="C1885" s="27">
        <v>361493</v>
      </c>
      <c r="D1885" s="27">
        <v>105241</v>
      </c>
      <c r="E1885" s="69">
        <v>243.49</v>
      </c>
      <c r="F1885" s="27">
        <v>48444</v>
      </c>
      <c r="G1885" s="27">
        <v>-1213</v>
      </c>
      <c r="H1885" s="27">
        <v>15302</v>
      </c>
      <c r="I1885" s="27">
        <v>16462</v>
      </c>
      <c r="J1885" s="27">
        <v>48313</v>
      </c>
      <c r="K1885" s="27">
        <v>9195</v>
      </c>
      <c r="L1885" s="69">
        <v>425.43</v>
      </c>
      <c r="M1885" s="27">
        <v>180521</v>
      </c>
      <c r="N1885" s="69">
        <v>2.68</v>
      </c>
      <c r="O1885" s="69">
        <v>0.51</v>
      </c>
      <c r="P1885" s="69">
        <v>23.04</v>
      </c>
      <c r="Q1885" s="27">
        <v>34</v>
      </c>
      <c r="R1885" s="69">
        <v>1.29</v>
      </c>
      <c r="S1885" s="69">
        <v>58.8</v>
      </c>
      <c r="X1885" s="2">
        <f t="shared" si="87"/>
        <v>0.66</v>
      </c>
      <c r="Y1885" s="2">
        <f>SUMIF(收盤價!A:A,A1885,收盤價!C:C)</f>
        <v>66.2</v>
      </c>
      <c r="Z1885" s="2">
        <f t="shared" si="88"/>
        <v>415920.38399999996</v>
      </c>
      <c r="AA1885" s="2">
        <f t="shared" si="89"/>
        <v>1195049.02</v>
      </c>
    </row>
    <row r="1886" spans="1:27" ht="14.5" customHeight="1">
      <c r="A1886" s="7" t="s">
        <v>6263</v>
      </c>
      <c r="B1886" s="8" t="s">
        <v>3956</v>
      </c>
      <c r="C1886" s="27">
        <v>1311634</v>
      </c>
      <c r="D1886" s="27">
        <v>1155092</v>
      </c>
      <c r="E1886" s="69">
        <v>13.55</v>
      </c>
      <c r="F1886" s="27">
        <v>12351</v>
      </c>
      <c r="G1886" s="27">
        <v>28022</v>
      </c>
      <c r="H1886" s="27">
        <v>107716</v>
      </c>
      <c r="I1886" s="27">
        <v>56847</v>
      </c>
      <c r="J1886" s="27">
        <v>56841</v>
      </c>
      <c r="K1886" s="27">
        <v>27646</v>
      </c>
      <c r="L1886" s="69">
        <v>105.6</v>
      </c>
      <c r="M1886" s="27">
        <v>700000</v>
      </c>
      <c r="N1886" s="69">
        <v>0.81</v>
      </c>
      <c r="O1886" s="69">
        <v>0.39</v>
      </c>
      <c r="P1886" s="69">
        <v>33.44</v>
      </c>
      <c r="Q1886" s="27">
        <v>51</v>
      </c>
      <c r="R1886" s="69">
        <v>1.81</v>
      </c>
      <c r="S1886" s="69">
        <v>160.1</v>
      </c>
      <c r="X1886" s="2">
        <f t="shared" si="87"/>
        <v>0.49</v>
      </c>
      <c r="Y1886" s="2">
        <f>SUMIF(收盤價!A:A,A1886,收盤價!C:C)</f>
        <v>18.329999999999998</v>
      </c>
      <c r="Z1886" s="2">
        <f t="shared" si="88"/>
        <v>2340800</v>
      </c>
      <c r="AA1886" s="2">
        <f t="shared" si="89"/>
        <v>1283099.9999999998</v>
      </c>
    </row>
    <row r="1887" spans="1:27" ht="14.5" customHeight="1">
      <c r="A1887" s="7" t="s">
        <v>6021</v>
      </c>
      <c r="B1887" s="8" t="s">
        <v>7118</v>
      </c>
      <c r="C1887" s="27">
        <v>1513650</v>
      </c>
      <c r="D1887" s="27">
        <v>1969335</v>
      </c>
      <c r="E1887" s="69">
        <v>-23.14</v>
      </c>
      <c r="F1887" s="27">
        <v>33293</v>
      </c>
      <c r="G1887" s="27">
        <v>24673</v>
      </c>
      <c r="H1887" s="27">
        <v>-5521</v>
      </c>
      <c r="I1887" s="27">
        <v>-7081</v>
      </c>
      <c r="J1887" s="27">
        <v>21086</v>
      </c>
      <c r="K1887" s="27">
        <v>11385</v>
      </c>
      <c r="L1887" s="69">
        <v>85.21</v>
      </c>
      <c r="M1887" s="27">
        <v>408000</v>
      </c>
      <c r="N1887" s="69">
        <v>0.53</v>
      </c>
      <c r="O1887" s="69">
        <v>0.31</v>
      </c>
      <c r="P1887" s="69">
        <v>11.7</v>
      </c>
      <c r="Q1887" s="27">
        <v>28</v>
      </c>
      <c r="R1887" s="69">
        <v>1.38</v>
      </c>
      <c r="S1887" s="69">
        <v>97.16</v>
      </c>
      <c r="X1887" s="2">
        <f t="shared" si="87"/>
        <v>0.72</v>
      </c>
      <c r="Y1887" s="2">
        <f>SUMIF(收盤價!A:A,A1887,收盤價!C:C)</f>
        <v>7.25</v>
      </c>
      <c r="Z1887" s="2">
        <f t="shared" si="88"/>
        <v>477360</v>
      </c>
      <c r="AA1887" s="2">
        <f t="shared" si="89"/>
        <v>295800</v>
      </c>
    </row>
    <row r="1888" spans="1:27" ht="14.5" customHeight="1">
      <c r="A1888" s="7" t="s">
        <v>6030</v>
      </c>
      <c r="B1888" s="8" t="s">
        <v>3576</v>
      </c>
      <c r="C1888" s="27">
        <v>81123</v>
      </c>
      <c r="D1888" s="27">
        <v>81706</v>
      </c>
      <c r="E1888" s="69">
        <v>-0.71</v>
      </c>
      <c r="F1888" s="27">
        <v>-5464</v>
      </c>
      <c r="G1888" s="27">
        <v>-7957</v>
      </c>
      <c r="H1888" s="27">
        <v>6794</v>
      </c>
      <c r="I1888" s="27">
        <v>8923</v>
      </c>
      <c r="J1888" s="27">
        <v>1111</v>
      </c>
      <c r="K1888" s="27">
        <v>475</v>
      </c>
      <c r="L1888" s="69">
        <v>133.88999999999999</v>
      </c>
      <c r="M1888" s="27">
        <v>248443</v>
      </c>
      <c r="N1888" s="69">
        <v>0.04</v>
      </c>
      <c r="O1888" s="69">
        <v>0.02</v>
      </c>
      <c r="P1888" s="69">
        <v>7.63</v>
      </c>
      <c r="Q1888" s="27">
        <v>56</v>
      </c>
      <c r="R1888" s="69">
        <v>1.0900000000000001</v>
      </c>
      <c r="S1888" s="69">
        <v>79</v>
      </c>
      <c r="X1888" s="2">
        <f t="shared" si="87"/>
        <v>0.44</v>
      </c>
      <c r="Y1888" s="2">
        <f>SUMIF(收盤價!A:A,A1888,收盤價!C:C)</f>
        <v>3.65</v>
      </c>
      <c r="Z1888" s="2">
        <f t="shared" si="88"/>
        <v>189562.00900000002</v>
      </c>
      <c r="AA1888" s="2">
        <f t="shared" si="89"/>
        <v>90681.694999999992</v>
      </c>
    </row>
    <row r="1889" spans="1:27" ht="14.5" customHeight="1">
      <c r="A1889" s="7" t="s">
        <v>6125</v>
      </c>
      <c r="B1889" s="8" t="s">
        <v>3724</v>
      </c>
      <c r="C1889" s="27">
        <v>1502225</v>
      </c>
      <c r="D1889" s="27">
        <v>1425477</v>
      </c>
      <c r="E1889" s="69">
        <v>5.38</v>
      </c>
      <c r="F1889" s="27">
        <v>50320</v>
      </c>
      <c r="G1889" s="27">
        <v>67975</v>
      </c>
      <c r="H1889" s="27">
        <v>-7621</v>
      </c>
      <c r="I1889" s="27">
        <v>-8561</v>
      </c>
      <c r="J1889" s="27">
        <v>32111</v>
      </c>
      <c r="K1889" s="27">
        <v>48481</v>
      </c>
      <c r="L1889" s="69">
        <v>-33.770000000000003</v>
      </c>
      <c r="M1889" s="27">
        <v>357855</v>
      </c>
      <c r="N1889" s="69">
        <v>0.9</v>
      </c>
      <c r="O1889" s="69">
        <v>1.36</v>
      </c>
      <c r="P1889" s="69">
        <v>21.48</v>
      </c>
      <c r="Q1889" s="27">
        <v>34</v>
      </c>
      <c r="R1889" s="69">
        <v>1.35</v>
      </c>
      <c r="S1889" s="69">
        <v>78.48</v>
      </c>
      <c r="X1889" s="2">
        <f t="shared" si="87"/>
        <v>0.66</v>
      </c>
      <c r="Y1889" s="2">
        <f>SUMIF(收盤價!A:A,A1889,收盤價!C:C)</f>
        <v>25.35</v>
      </c>
      <c r="Z1889" s="2">
        <f t="shared" si="88"/>
        <v>768672.54</v>
      </c>
      <c r="AA1889" s="2">
        <f t="shared" si="89"/>
        <v>907162.42500000005</v>
      </c>
    </row>
    <row r="1890" spans="1:27" ht="14.5" customHeight="1">
      <c r="A1890" s="7" t="s">
        <v>6014</v>
      </c>
      <c r="B1890" s="8" t="s">
        <v>3546</v>
      </c>
      <c r="C1890" s="27">
        <v>268838</v>
      </c>
      <c r="D1890" s="27">
        <v>268465</v>
      </c>
      <c r="E1890" s="69">
        <v>0.14000000000000001</v>
      </c>
      <c r="F1890" s="27">
        <v>23222</v>
      </c>
      <c r="G1890" s="27">
        <v>33611</v>
      </c>
      <c r="H1890" s="27">
        <v>822</v>
      </c>
      <c r="I1890" s="27">
        <v>1189</v>
      </c>
      <c r="J1890" s="27">
        <v>19047</v>
      </c>
      <c r="K1890" s="27">
        <v>25854</v>
      </c>
      <c r="L1890" s="69">
        <v>-26.33</v>
      </c>
      <c r="M1890" s="27">
        <v>262979</v>
      </c>
      <c r="N1890" s="69">
        <v>0.72</v>
      </c>
      <c r="O1890" s="69">
        <v>0.99</v>
      </c>
      <c r="P1890" s="69">
        <v>14.98</v>
      </c>
      <c r="Q1890" s="27">
        <v>63</v>
      </c>
      <c r="R1890" s="69">
        <v>1.44</v>
      </c>
      <c r="S1890" s="69">
        <v>143.99</v>
      </c>
      <c r="X1890" s="2">
        <f t="shared" si="87"/>
        <v>0.37</v>
      </c>
      <c r="Y1890" s="2">
        <f>SUMIF(收盤價!A:A,A1890,收盤價!C:C)</f>
        <v>38.369999999999997</v>
      </c>
      <c r="Z1890" s="2">
        <f t="shared" si="88"/>
        <v>393942.54200000002</v>
      </c>
      <c r="AA1890" s="2">
        <f t="shared" si="89"/>
        <v>1009050.4229999998</v>
      </c>
    </row>
    <row r="1891" spans="1:27" ht="14.5" customHeight="1">
      <c r="A1891" s="7" t="s">
        <v>6139</v>
      </c>
      <c r="B1891" s="8" t="s">
        <v>3738</v>
      </c>
      <c r="C1891" s="27">
        <v>128507</v>
      </c>
      <c r="D1891" s="27">
        <v>163672</v>
      </c>
      <c r="E1891" s="69">
        <v>-21.49</v>
      </c>
      <c r="F1891" s="27">
        <v>-11614</v>
      </c>
      <c r="G1891" s="27">
        <v>22181</v>
      </c>
      <c r="H1891" s="27">
        <v>5527</v>
      </c>
      <c r="I1891" s="27">
        <v>-291</v>
      </c>
      <c r="J1891" s="27">
        <v>-8234</v>
      </c>
      <c r="K1891" s="27">
        <v>10743</v>
      </c>
      <c r="L1891" s="69">
        <v>-176.65</v>
      </c>
      <c r="M1891" s="27">
        <v>223448</v>
      </c>
      <c r="N1891" s="69">
        <v>-0.37</v>
      </c>
      <c r="O1891" s="69">
        <v>0.51</v>
      </c>
      <c r="P1891" s="69">
        <v>11.27</v>
      </c>
      <c r="Q1891" s="27">
        <v>46</v>
      </c>
      <c r="R1891" s="69">
        <v>2.15</v>
      </c>
      <c r="S1891" s="69">
        <v>140.77000000000001</v>
      </c>
      <c r="X1891" s="2">
        <f t="shared" si="87"/>
        <v>0.54</v>
      </c>
      <c r="Y1891" s="2">
        <f>SUMIF(收盤價!A:A,A1891,收盤價!C:C)</f>
        <v>9.81</v>
      </c>
      <c r="Z1891" s="2">
        <f t="shared" si="88"/>
        <v>251825.89600000001</v>
      </c>
      <c r="AA1891" s="2">
        <f t="shared" si="89"/>
        <v>219202.48799999998</v>
      </c>
    </row>
    <row r="1892" spans="1:27" ht="14.5" customHeight="1">
      <c r="A1892" s="7" t="s">
        <v>6141</v>
      </c>
      <c r="B1892" s="8" t="s">
        <v>3742</v>
      </c>
      <c r="C1892" s="27">
        <v>47291</v>
      </c>
      <c r="D1892" s="27">
        <v>19007</v>
      </c>
      <c r="E1892" s="69">
        <v>148.81</v>
      </c>
      <c r="F1892" s="27">
        <v>-140</v>
      </c>
      <c r="G1892" s="27">
        <v>-8660</v>
      </c>
      <c r="H1892" s="27">
        <v>-1730</v>
      </c>
      <c r="I1892" s="27">
        <v>-3154</v>
      </c>
      <c r="J1892" s="27">
        <v>-712</v>
      </c>
      <c r="K1892" s="27">
        <v>-6712</v>
      </c>
      <c r="L1892" s="69">
        <v>89.39</v>
      </c>
      <c r="M1892" s="27">
        <v>263240</v>
      </c>
      <c r="N1892" s="69">
        <v>-0.03</v>
      </c>
      <c r="O1892" s="69">
        <v>-0.31</v>
      </c>
      <c r="P1892" s="69">
        <v>3.78</v>
      </c>
      <c r="Q1892" s="27">
        <v>80</v>
      </c>
      <c r="R1892" s="69">
        <v>7.96</v>
      </c>
      <c r="S1892" s="69">
        <v>687.94</v>
      </c>
      <c r="X1892" s="2">
        <f t="shared" si="87"/>
        <v>0.2</v>
      </c>
      <c r="Y1892" s="2">
        <f>SUMIF(收盤價!A:A,A1892,收盤價!C:C)</f>
        <v>20.9</v>
      </c>
      <c r="Z1892" s="2">
        <f t="shared" si="88"/>
        <v>99504.72</v>
      </c>
      <c r="AA1892" s="2">
        <f t="shared" si="89"/>
        <v>550171.6</v>
      </c>
    </row>
    <row r="1893" spans="1:27" ht="14.5" customHeight="1">
      <c r="A1893" s="7" t="s">
        <v>6153</v>
      </c>
      <c r="B1893" s="8" t="s">
        <v>3760</v>
      </c>
      <c r="C1893" s="27">
        <v>51020</v>
      </c>
      <c r="D1893" s="27">
        <v>60595</v>
      </c>
      <c r="E1893" s="69">
        <v>-15.8</v>
      </c>
      <c r="F1893" s="27">
        <v>-25031</v>
      </c>
      <c r="G1893" s="27">
        <v>-30320</v>
      </c>
      <c r="H1893" s="27">
        <v>2923</v>
      </c>
      <c r="I1893" s="27">
        <v>3516</v>
      </c>
      <c r="J1893" s="27">
        <v>-23187</v>
      </c>
      <c r="K1893" s="27">
        <v>-29208</v>
      </c>
      <c r="L1893" s="69">
        <v>20.61</v>
      </c>
      <c r="M1893" s="27">
        <v>260179</v>
      </c>
      <c r="N1893" s="69">
        <v>-0.89</v>
      </c>
      <c r="O1893" s="69">
        <v>-1.1200000000000001</v>
      </c>
      <c r="P1893" s="69">
        <v>5.31</v>
      </c>
      <c r="Q1893" s="27">
        <v>58</v>
      </c>
      <c r="R1893" s="69">
        <v>2.67</v>
      </c>
      <c r="S1893" s="69">
        <v>254.33</v>
      </c>
      <c r="X1893" s="2">
        <f t="shared" si="87"/>
        <v>0.42</v>
      </c>
      <c r="Y1893" s="2">
        <f>SUMIF(收盤價!A:A,A1893,收盤價!C:C)</f>
        <v>10.84</v>
      </c>
      <c r="Z1893" s="2">
        <f t="shared" si="88"/>
        <v>138155.049</v>
      </c>
      <c r="AA1893" s="2">
        <f t="shared" si="89"/>
        <v>282034.03599999996</v>
      </c>
    </row>
    <row r="1894" spans="1:27" ht="14.5" customHeight="1">
      <c r="A1894" s="7" t="s">
        <v>6271</v>
      </c>
      <c r="B1894" s="8" t="s">
        <v>7119</v>
      </c>
      <c r="C1894" s="27">
        <v>769115</v>
      </c>
      <c r="D1894" s="27">
        <v>664179</v>
      </c>
      <c r="E1894" s="69">
        <v>15.8</v>
      </c>
      <c r="F1894" s="27">
        <v>90545</v>
      </c>
      <c r="G1894" s="27">
        <v>48701</v>
      </c>
      <c r="H1894" s="27">
        <v>12975</v>
      </c>
      <c r="I1894" s="27">
        <v>12455</v>
      </c>
      <c r="J1894" s="27">
        <v>83889</v>
      </c>
      <c r="K1894" s="27">
        <v>51735</v>
      </c>
      <c r="L1894" s="69">
        <v>62.15</v>
      </c>
      <c r="M1894" s="27">
        <v>412520</v>
      </c>
      <c r="N1894" s="69">
        <v>2.06</v>
      </c>
      <c r="O1894" s="69">
        <v>1.28</v>
      </c>
      <c r="P1894" s="69">
        <v>15.3</v>
      </c>
      <c r="Q1894" s="27">
        <v>52</v>
      </c>
      <c r="R1894" s="69">
        <v>1.81</v>
      </c>
      <c r="S1894" s="69">
        <v>179.86</v>
      </c>
      <c r="X1894" s="2">
        <f t="shared" si="87"/>
        <v>0.48</v>
      </c>
      <c r="Y1894" s="2">
        <f>SUMIF(收盤價!A:A,A1894,收盤價!C:C)</f>
        <v>64.94</v>
      </c>
      <c r="Z1894" s="2">
        <f t="shared" si="88"/>
        <v>631155.6</v>
      </c>
      <c r="AA1894" s="2">
        <f t="shared" si="89"/>
        <v>2678904.88</v>
      </c>
    </row>
    <row r="1895" spans="1:27" ht="14.5" customHeight="1">
      <c r="A1895" s="7" t="s">
        <v>6272</v>
      </c>
      <c r="B1895" s="8" t="s">
        <v>3966</v>
      </c>
      <c r="C1895" s="27">
        <v>33320</v>
      </c>
      <c r="D1895" s="27">
        <v>67428</v>
      </c>
      <c r="E1895" s="69">
        <v>-50.58</v>
      </c>
      <c r="F1895" s="27">
        <v>-61781</v>
      </c>
      <c r="G1895" s="27">
        <v>-27569</v>
      </c>
      <c r="H1895" s="27">
        <v>8852</v>
      </c>
      <c r="I1895" s="27">
        <v>9740</v>
      </c>
      <c r="J1895" s="27">
        <v>-44079</v>
      </c>
      <c r="K1895" s="27">
        <v>-16498</v>
      </c>
      <c r="L1895" s="69">
        <v>-167.18</v>
      </c>
      <c r="M1895" s="27">
        <v>252971</v>
      </c>
      <c r="N1895" s="69">
        <v>-1.74</v>
      </c>
      <c r="O1895" s="69">
        <v>-0.66</v>
      </c>
      <c r="P1895" s="69">
        <v>8.9499999999999993</v>
      </c>
      <c r="Q1895" s="27">
        <v>68</v>
      </c>
      <c r="R1895" s="69">
        <v>3.38</v>
      </c>
      <c r="S1895" s="69">
        <v>332.72</v>
      </c>
      <c r="X1895" s="2">
        <f t="shared" si="87"/>
        <v>0.32</v>
      </c>
      <c r="Y1895" s="2">
        <f>SUMIF(收盤價!A:A,A1895,收盤價!C:C)</f>
        <v>22.9</v>
      </c>
      <c r="Z1895" s="2">
        <f t="shared" si="88"/>
        <v>226409.04499999998</v>
      </c>
      <c r="AA1895" s="2">
        <f t="shared" si="89"/>
        <v>579303.59</v>
      </c>
    </row>
    <row r="1896" spans="1:27" ht="14.5" customHeight="1">
      <c r="A1896" s="7" t="s">
        <v>6019</v>
      </c>
      <c r="B1896" s="8" t="s">
        <v>3556</v>
      </c>
      <c r="C1896" s="27">
        <v>123583</v>
      </c>
      <c r="D1896" s="27">
        <v>216703</v>
      </c>
      <c r="E1896" s="69">
        <v>-42.97</v>
      </c>
      <c r="F1896" s="27">
        <v>-1856</v>
      </c>
      <c r="G1896" s="27">
        <v>42725</v>
      </c>
      <c r="H1896" s="27">
        <v>4372</v>
      </c>
      <c r="I1896" s="27">
        <v>-4308</v>
      </c>
      <c r="J1896" s="27">
        <v>1785</v>
      </c>
      <c r="K1896" s="27">
        <v>28209</v>
      </c>
      <c r="L1896" s="69">
        <v>-93.67</v>
      </c>
      <c r="M1896" s="27">
        <v>153133</v>
      </c>
      <c r="N1896" s="69">
        <v>0.12</v>
      </c>
      <c r="O1896" s="69">
        <v>1.84</v>
      </c>
      <c r="P1896" s="69">
        <v>30.81</v>
      </c>
      <c r="Q1896" s="27">
        <v>61</v>
      </c>
      <c r="R1896" s="69">
        <v>1.73</v>
      </c>
      <c r="S1896" s="69">
        <v>159.97999999999999</v>
      </c>
      <c r="X1896" s="2">
        <f t="shared" si="87"/>
        <v>0.39</v>
      </c>
      <c r="Y1896" s="2">
        <f>SUMIF(收盤價!A:A,A1896,收盤價!C:C)</f>
        <v>34.799999999999997</v>
      </c>
      <c r="Z1896" s="2">
        <f t="shared" si="88"/>
        <v>471802.77299999993</v>
      </c>
      <c r="AA1896" s="2">
        <f t="shared" si="89"/>
        <v>532902.84</v>
      </c>
    </row>
    <row r="1897" spans="1:27" ht="14.5" customHeight="1">
      <c r="A1897" s="7" t="s">
        <v>6093</v>
      </c>
      <c r="B1897" s="8" t="s">
        <v>7120</v>
      </c>
      <c r="C1897" s="27">
        <v>103429</v>
      </c>
      <c r="D1897" s="27">
        <v>110243</v>
      </c>
      <c r="E1897" s="69">
        <v>-6.18</v>
      </c>
      <c r="F1897" s="27">
        <v>-57125</v>
      </c>
      <c r="G1897" s="27">
        <v>-69474</v>
      </c>
      <c r="H1897" s="27">
        <v>10293</v>
      </c>
      <c r="I1897" s="27">
        <v>14395</v>
      </c>
      <c r="J1897" s="27">
        <v>-46832</v>
      </c>
      <c r="K1897" s="27">
        <v>-55079</v>
      </c>
      <c r="L1897" s="69">
        <v>14.97</v>
      </c>
      <c r="M1897" s="27">
        <v>1795817</v>
      </c>
      <c r="N1897" s="69">
        <v>-0.48</v>
      </c>
      <c r="O1897" s="69">
        <v>-1.1000000000000001</v>
      </c>
      <c r="P1897" s="69">
        <v>21.9</v>
      </c>
      <c r="Q1897" s="27">
        <v>93</v>
      </c>
      <c r="R1897" s="69">
        <v>14.81</v>
      </c>
      <c r="S1897" s="69">
        <v>1243.8399999999999</v>
      </c>
      <c r="X1897" s="2">
        <f t="shared" si="87"/>
        <v>7.0000000000000007E-2</v>
      </c>
      <c r="Y1897" s="2">
        <f>SUMIF(收盤價!A:A,A1897,收盤價!C:C)</f>
        <v>30.45</v>
      </c>
      <c r="Z1897" s="2">
        <f t="shared" si="88"/>
        <v>3932839.2299999995</v>
      </c>
      <c r="AA1897" s="2">
        <f t="shared" si="89"/>
        <v>5468262.7649999997</v>
      </c>
    </row>
    <row r="1898" spans="1:27" ht="14.5" customHeight="1">
      <c r="A1898" s="7" t="s">
        <v>6186</v>
      </c>
      <c r="B1898" s="8" t="s">
        <v>3818</v>
      </c>
      <c r="C1898" s="27">
        <v>130622</v>
      </c>
      <c r="D1898" s="27">
        <v>53017</v>
      </c>
      <c r="E1898" s="69">
        <v>146.38</v>
      </c>
      <c r="F1898" s="27">
        <v>45701</v>
      </c>
      <c r="G1898" s="27">
        <v>-10328</v>
      </c>
      <c r="H1898" s="27">
        <v>-868</v>
      </c>
      <c r="I1898" s="27">
        <v>414</v>
      </c>
      <c r="J1898" s="27">
        <v>45048</v>
      </c>
      <c r="K1898" s="27">
        <v>-9659</v>
      </c>
      <c r="L1898" s="69">
        <v>566.38</v>
      </c>
      <c r="M1898" s="27">
        <v>266800</v>
      </c>
      <c r="N1898" s="69">
        <v>1.71</v>
      </c>
      <c r="O1898" s="69">
        <v>-0.36</v>
      </c>
      <c r="P1898" s="69">
        <v>12.05</v>
      </c>
      <c r="Q1898" s="27">
        <v>51</v>
      </c>
      <c r="R1898" s="69">
        <v>1.67</v>
      </c>
      <c r="S1898" s="69">
        <v>78.16</v>
      </c>
      <c r="X1898" s="2">
        <f t="shared" si="87"/>
        <v>0.49</v>
      </c>
      <c r="Y1898" s="2">
        <f>SUMIF(收盤價!A:A,A1898,收盤價!C:C)</f>
        <v>49.74</v>
      </c>
      <c r="Z1898" s="2">
        <f t="shared" si="88"/>
        <v>321494</v>
      </c>
      <c r="AA1898" s="2">
        <f t="shared" si="89"/>
        <v>1327063.2</v>
      </c>
    </row>
    <row r="1899" spans="1:27" ht="14.5" customHeight="1">
      <c r="A1899" s="7" t="s">
        <v>6207</v>
      </c>
      <c r="B1899" s="8" t="s">
        <v>3842</v>
      </c>
      <c r="C1899" s="27">
        <v>2902367</v>
      </c>
      <c r="D1899" s="27">
        <v>1673682</v>
      </c>
      <c r="E1899" s="69">
        <v>73.41</v>
      </c>
      <c r="F1899" s="27">
        <v>78443</v>
      </c>
      <c r="G1899" s="27">
        <v>28375</v>
      </c>
      <c r="H1899" s="27">
        <v>1509</v>
      </c>
      <c r="I1899" s="27">
        <v>-249</v>
      </c>
      <c r="J1899" s="27">
        <v>64077</v>
      </c>
      <c r="K1899" s="27">
        <v>23769</v>
      </c>
      <c r="L1899" s="69">
        <v>169.58</v>
      </c>
      <c r="M1899" s="27">
        <v>302500</v>
      </c>
      <c r="N1899" s="69">
        <v>2.12</v>
      </c>
      <c r="O1899" s="69">
        <v>0.93</v>
      </c>
      <c r="P1899" s="69">
        <v>26.38</v>
      </c>
      <c r="Q1899" s="27">
        <v>40</v>
      </c>
      <c r="R1899" s="69">
        <v>1.64</v>
      </c>
      <c r="S1899" s="69">
        <v>140.27000000000001</v>
      </c>
      <c r="X1899" s="2">
        <f t="shared" si="87"/>
        <v>0.6</v>
      </c>
      <c r="Y1899" s="2">
        <f>SUMIF(收盤價!A:A,A1899,收盤價!C:C)</f>
        <v>173.42</v>
      </c>
      <c r="Z1899" s="2">
        <f t="shared" si="88"/>
        <v>797995</v>
      </c>
      <c r="AA1899" s="2">
        <f t="shared" si="89"/>
        <v>5245954.9999999991</v>
      </c>
    </row>
    <row r="1900" spans="1:27" ht="14.5" customHeight="1">
      <c r="A1900" s="7" t="s">
        <v>6209</v>
      </c>
      <c r="B1900" s="8" t="s">
        <v>3844</v>
      </c>
      <c r="C1900" s="27">
        <v>2380446</v>
      </c>
      <c r="D1900" s="27">
        <v>1670676</v>
      </c>
      <c r="E1900" s="69">
        <v>42.48</v>
      </c>
      <c r="F1900" s="27">
        <v>264558</v>
      </c>
      <c r="G1900" s="27">
        <v>200290</v>
      </c>
      <c r="H1900" s="27">
        <v>5167</v>
      </c>
      <c r="I1900" s="27">
        <v>13036</v>
      </c>
      <c r="J1900" s="27">
        <v>208305</v>
      </c>
      <c r="K1900" s="27">
        <v>180526</v>
      </c>
      <c r="L1900" s="69">
        <v>15.39</v>
      </c>
      <c r="M1900" s="27">
        <v>410620</v>
      </c>
      <c r="N1900" s="69">
        <v>5.07</v>
      </c>
      <c r="O1900" s="69">
        <v>4.66</v>
      </c>
      <c r="P1900" s="69">
        <v>60.15</v>
      </c>
      <c r="Q1900" s="27">
        <v>39</v>
      </c>
      <c r="R1900" s="69">
        <v>1.58</v>
      </c>
      <c r="S1900" s="69">
        <v>156.38999999999999</v>
      </c>
      <c r="X1900" s="2">
        <f t="shared" si="87"/>
        <v>0.61</v>
      </c>
      <c r="Y1900" s="2">
        <f>SUMIF(收盤價!A:A,A1900,收盤價!C:C)</f>
        <v>150.49</v>
      </c>
      <c r="Z1900" s="2">
        <f t="shared" si="88"/>
        <v>2469879.2999999998</v>
      </c>
      <c r="AA1900" s="2">
        <f t="shared" si="89"/>
        <v>6179420.3800000008</v>
      </c>
    </row>
    <row r="1901" spans="1:27" ht="14.5" customHeight="1">
      <c r="A1901" s="7" t="s">
        <v>6222</v>
      </c>
      <c r="B1901" s="8" t="s">
        <v>3868</v>
      </c>
      <c r="C1901" s="27">
        <v>221078</v>
      </c>
      <c r="D1901" s="27">
        <v>255587</v>
      </c>
      <c r="E1901" s="69">
        <v>-13.5</v>
      </c>
      <c r="F1901" s="27">
        <v>-8568</v>
      </c>
      <c r="G1901" s="27">
        <v>32157</v>
      </c>
      <c r="H1901" s="27">
        <v>14504</v>
      </c>
      <c r="I1901" s="27">
        <v>6860</v>
      </c>
      <c r="J1901" s="27">
        <v>5504</v>
      </c>
      <c r="K1901" s="27">
        <v>35806</v>
      </c>
      <c r="L1901" s="69">
        <v>-84.63</v>
      </c>
      <c r="M1901" s="27">
        <v>249366</v>
      </c>
      <c r="N1901" s="69">
        <v>0.22</v>
      </c>
      <c r="O1901" s="69">
        <v>1.52</v>
      </c>
      <c r="P1901" s="69">
        <v>15.26</v>
      </c>
      <c r="Q1901" s="27">
        <v>68</v>
      </c>
      <c r="R1901" s="69">
        <v>2.5</v>
      </c>
      <c r="S1901" s="69">
        <v>166.58</v>
      </c>
      <c r="X1901" s="2">
        <f t="shared" si="87"/>
        <v>0.32</v>
      </c>
      <c r="Y1901" s="2">
        <f>SUMIF(收盤價!A:A,A1901,收盤價!C:C)</f>
        <v>11.61</v>
      </c>
      <c r="Z1901" s="2">
        <f t="shared" si="88"/>
        <v>380532.516</v>
      </c>
      <c r="AA1901" s="2">
        <f t="shared" si="89"/>
        <v>289513.92599999998</v>
      </c>
    </row>
    <row r="1902" spans="1:27" ht="14.5" customHeight="1">
      <c r="A1902" s="7" t="s">
        <v>6117</v>
      </c>
      <c r="B1902" s="8" t="s">
        <v>7121</v>
      </c>
      <c r="C1902" s="27">
        <v>51901</v>
      </c>
      <c r="D1902" s="27">
        <v>37157</v>
      </c>
      <c r="E1902" s="69">
        <v>39.68</v>
      </c>
      <c r="F1902" s="27">
        <v>-8724</v>
      </c>
      <c r="G1902" s="27">
        <v>-7439</v>
      </c>
      <c r="H1902" s="27">
        <v>831</v>
      </c>
      <c r="I1902" s="27">
        <v>999</v>
      </c>
      <c r="J1902" s="27">
        <v>-7893</v>
      </c>
      <c r="K1902" s="27">
        <v>-7077</v>
      </c>
      <c r="L1902" s="69">
        <v>-11.53</v>
      </c>
      <c r="M1902" s="27">
        <v>176825</v>
      </c>
      <c r="N1902" s="69">
        <v>-0.45</v>
      </c>
      <c r="O1902" s="69">
        <v>-0.4</v>
      </c>
      <c r="P1902" s="69">
        <v>7.98</v>
      </c>
      <c r="Q1902" s="27">
        <v>70</v>
      </c>
      <c r="R1902" s="69">
        <v>3.43</v>
      </c>
      <c r="S1902" s="69">
        <v>327.25</v>
      </c>
      <c r="X1902" s="2">
        <f t="shared" si="87"/>
        <v>0.3</v>
      </c>
      <c r="Y1902" s="2">
        <f>SUMIF(收盤價!A:A,A1902,收盤價!C:C)</f>
        <v>11.96</v>
      </c>
      <c r="Z1902" s="2">
        <f t="shared" si="88"/>
        <v>141106.35</v>
      </c>
      <c r="AA1902" s="2">
        <f t="shared" si="89"/>
        <v>211482.7</v>
      </c>
    </row>
    <row r="1903" spans="1:27" ht="14.5" customHeight="1">
      <c r="A1903" s="7" t="s">
        <v>6123</v>
      </c>
      <c r="B1903" s="8" t="s">
        <v>3720</v>
      </c>
      <c r="C1903" s="27">
        <v>463777</v>
      </c>
      <c r="D1903" s="27">
        <v>240970</v>
      </c>
      <c r="E1903" s="69">
        <v>92.46</v>
      </c>
      <c r="F1903" s="27">
        <v>12946</v>
      </c>
      <c r="G1903" s="27">
        <v>48056</v>
      </c>
      <c r="H1903" s="27">
        <v>6999</v>
      </c>
      <c r="I1903" s="27">
        <v>9244</v>
      </c>
      <c r="J1903" s="27">
        <v>15143</v>
      </c>
      <c r="K1903" s="27">
        <v>35634</v>
      </c>
      <c r="L1903" s="69">
        <v>-57.5</v>
      </c>
      <c r="M1903" s="27">
        <v>120740</v>
      </c>
      <c r="N1903" s="69">
        <v>1.25</v>
      </c>
      <c r="O1903" s="69">
        <v>2.97</v>
      </c>
      <c r="P1903" s="69">
        <v>45.68</v>
      </c>
      <c r="Q1903" s="27">
        <v>70</v>
      </c>
      <c r="R1903" s="69">
        <v>3.29</v>
      </c>
      <c r="S1903" s="69">
        <v>324.10000000000002</v>
      </c>
      <c r="X1903" s="2">
        <f t="shared" si="87"/>
        <v>0.3</v>
      </c>
      <c r="Y1903" s="2">
        <f>SUMIF(收盤價!A:A,A1903,收盤價!C:C)</f>
        <v>79</v>
      </c>
      <c r="Z1903" s="2">
        <f t="shared" si="88"/>
        <v>551540.32000000007</v>
      </c>
      <c r="AA1903" s="2">
        <f t="shared" si="89"/>
        <v>953846</v>
      </c>
    </row>
    <row r="1904" spans="1:27" ht="14.5" customHeight="1">
      <c r="A1904" s="7" t="s">
        <v>6124</v>
      </c>
      <c r="B1904" s="8" t="s">
        <v>3722</v>
      </c>
      <c r="C1904" s="27">
        <v>75805</v>
      </c>
      <c r="D1904" s="27">
        <v>67810</v>
      </c>
      <c r="E1904" s="69">
        <v>11.79</v>
      </c>
      <c r="F1904" s="27">
        <v>-31784</v>
      </c>
      <c r="G1904" s="27">
        <v>-42521</v>
      </c>
      <c r="H1904" s="27">
        <v>-1215</v>
      </c>
      <c r="I1904" s="27">
        <v>4497</v>
      </c>
      <c r="J1904" s="27">
        <v>-33749</v>
      </c>
      <c r="K1904" s="27">
        <v>-37616</v>
      </c>
      <c r="L1904" s="69">
        <v>10.28</v>
      </c>
      <c r="M1904" s="27">
        <v>285000</v>
      </c>
      <c r="N1904" s="69">
        <v>-0.59</v>
      </c>
      <c r="O1904" s="69">
        <v>-0.66</v>
      </c>
      <c r="P1904" s="69">
        <v>1.07</v>
      </c>
      <c r="Q1904" s="27">
        <v>39</v>
      </c>
      <c r="R1904" s="69">
        <v>1.47</v>
      </c>
      <c r="S1904" s="69">
        <v>114.04</v>
      </c>
      <c r="X1904" s="2">
        <f t="shared" si="87"/>
        <v>0.61</v>
      </c>
      <c r="Y1904" s="2">
        <f>SUMIF(收盤價!A:A,A1904,收盤價!C:C)</f>
        <v>4.0199999999999996</v>
      </c>
      <c r="Z1904" s="2">
        <f t="shared" si="88"/>
        <v>30495</v>
      </c>
      <c r="AA1904" s="2">
        <f t="shared" si="89"/>
        <v>114569.99999999997</v>
      </c>
    </row>
    <row r="1905" spans="1:27" ht="14.5" customHeight="1">
      <c r="A1905" s="7" t="s">
        <v>6158</v>
      </c>
      <c r="B1905" s="8" t="s">
        <v>3770</v>
      </c>
      <c r="C1905" s="27">
        <v>96030</v>
      </c>
      <c r="D1905" s="27">
        <v>42235</v>
      </c>
      <c r="E1905" s="69">
        <v>127.37</v>
      </c>
      <c r="F1905" s="27">
        <v>4374</v>
      </c>
      <c r="G1905" s="27">
        <v>-16614</v>
      </c>
      <c r="H1905" s="27">
        <v>1611</v>
      </c>
      <c r="I1905" s="27">
        <v>3487</v>
      </c>
      <c r="J1905" s="27">
        <v>3107</v>
      </c>
      <c r="K1905" s="27">
        <v>-12540</v>
      </c>
      <c r="L1905" s="69">
        <v>124.78</v>
      </c>
      <c r="M1905" s="27">
        <v>157879</v>
      </c>
      <c r="N1905" s="69">
        <v>0.2</v>
      </c>
      <c r="O1905" s="69">
        <v>-0.8</v>
      </c>
      <c r="P1905" s="69">
        <v>15.58</v>
      </c>
      <c r="Q1905" s="27">
        <v>69</v>
      </c>
      <c r="R1905" s="69">
        <v>4.09</v>
      </c>
      <c r="S1905" s="69">
        <v>361.61</v>
      </c>
      <c r="X1905" s="2">
        <f t="shared" si="87"/>
        <v>0.31</v>
      </c>
      <c r="Y1905" s="2">
        <f>SUMIF(收盤價!A:A,A1905,收盤價!C:C)</f>
        <v>12.13</v>
      </c>
      <c r="Z1905" s="2">
        <f t="shared" si="88"/>
        <v>245975.48199999999</v>
      </c>
      <c r="AA1905" s="2">
        <f t="shared" si="89"/>
        <v>191507.22700000001</v>
      </c>
    </row>
    <row r="1906" spans="1:27" ht="14.5" customHeight="1">
      <c r="A1906" s="7" t="s">
        <v>6165</v>
      </c>
      <c r="B1906" s="8" t="s">
        <v>3780</v>
      </c>
      <c r="C1906" s="27">
        <v>10755</v>
      </c>
      <c r="D1906" s="27">
        <v>70913</v>
      </c>
      <c r="E1906" s="69">
        <v>-84.83</v>
      </c>
      <c r="F1906" s="27">
        <v>-3227</v>
      </c>
      <c r="G1906" s="27">
        <v>-4956</v>
      </c>
      <c r="H1906" s="27">
        <v>5586</v>
      </c>
      <c r="I1906" s="27">
        <v>7676</v>
      </c>
      <c r="J1906" s="27">
        <v>1351</v>
      </c>
      <c r="K1906" s="27">
        <v>-3721</v>
      </c>
      <c r="L1906" s="69">
        <v>136.31</v>
      </c>
      <c r="M1906" s="27">
        <v>288079</v>
      </c>
      <c r="N1906" s="69">
        <v>0.06</v>
      </c>
      <c r="O1906" s="69">
        <v>-0.16</v>
      </c>
      <c r="P1906" s="69">
        <v>14.72</v>
      </c>
      <c r="Q1906" s="27">
        <v>72</v>
      </c>
      <c r="R1906" s="69">
        <v>3.26</v>
      </c>
      <c r="S1906" s="69">
        <v>324.52</v>
      </c>
      <c r="X1906" s="2">
        <f t="shared" si="87"/>
        <v>0.28000000000000003</v>
      </c>
      <c r="Y1906" s="2">
        <f>SUMIF(收盤價!A:A,A1906,收盤價!C:C)</f>
        <v>20.21</v>
      </c>
      <c r="Z1906" s="2">
        <f t="shared" si="88"/>
        <v>424052.288</v>
      </c>
      <c r="AA1906" s="2">
        <f t="shared" si="89"/>
        <v>582207.65899999999</v>
      </c>
    </row>
    <row r="1907" spans="1:27" ht="14.5" customHeight="1">
      <c r="A1907" s="7" t="s">
        <v>6170</v>
      </c>
      <c r="B1907" s="8" t="s">
        <v>3792</v>
      </c>
      <c r="C1907" s="27">
        <v>34680</v>
      </c>
      <c r="D1907" s="27">
        <v>28543</v>
      </c>
      <c r="E1907" s="69">
        <v>21.5</v>
      </c>
      <c r="F1907" s="27">
        <v>-21544</v>
      </c>
      <c r="G1907" s="27">
        <v>-20851</v>
      </c>
      <c r="H1907" s="27">
        <v>-175</v>
      </c>
      <c r="I1907" s="27">
        <v>-3272</v>
      </c>
      <c r="J1907" s="27">
        <v>-21904</v>
      </c>
      <c r="K1907" s="27">
        <v>-24648</v>
      </c>
      <c r="L1907" s="69">
        <v>11.13</v>
      </c>
      <c r="M1907" s="27">
        <v>244755</v>
      </c>
      <c r="N1907" s="69">
        <v>-1.03</v>
      </c>
      <c r="O1907" s="69">
        <v>-1.2</v>
      </c>
      <c r="P1907" s="69">
        <v>1.46</v>
      </c>
      <c r="Q1907" s="27">
        <v>40</v>
      </c>
      <c r="R1907" s="69">
        <v>1.2</v>
      </c>
      <c r="S1907" s="69">
        <v>82.01</v>
      </c>
      <c r="X1907" s="2">
        <f t="shared" si="87"/>
        <v>0.6</v>
      </c>
      <c r="Y1907" s="2">
        <f>SUMIF(收盤價!A:A,A1907,收盤價!C:C)</f>
        <v>6.6</v>
      </c>
      <c r="Z1907" s="2">
        <f t="shared" si="88"/>
        <v>35734.229999999996</v>
      </c>
      <c r="AA1907" s="2">
        <f t="shared" si="89"/>
        <v>161538.29999999999</v>
      </c>
    </row>
    <row r="1908" spans="1:27" ht="14.5" customHeight="1">
      <c r="A1908" s="7" t="s">
        <v>6175</v>
      </c>
      <c r="B1908" s="8" t="s">
        <v>3802</v>
      </c>
      <c r="C1908" s="27">
        <v>117036</v>
      </c>
      <c r="D1908" s="27">
        <v>117481</v>
      </c>
      <c r="E1908" s="69">
        <v>-0.38</v>
      </c>
      <c r="F1908" s="27">
        <v>14709</v>
      </c>
      <c r="G1908" s="27">
        <v>18233</v>
      </c>
      <c r="H1908" s="27">
        <v>26637</v>
      </c>
      <c r="I1908" s="27">
        <v>-620</v>
      </c>
      <c r="J1908" s="27">
        <v>31432</v>
      </c>
      <c r="K1908" s="27">
        <v>10233</v>
      </c>
      <c r="L1908" s="69">
        <v>207.16</v>
      </c>
      <c r="M1908" s="27">
        <v>217512</v>
      </c>
      <c r="N1908" s="69">
        <v>1.45</v>
      </c>
      <c r="O1908" s="69">
        <v>0.48</v>
      </c>
      <c r="P1908" s="69">
        <v>16.29</v>
      </c>
      <c r="Q1908" s="27">
        <v>52</v>
      </c>
      <c r="R1908" s="69">
        <v>2.1</v>
      </c>
      <c r="S1908" s="69">
        <v>210.49</v>
      </c>
      <c r="X1908" s="2">
        <f t="shared" si="87"/>
        <v>0.48</v>
      </c>
      <c r="Y1908" s="2">
        <f>SUMIF(收盤價!A:A,A1908,收盤價!C:C)</f>
        <v>32.840000000000003</v>
      </c>
      <c r="Z1908" s="2">
        <f t="shared" si="88"/>
        <v>354327.04800000001</v>
      </c>
      <c r="AA1908" s="2">
        <f t="shared" si="89"/>
        <v>714309.40800000005</v>
      </c>
    </row>
    <row r="1909" spans="1:27" ht="14.5" customHeight="1">
      <c r="A1909" s="7" t="s">
        <v>6177</v>
      </c>
      <c r="B1909" s="8" t="s">
        <v>3804</v>
      </c>
      <c r="C1909" s="27">
        <v>720218</v>
      </c>
      <c r="D1909" s="27">
        <v>978640</v>
      </c>
      <c r="E1909" s="69">
        <v>-26.41</v>
      </c>
      <c r="F1909" s="27">
        <v>57928</v>
      </c>
      <c r="G1909" s="27">
        <v>141664</v>
      </c>
      <c r="H1909" s="27">
        <v>-11790</v>
      </c>
      <c r="I1909" s="27">
        <v>-25610</v>
      </c>
      <c r="J1909" s="27">
        <v>29797</v>
      </c>
      <c r="K1909" s="27">
        <v>91240</v>
      </c>
      <c r="L1909" s="69">
        <v>-67.34</v>
      </c>
      <c r="M1909" s="27">
        <v>276450</v>
      </c>
      <c r="N1909" s="69">
        <v>1.08</v>
      </c>
      <c r="O1909" s="69">
        <v>3.3</v>
      </c>
      <c r="P1909" s="69">
        <v>22.04</v>
      </c>
      <c r="Q1909" s="27">
        <v>53</v>
      </c>
      <c r="R1909" s="69">
        <v>1.32</v>
      </c>
      <c r="S1909" s="69">
        <v>123.45</v>
      </c>
      <c r="X1909" s="2">
        <f t="shared" si="87"/>
        <v>0.47</v>
      </c>
      <c r="Y1909" s="2">
        <f>SUMIF(收盤價!A:A,A1909,收盤價!C:C)</f>
        <v>27.41</v>
      </c>
      <c r="Z1909" s="2">
        <f t="shared" si="88"/>
        <v>609295.80000000005</v>
      </c>
      <c r="AA1909" s="2">
        <f t="shared" si="89"/>
        <v>757749.45</v>
      </c>
    </row>
    <row r="1910" spans="1:27" ht="14.5" customHeight="1">
      <c r="A1910" s="7" t="s">
        <v>6188</v>
      </c>
      <c r="B1910" s="8" t="s">
        <v>3820</v>
      </c>
      <c r="C1910" s="27">
        <v>47755</v>
      </c>
      <c r="D1910" s="27">
        <v>128476</v>
      </c>
      <c r="E1910" s="69">
        <v>-62.83</v>
      </c>
      <c r="F1910" s="27">
        <v>7499</v>
      </c>
      <c r="G1910" s="27">
        <v>29894</v>
      </c>
      <c r="H1910" s="27">
        <v>49</v>
      </c>
      <c r="I1910" s="27">
        <v>1667</v>
      </c>
      <c r="J1910" s="27">
        <v>5727</v>
      </c>
      <c r="K1910" s="27">
        <v>25369</v>
      </c>
      <c r="L1910" s="69">
        <v>-77.430000000000007</v>
      </c>
      <c r="M1910" s="27">
        <v>153642</v>
      </c>
      <c r="N1910" s="69">
        <v>0.37</v>
      </c>
      <c r="O1910" s="69">
        <v>1.65</v>
      </c>
      <c r="P1910" s="69">
        <v>11.73</v>
      </c>
      <c r="Q1910" s="27">
        <v>65</v>
      </c>
      <c r="R1910" s="69">
        <v>2.8</v>
      </c>
      <c r="S1910" s="69">
        <v>233.41</v>
      </c>
      <c r="X1910" s="2">
        <f t="shared" si="87"/>
        <v>0.35</v>
      </c>
      <c r="Y1910" s="2">
        <f>SUMIF(收盤價!A:A,A1910,收盤價!C:C)</f>
        <v>36.4</v>
      </c>
      <c r="Z1910" s="2">
        <f t="shared" si="88"/>
        <v>180222.06600000002</v>
      </c>
      <c r="AA1910" s="2">
        <f t="shared" si="89"/>
        <v>559256.88</v>
      </c>
    </row>
    <row r="1911" spans="1:27" ht="14.5" customHeight="1">
      <c r="A1911" s="7" t="s">
        <v>6206</v>
      </c>
      <c r="B1911" s="8" t="s">
        <v>3840</v>
      </c>
      <c r="C1911" s="27">
        <v>107403</v>
      </c>
      <c r="D1911" s="27">
        <v>43560</v>
      </c>
      <c r="E1911" s="69">
        <v>146.56</v>
      </c>
      <c r="F1911" s="27">
        <v>-10555</v>
      </c>
      <c r="G1911" s="27">
        <v>-24766</v>
      </c>
      <c r="H1911" s="27">
        <v>-1238</v>
      </c>
      <c r="I1911" s="27">
        <v>-421</v>
      </c>
      <c r="J1911" s="27">
        <v>-13607</v>
      </c>
      <c r="K1911" s="27">
        <v>-25208</v>
      </c>
      <c r="L1911" s="69">
        <v>46.02</v>
      </c>
      <c r="M1911" s="27">
        <v>190000</v>
      </c>
      <c r="N1911" s="69">
        <v>-0.8</v>
      </c>
      <c r="O1911" s="69">
        <v>-1.58</v>
      </c>
      <c r="P1911" s="69">
        <v>13.47</v>
      </c>
      <c r="Q1911" s="27">
        <v>53</v>
      </c>
      <c r="R1911" s="69">
        <v>1.1000000000000001</v>
      </c>
      <c r="S1911" s="69">
        <v>105.96</v>
      </c>
      <c r="X1911" s="2">
        <f t="shared" si="87"/>
        <v>0.47</v>
      </c>
      <c r="Y1911" s="2">
        <f>SUMIF(收盤價!A:A,A1911,收盤價!C:C)</f>
        <v>30.42</v>
      </c>
      <c r="Z1911" s="2">
        <f t="shared" si="88"/>
        <v>255930</v>
      </c>
      <c r="AA1911" s="2">
        <f t="shared" si="89"/>
        <v>577980</v>
      </c>
    </row>
    <row r="1912" spans="1:27" ht="14.5" customHeight="1">
      <c r="A1912" s="7" t="s">
        <v>6236</v>
      </c>
      <c r="B1912" s="8" t="s">
        <v>3896</v>
      </c>
      <c r="C1912" s="27">
        <v>61030</v>
      </c>
      <c r="D1912" s="27">
        <v>51946</v>
      </c>
      <c r="E1912" s="69">
        <v>17.489999999999998</v>
      </c>
      <c r="F1912" s="27">
        <v>2853</v>
      </c>
      <c r="G1912" s="27">
        <v>-6445</v>
      </c>
      <c r="H1912" s="27">
        <v>551</v>
      </c>
      <c r="I1912" s="27">
        <v>-69</v>
      </c>
      <c r="J1912" s="27">
        <v>-5986</v>
      </c>
      <c r="K1912" s="27">
        <v>-19203</v>
      </c>
      <c r="L1912" s="69">
        <v>68.83</v>
      </c>
      <c r="M1912" s="27">
        <v>116800</v>
      </c>
      <c r="N1912" s="69">
        <v>-0.51</v>
      </c>
      <c r="O1912" s="69">
        <v>-2.4</v>
      </c>
      <c r="P1912" s="69">
        <v>10.09</v>
      </c>
      <c r="Q1912" s="27">
        <v>80</v>
      </c>
      <c r="R1912" s="69">
        <v>3.39</v>
      </c>
      <c r="S1912" s="69">
        <v>338.55</v>
      </c>
      <c r="X1912" s="2">
        <f t="shared" si="87"/>
        <v>0.2</v>
      </c>
      <c r="Y1912" s="2">
        <f>SUMIF(收盤價!A:A,A1912,收盤價!C:C)</f>
        <v>35.700000000000003</v>
      </c>
      <c r="Z1912" s="2">
        <f t="shared" si="88"/>
        <v>117851.2</v>
      </c>
      <c r="AA1912" s="2">
        <f t="shared" si="89"/>
        <v>416976.00000000006</v>
      </c>
    </row>
    <row r="1913" spans="1:27" ht="14.5" customHeight="1">
      <c r="A1913" s="7" t="s">
        <v>6273</v>
      </c>
      <c r="B1913" s="8" t="s">
        <v>3968</v>
      </c>
      <c r="C1913" s="27">
        <v>599853</v>
      </c>
      <c r="D1913" s="27">
        <v>567445</v>
      </c>
      <c r="E1913" s="69">
        <v>5.71</v>
      </c>
      <c r="F1913" s="27">
        <v>-57230</v>
      </c>
      <c r="G1913" s="27">
        <v>-58571</v>
      </c>
      <c r="H1913" s="27">
        <v>12220</v>
      </c>
      <c r="I1913" s="27">
        <v>12667</v>
      </c>
      <c r="J1913" s="27">
        <v>-48848</v>
      </c>
      <c r="K1913" s="27">
        <v>-49799</v>
      </c>
      <c r="L1913" s="69">
        <v>1.91</v>
      </c>
      <c r="M1913" s="27">
        <v>2805781</v>
      </c>
      <c r="N1913" s="69">
        <v>-0.17</v>
      </c>
      <c r="O1913" s="69">
        <v>-0.18</v>
      </c>
      <c r="P1913" s="69">
        <v>10.95</v>
      </c>
      <c r="Q1913" s="27">
        <v>71</v>
      </c>
      <c r="R1913" s="69">
        <v>1.0900000000000001</v>
      </c>
      <c r="S1913" s="69">
        <v>86.95</v>
      </c>
      <c r="X1913" s="2">
        <f t="shared" si="87"/>
        <v>0.28999999999999998</v>
      </c>
      <c r="Y1913" s="2">
        <f>SUMIF(收盤價!A:A,A1913,收盤價!C:C)</f>
        <v>7.26</v>
      </c>
      <c r="Z1913" s="2">
        <f t="shared" si="88"/>
        <v>3072330.1949999998</v>
      </c>
      <c r="AA1913" s="2">
        <f t="shared" si="89"/>
        <v>2036997.0059999998</v>
      </c>
    </row>
    <row r="1914" spans="1:27" ht="14.5" customHeight="1">
      <c r="A1914" s="7" t="s">
        <v>6276</v>
      </c>
      <c r="B1914" s="8" t="s">
        <v>3974</v>
      </c>
      <c r="C1914" s="27">
        <v>34643</v>
      </c>
      <c r="D1914" s="27">
        <v>14142</v>
      </c>
      <c r="E1914" s="69">
        <v>144.97</v>
      </c>
      <c r="F1914" s="27">
        <v>-1013</v>
      </c>
      <c r="G1914" s="27">
        <v>-8636</v>
      </c>
      <c r="H1914" s="27">
        <v>-259</v>
      </c>
      <c r="I1914" s="27">
        <v>731</v>
      </c>
      <c r="J1914" s="27">
        <v>-1272</v>
      </c>
      <c r="K1914" s="27">
        <v>-7905</v>
      </c>
      <c r="L1914" s="69">
        <v>83.91</v>
      </c>
      <c r="M1914" s="27">
        <v>280000</v>
      </c>
      <c r="N1914" s="69">
        <v>-0.05</v>
      </c>
      <c r="O1914" s="69">
        <v>-0.28000000000000003</v>
      </c>
      <c r="P1914" s="69">
        <v>3.85</v>
      </c>
      <c r="Q1914" s="27">
        <v>51</v>
      </c>
      <c r="R1914" s="69">
        <v>0.46</v>
      </c>
      <c r="S1914" s="69">
        <v>45.67</v>
      </c>
      <c r="X1914" s="2">
        <f t="shared" si="87"/>
        <v>0.49</v>
      </c>
      <c r="Y1914" s="2">
        <f>SUMIF(收盤價!A:A,A1914,收盤價!C:C)</f>
        <v>32.229999999999997</v>
      </c>
      <c r="Z1914" s="2">
        <f t="shared" si="88"/>
        <v>107800</v>
      </c>
      <c r="AA1914" s="2">
        <f t="shared" si="89"/>
        <v>902440</v>
      </c>
    </row>
    <row r="1915" spans="1:27" ht="14.5" customHeight="1">
      <c r="A1915" s="7" t="s">
        <v>6278</v>
      </c>
      <c r="B1915" s="8" t="s">
        <v>6279</v>
      </c>
      <c r="C1915" s="27">
        <v>2176</v>
      </c>
      <c r="D1915" s="27">
        <v>6122</v>
      </c>
      <c r="E1915" s="69">
        <v>-64.459999999999994</v>
      </c>
      <c r="F1915" s="27">
        <v>-6429</v>
      </c>
      <c r="G1915" s="27">
        <v>-4457</v>
      </c>
      <c r="H1915" s="27">
        <v>33</v>
      </c>
      <c r="I1915" s="27">
        <v>201</v>
      </c>
      <c r="J1915" s="27">
        <v>-6396</v>
      </c>
      <c r="K1915" s="27">
        <v>-4256</v>
      </c>
      <c r="L1915" s="69">
        <v>-50.28</v>
      </c>
      <c r="M1915" s="27">
        <v>120000</v>
      </c>
      <c r="N1915" s="69">
        <v>-0.53</v>
      </c>
      <c r="O1915" s="69">
        <v>-0.35</v>
      </c>
      <c r="P1915" s="69">
        <v>8.51</v>
      </c>
      <c r="Q1915" s="27">
        <v>93</v>
      </c>
      <c r="R1915" s="69">
        <v>26.22</v>
      </c>
      <c r="S1915" s="69">
        <v>640.44000000000005</v>
      </c>
      <c r="X1915" s="2">
        <f t="shared" si="87"/>
        <v>7.0000000000000007E-2</v>
      </c>
      <c r="Y1915" s="2">
        <f>SUMIF(收盤價!A:A,A1915,收盤價!C:C)</f>
        <v>2.39</v>
      </c>
      <c r="Z1915" s="2">
        <f t="shared" si="88"/>
        <v>102120</v>
      </c>
      <c r="AA1915" s="2">
        <f t="shared" si="89"/>
        <v>28680</v>
      </c>
    </row>
    <row r="1916" spans="1:27" ht="14.5" customHeight="1">
      <c r="A1916" s="7" t="s">
        <v>6280</v>
      </c>
      <c r="B1916" s="8" t="s">
        <v>3978</v>
      </c>
      <c r="C1916" s="27">
        <v>279246</v>
      </c>
      <c r="D1916" s="27">
        <v>355944</v>
      </c>
      <c r="E1916" s="69">
        <v>-21.55</v>
      </c>
      <c r="F1916" s="27">
        <v>3110</v>
      </c>
      <c r="G1916" s="27">
        <v>1594</v>
      </c>
      <c r="H1916" s="27">
        <v>2315</v>
      </c>
      <c r="I1916" s="27">
        <v>2098</v>
      </c>
      <c r="J1916" s="27">
        <v>4340</v>
      </c>
      <c r="K1916" s="27">
        <v>3301</v>
      </c>
      <c r="L1916" s="69">
        <v>31.48</v>
      </c>
      <c r="M1916" s="27">
        <v>210000</v>
      </c>
      <c r="N1916" s="69">
        <v>0.21</v>
      </c>
      <c r="O1916" s="69">
        <v>0.17</v>
      </c>
      <c r="P1916" s="69">
        <v>12.45</v>
      </c>
      <c r="Q1916" s="27">
        <v>56</v>
      </c>
      <c r="R1916" s="69">
        <v>2.57</v>
      </c>
      <c r="S1916" s="69">
        <v>199.84</v>
      </c>
      <c r="X1916" s="2">
        <f t="shared" si="87"/>
        <v>0.44</v>
      </c>
      <c r="Y1916" s="2">
        <f>SUMIF(收盤價!A:A,A1916,收盤價!C:C)</f>
        <v>19.260000000000002</v>
      </c>
      <c r="Z1916" s="2">
        <f t="shared" si="88"/>
        <v>261450</v>
      </c>
      <c r="AA1916" s="2">
        <f t="shared" si="89"/>
        <v>404460.00000000006</v>
      </c>
    </row>
    <row r="1917" spans="1:27" ht="14.5" customHeight="1">
      <c r="A1917" s="7" t="s">
        <v>6282</v>
      </c>
      <c r="B1917" s="8" t="s">
        <v>3982</v>
      </c>
      <c r="C1917" s="27">
        <v>1217949</v>
      </c>
      <c r="D1917" s="27">
        <v>829857</v>
      </c>
      <c r="E1917" s="69">
        <v>46.77</v>
      </c>
      <c r="F1917" s="27">
        <v>124517</v>
      </c>
      <c r="G1917" s="27">
        <v>59605</v>
      </c>
      <c r="H1917" s="27">
        <v>-4304</v>
      </c>
      <c r="I1917" s="27">
        <v>-1172</v>
      </c>
      <c r="J1917" s="27">
        <v>94599</v>
      </c>
      <c r="K1917" s="27">
        <v>47375</v>
      </c>
      <c r="L1917" s="69">
        <v>99.68</v>
      </c>
      <c r="M1917" s="27">
        <v>274560</v>
      </c>
      <c r="N1917" s="69">
        <v>3.84</v>
      </c>
      <c r="O1917" s="69">
        <v>1.9</v>
      </c>
      <c r="P1917" s="69">
        <v>17.329999999999998</v>
      </c>
      <c r="Q1917" s="27">
        <v>54</v>
      </c>
      <c r="R1917" s="69">
        <v>1.77</v>
      </c>
      <c r="S1917" s="69">
        <v>170.06</v>
      </c>
      <c r="X1917" s="2">
        <f t="shared" si="87"/>
        <v>0.46</v>
      </c>
      <c r="Y1917" s="2">
        <f>SUMIF(收盤價!A:A,A1917,收盤價!C:C)</f>
        <v>39.44</v>
      </c>
      <c r="Z1917" s="2">
        <f t="shared" si="88"/>
        <v>475812.48</v>
      </c>
      <c r="AA1917" s="2">
        <f t="shared" si="89"/>
        <v>1082864.6399999999</v>
      </c>
    </row>
    <row r="1918" spans="1:27" ht="14.5" customHeight="1">
      <c r="A1918" s="7" t="s">
        <v>6283</v>
      </c>
      <c r="B1918" s="8" t="s">
        <v>3984</v>
      </c>
      <c r="C1918" s="27">
        <v>191999</v>
      </c>
      <c r="D1918" s="27">
        <v>76960</v>
      </c>
      <c r="E1918" s="69">
        <v>149.47999999999999</v>
      </c>
      <c r="F1918" s="27">
        <v>29943</v>
      </c>
      <c r="G1918" s="27">
        <v>-27732</v>
      </c>
      <c r="H1918" s="27">
        <v>7688</v>
      </c>
      <c r="I1918" s="27">
        <v>3120</v>
      </c>
      <c r="J1918" s="27">
        <v>34092</v>
      </c>
      <c r="K1918" s="27">
        <v>-25728</v>
      </c>
      <c r="L1918" s="69">
        <v>232.51</v>
      </c>
      <c r="M1918" s="27">
        <v>215000</v>
      </c>
      <c r="N1918" s="69">
        <v>1.59</v>
      </c>
      <c r="O1918" s="69">
        <v>-1.2</v>
      </c>
      <c r="P1918" s="69">
        <v>12.37</v>
      </c>
      <c r="Q1918" s="27">
        <v>73</v>
      </c>
      <c r="R1918" s="69">
        <v>4.29</v>
      </c>
      <c r="S1918" s="69">
        <v>425.61</v>
      </c>
      <c r="X1918" s="2">
        <f t="shared" si="87"/>
        <v>0.27</v>
      </c>
      <c r="Y1918" s="2">
        <f>SUMIF(收盤價!A:A,A1918,收盤價!C:C)</f>
        <v>19</v>
      </c>
      <c r="Z1918" s="2">
        <f t="shared" si="88"/>
        <v>265955</v>
      </c>
      <c r="AA1918" s="2">
        <f t="shared" si="89"/>
        <v>408500</v>
      </c>
    </row>
    <row r="1919" spans="1:27" ht="14.5" customHeight="1">
      <c r="A1919" s="7" t="s">
        <v>6055</v>
      </c>
      <c r="B1919" s="8" t="s">
        <v>7122</v>
      </c>
      <c r="C1919" s="27">
        <v>54836</v>
      </c>
      <c r="D1919" s="27">
        <v>88892</v>
      </c>
      <c r="E1919" s="69">
        <v>-38.31</v>
      </c>
      <c r="F1919" s="27">
        <v>-84836</v>
      </c>
      <c r="G1919" s="27">
        <v>-70673</v>
      </c>
      <c r="H1919" s="27">
        <v>5921</v>
      </c>
      <c r="I1919" s="27">
        <v>-5676</v>
      </c>
      <c r="J1919" s="27">
        <v>-67692</v>
      </c>
      <c r="K1919" s="27">
        <v>-53771</v>
      </c>
      <c r="L1919" s="69">
        <v>-25.89</v>
      </c>
      <c r="M1919" s="27">
        <v>610235</v>
      </c>
      <c r="N1919" s="69">
        <v>-1.1100000000000001</v>
      </c>
      <c r="O1919" s="69">
        <v>-0.88</v>
      </c>
      <c r="P1919" s="69">
        <v>14.49</v>
      </c>
      <c r="Q1919" s="27">
        <v>57</v>
      </c>
      <c r="R1919" s="69">
        <v>2.87</v>
      </c>
      <c r="S1919" s="69">
        <v>123.3</v>
      </c>
      <c r="X1919" s="2">
        <f t="shared" si="87"/>
        <v>0.43</v>
      </c>
      <c r="Y1919" s="2">
        <f>SUMIF(收盤價!A:A,A1919,收盤價!C:C)</f>
        <v>10.41</v>
      </c>
      <c r="Z1919" s="2">
        <f t="shared" si="88"/>
        <v>884230.51500000001</v>
      </c>
      <c r="AA1919" s="2">
        <f t="shared" si="89"/>
        <v>635254.63500000001</v>
      </c>
    </row>
    <row r="1920" spans="1:27" ht="14.5" customHeight="1">
      <c r="A1920" s="7" t="s">
        <v>6140</v>
      </c>
      <c r="B1920" s="8" t="s">
        <v>7123</v>
      </c>
      <c r="C1920" s="27">
        <v>749141</v>
      </c>
      <c r="D1920" s="27">
        <v>717116</v>
      </c>
      <c r="E1920" s="69">
        <v>4.47</v>
      </c>
      <c r="F1920" s="27">
        <v>394861</v>
      </c>
      <c r="G1920" s="27">
        <v>422117</v>
      </c>
      <c r="H1920" s="27">
        <v>-4548</v>
      </c>
      <c r="I1920" s="27">
        <v>6921</v>
      </c>
      <c r="J1920" s="27">
        <v>312114</v>
      </c>
      <c r="K1920" s="27">
        <v>339126</v>
      </c>
      <c r="L1920" s="69">
        <v>-7.97</v>
      </c>
      <c r="M1920" s="27">
        <v>804000</v>
      </c>
      <c r="N1920" s="69">
        <v>3.88</v>
      </c>
      <c r="O1920" s="69">
        <v>4.24</v>
      </c>
      <c r="P1920" s="69">
        <v>26.78</v>
      </c>
      <c r="Q1920" s="27">
        <v>51</v>
      </c>
      <c r="R1920" s="69">
        <v>1.66</v>
      </c>
      <c r="S1920" s="69">
        <v>154.97999999999999</v>
      </c>
      <c r="X1920" s="2">
        <f t="shared" si="87"/>
        <v>0.49</v>
      </c>
      <c r="Y1920" s="2">
        <f>SUMIF(收盤價!A:A,A1920,收盤價!C:C)</f>
        <v>72.34</v>
      </c>
      <c r="Z1920" s="2">
        <f t="shared" si="88"/>
        <v>2153112</v>
      </c>
      <c r="AA1920" s="2">
        <f t="shared" si="89"/>
        <v>5816136</v>
      </c>
    </row>
    <row r="1921" spans="1:27" ht="14.5" customHeight="1">
      <c r="A1921" s="7" t="s">
        <v>6277</v>
      </c>
      <c r="B1921" s="8" t="s">
        <v>3976</v>
      </c>
      <c r="C1921" s="27">
        <v>77508</v>
      </c>
      <c r="D1921" s="27">
        <v>104746</v>
      </c>
      <c r="E1921" s="69">
        <v>-26</v>
      </c>
      <c r="F1921" s="27">
        <v>-7780</v>
      </c>
      <c r="G1921" s="27">
        <v>-5468</v>
      </c>
      <c r="H1921" s="27">
        <v>-669</v>
      </c>
      <c r="I1921" s="27">
        <v>1286</v>
      </c>
      <c r="J1921" s="27">
        <v>-8251</v>
      </c>
      <c r="K1921" s="27">
        <v>-4299</v>
      </c>
      <c r="L1921" s="69">
        <v>-91.93</v>
      </c>
      <c r="M1921" s="27">
        <v>201529</v>
      </c>
      <c r="N1921" s="69">
        <v>-0.41</v>
      </c>
      <c r="O1921" s="69">
        <v>-0.21</v>
      </c>
      <c r="P1921" s="69">
        <v>6.1</v>
      </c>
      <c r="Q1921" s="27">
        <v>45</v>
      </c>
      <c r="R1921" s="69">
        <v>0.69</v>
      </c>
      <c r="S1921" s="69">
        <v>55.69</v>
      </c>
      <c r="X1921" s="2">
        <f t="shared" si="87"/>
        <v>0.55000000000000004</v>
      </c>
      <c r="Y1921" s="2">
        <f>SUMIF(收盤價!A:A,A1921,收盤價!C:C)</f>
        <v>4.59</v>
      </c>
      <c r="Z1921" s="2">
        <f t="shared" si="88"/>
        <v>122932.68999999999</v>
      </c>
      <c r="AA1921" s="2">
        <f t="shared" si="89"/>
        <v>92501.811000000002</v>
      </c>
    </row>
    <row r="1922" spans="1:27" ht="14.5" customHeight="1">
      <c r="A1922" s="7" t="s">
        <v>6281</v>
      </c>
      <c r="B1922" s="8" t="s">
        <v>7124</v>
      </c>
      <c r="C1922" s="27">
        <v>16755</v>
      </c>
      <c r="D1922" s="27">
        <v>63207</v>
      </c>
      <c r="E1922" s="69">
        <v>-73.489999999999995</v>
      </c>
      <c r="F1922" s="27">
        <v>-23876</v>
      </c>
      <c r="G1922" s="27">
        <v>-12117</v>
      </c>
      <c r="H1922" s="27">
        <v>-637</v>
      </c>
      <c r="I1922" s="27">
        <v>-501</v>
      </c>
      <c r="J1922" s="27">
        <v>-24525</v>
      </c>
      <c r="K1922" s="27">
        <v>-12489</v>
      </c>
      <c r="L1922" s="69">
        <v>-96.37</v>
      </c>
      <c r="M1922" s="27">
        <v>450000</v>
      </c>
      <c r="N1922" s="69">
        <v>-0.55000000000000004</v>
      </c>
      <c r="O1922" s="69">
        <v>-0.3</v>
      </c>
      <c r="P1922" s="69">
        <v>7.53</v>
      </c>
      <c r="Q1922" s="27">
        <v>81</v>
      </c>
      <c r="R1922" s="69">
        <v>8.73</v>
      </c>
      <c r="S1922" s="69">
        <v>344.01</v>
      </c>
      <c r="X1922" s="2">
        <f t="shared" si="87"/>
        <v>0.19</v>
      </c>
      <c r="Y1922" s="2">
        <f>SUMIF(收盤價!A:A,A1922,收盤價!C:C)</f>
        <v>24.6</v>
      </c>
      <c r="Z1922" s="2">
        <f t="shared" si="88"/>
        <v>338850</v>
      </c>
      <c r="AA1922" s="2">
        <f t="shared" si="89"/>
        <v>1107000</v>
      </c>
    </row>
    <row r="1923" spans="1:27" ht="14.5" customHeight="1">
      <c r="A1923" s="7" t="s">
        <v>6285</v>
      </c>
      <c r="B1923" s="8" t="s">
        <v>6286</v>
      </c>
      <c r="C1923" s="27">
        <v>183926</v>
      </c>
      <c r="D1923" s="27">
        <v>155630</v>
      </c>
      <c r="E1923" s="69">
        <v>18.18</v>
      </c>
      <c r="F1923" s="27">
        <v>12090</v>
      </c>
      <c r="G1923" s="27">
        <v>1737</v>
      </c>
      <c r="H1923" s="27">
        <v>-7488</v>
      </c>
      <c r="I1923" s="27">
        <v>-2890</v>
      </c>
      <c r="J1923" s="27">
        <v>9243</v>
      </c>
      <c r="K1923" s="27">
        <v>2472</v>
      </c>
      <c r="L1923" s="69">
        <v>273.91000000000003</v>
      </c>
      <c r="M1923" s="27">
        <v>357000</v>
      </c>
      <c r="N1923" s="69">
        <v>0.26</v>
      </c>
      <c r="O1923" s="69">
        <v>7.0000000000000007E-2</v>
      </c>
      <c r="P1923" s="69">
        <v>18.95</v>
      </c>
      <c r="Q1923" s="27">
        <v>73</v>
      </c>
      <c r="R1923" s="69">
        <v>2.29</v>
      </c>
      <c r="S1923" s="69">
        <v>224.24</v>
      </c>
      <c r="X1923" s="2">
        <f t="shared" si="87"/>
        <v>0.27</v>
      </c>
      <c r="Y1923" s="2">
        <f>SUMIF(收盤價!A:A,A1923,收盤價!C:C)</f>
        <v>6.23</v>
      </c>
      <c r="Z1923" s="2">
        <f t="shared" si="88"/>
        <v>676515</v>
      </c>
      <c r="AA1923" s="2">
        <f t="shared" si="89"/>
        <v>222411</v>
      </c>
    </row>
    <row r="1924" spans="1:27" ht="14.5" customHeight="1">
      <c r="A1924" s="7" t="s">
        <v>6022</v>
      </c>
      <c r="B1924" s="8" t="s">
        <v>3562</v>
      </c>
      <c r="C1924" s="27">
        <v>746461</v>
      </c>
      <c r="D1924" s="27">
        <v>594897</v>
      </c>
      <c r="E1924" s="69">
        <v>25.48</v>
      </c>
      <c r="F1924" s="27">
        <v>120661</v>
      </c>
      <c r="G1924" s="27">
        <v>44792</v>
      </c>
      <c r="H1924" s="27">
        <v>6608</v>
      </c>
      <c r="I1924" s="27">
        <v>-1680</v>
      </c>
      <c r="J1924" s="27">
        <v>94139</v>
      </c>
      <c r="K1924" s="27">
        <v>35856</v>
      </c>
      <c r="L1924" s="69">
        <v>162.55000000000001</v>
      </c>
      <c r="M1924" s="27">
        <v>278976</v>
      </c>
      <c r="N1924" s="69">
        <v>3.37</v>
      </c>
      <c r="O1924" s="69">
        <v>1.29</v>
      </c>
      <c r="P1924" s="69">
        <v>19.57</v>
      </c>
      <c r="Q1924" s="27">
        <v>38</v>
      </c>
      <c r="R1924" s="69">
        <v>1.38</v>
      </c>
      <c r="S1924" s="69">
        <v>54.83</v>
      </c>
      <c r="X1924" s="2">
        <f t="shared" si="87"/>
        <v>0.62</v>
      </c>
      <c r="Y1924" s="2">
        <f>SUMIF(收盤價!A:A,A1924,收盤價!C:C)</f>
        <v>39.85</v>
      </c>
      <c r="Z1924" s="2">
        <f t="shared" si="88"/>
        <v>545956.03200000001</v>
      </c>
      <c r="AA1924" s="2">
        <f t="shared" si="89"/>
        <v>1111719.3599999999</v>
      </c>
    </row>
    <row r="1925" spans="1:27" ht="14.5" customHeight="1">
      <c r="A1925" s="7" t="s">
        <v>6079</v>
      </c>
      <c r="B1925" s="8" t="s">
        <v>3650</v>
      </c>
      <c r="C1925" s="27">
        <v>125369</v>
      </c>
      <c r="D1925" s="27">
        <v>135967</v>
      </c>
      <c r="E1925" s="69">
        <v>-7.79</v>
      </c>
      <c r="F1925" s="27">
        <v>4021</v>
      </c>
      <c r="G1925" s="27">
        <v>-69093</v>
      </c>
      <c r="H1925" s="27">
        <v>4261</v>
      </c>
      <c r="I1925" s="27">
        <v>-35160</v>
      </c>
      <c r="J1925" s="27">
        <v>5917</v>
      </c>
      <c r="K1925" s="27">
        <v>-123222</v>
      </c>
      <c r="L1925" s="69">
        <v>104.8</v>
      </c>
      <c r="M1925" s="27">
        <v>775960</v>
      </c>
      <c r="N1925" s="69">
        <v>0.08</v>
      </c>
      <c r="O1925" s="69">
        <v>-1.59</v>
      </c>
      <c r="P1925" s="69">
        <v>1.86</v>
      </c>
      <c r="Q1925" s="27">
        <v>32</v>
      </c>
      <c r="R1925" s="69">
        <v>1.45</v>
      </c>
      <c r="S1925" s="69">
        <v>111.62</v>
      </c>
      <c r="X1925" s="2">
        <f t="shared" ref="X1925:X1988" si="90">IF(W1925&lt;&gt;"",ROUND(W1925/U1925,2),(100-Q1925)/100)</f>
        <v>0.68</v>
      </c>
      <c r="Y1925" s="2">
        <f>SUMIF(收盤價!A:A,A1925,收盤價!C:C)</f>
        <v>2.52</v>
      </c>
      <c r="Z1925" s="2">
        <f t="shared" ref="Z1925:Z1954" si="91">IF(W1925&lt;&gt;"",U1925-W1925,M1925*P1925/10)</f>
        <v>144328.56</v>
      </c>
      <c r="AA1925" s="2">
        <f t="shared" ref="AA1925:AA1954" si="92">Y1925*M1925/10</f>
        <v>195541.91999999998</v>
      </c>
    </row>
    <row r="1926" spans="1:27" ht="14.5" customHeight="1">
      <c r="A1926" s="7" t="s">
        <v>6080</v>
      </c>
      <c r="B1926" s="8" t="s">
        <v>4291</v>
      </c>
      <c r="C1926" s="27">
        <v>1223444</v>
      </c>
      <c r="D1926" s="27">
        <v>1425227</v>
      </c>
      <c r="E1926" s="69">
        <v>-14.16</v>
      </c>
      <c r="F1926" s="27">
        <v>73383</v>
      </c>
      <c r="G1926" s="27">
        <v>105304</v>
      </c>
      <c r="H1926" s="27">
        <v>786</v>
      </c>
      <c r="I1926" s="27">
        <v>4467</v>
      </c>
      <c r="J1926" s="27">
        <v>59340</v>
      </c>
      <c r="K1926" s="27">
        <v>88885</v>
      </c>
      <c r="L1926" s="69">
        <v>-33.24</v>
      </c>
      <c r="M1926" s="27">
        <v>919372</v>
      </c>
      <c r="N1926" s="69">
        <v>0.65</v>
      </c>
      <c r="O1926" s="69">
        <v>0.97</v>
      </c>
      <c r="P1926" s="69">
        <v>12.72</v>
      </c>
      <c r="Q1926" s="27">
        <v>55</v>
      </c>
      <c r="R1926" s="69">
        <v>1.42</v>
      </c>
      <c r="S1926" s="69">
        <v>55.61</v>
      </c>
      <c r="X1926" s="2">
        <f t="shared" si="90"/>
        <v>0.45</v>
      </c>
      <c r="Y1926" s="2">
        <f>SUMIF(收盤價!A:A,A1926,收盤價!C:C)</f>
        <v>14.59</v>
      </c>
      <c r="Z1926" s="2">
        <f t="shared" si="91"/>
        <v>1169441.1839999999</v>
      </c>
      <c r="AA1926" s="2">
        <f t="shared" si="92"/>
        <v>1341363.7480000001</v>
      </c>
    </row>
    <row r="1927" spans="1:27" ht="14.5" customHeight="1">
      <c r="A1927" s="7" t="s">
        <v>6082</v>
      </c>
      <c r="B1927" s="8" t="s">
        <v>3652</v>
      </c>
      <c r="C1927" s="27">
        <v>358420</v>
      </c>
      <c r="D1927" s="27">
        <v>356493</v>
      </c>
      <c r="E1927" s="69">
        <v>0.54</v>
      </c>
      <c r="F1927" s="27">
        <v>55259</v>
      </c>
      <c r="G1927" s="27">
        <v>41454</v>
      </c>
      <c r="H1927" s="27">
        <v>3586</v>
      </c>
      <c r="I1927" s="27">
        <v>8357</v>
      </c>
      <c r="J1927" s="27">
        <v>47101</v>
      </c>
      <c r="K1927" s="27">
        <v>40977</v>
      </c>
      <c r="L1927" s="69">
        <v>14.94</v>
      </c>
      <c r="M1927" s="27">
        <v>321335</v>
      </c>
      <c r="N1927" s="69">
        <v>1.47</v>
      </c>
      <c r="O1927" s="69">
        <v>1.28</v>
      </c>
      <c r="P1927" s="69">
        <v>17.760000000000002</v>
      </c>
      <c r="Q1927" s="27">
        <v>53</v>
      </c>
      <c r="R1927" s="69">
        <v>1.4</v>
      </c>
      <c r="S1927" s="69">
        <v>103.03</v>
      </c>
      <c r="X1927" s="2">
        <f t="shared" si="90"/>
        <v>0.47</v>
      </c>
      <c r="Y1927" s="2">
        <f>SUMIF(收盤價!A:A,A1927,收盤價!C:C)</f>
        <v>34.68</v>
      </c>
      <c r="Z1927" s="2">
        <f t="shared" si="91"/>
        <v>570690.96000000008</v>
      </c>
      <c r="AA1927" s="2">
        <f t="shared" si="92"/>
        <v>1114389.78</v>
      </c>
    </row>
    <row r="1928" spans="1:27" ht="14.5" customHeight="1">
      <c r="A1928" s="7" t="s">
        <v>6172</v>
      </c>
      <c r="B1928" s="8" t="s">
        <v>3796</v>
      </c>
      <c r="C1928" s="27">
        <v>50</v>
      </c>
      <c r="D1928" s="27">
        <v>0</v>
      </c>
      <c r="E1928" s="28" t="s">
        <v>6571</v>
      </c>
      <c r="F1928" s="27">
        <v>-63118</v>
      </c>
      <c r="G1928" s="27">
        <v>-75245</v>
      </c>
      <c r="H1928" s="27">
        <v>-1457</v>
      </c>
      <c r="I1928" s="27">
        <v>2124</v>
      </c>
      <c r="J1928" s="27">
        <v>-64699</v>
      </c>
      <c r="K1928" s="27">
        <v>-73208</v>
      </c>
      <c r="L1928" s="69">
        <v>11.62</v>
      </c>
      <c r="M1928" s="27">
        <v>348470</v>
      </c>
      <c r="N1928" s="69">
        <v>-1.95</v>
      </c>
      <c r="O1928" s="69">
        <v>-2.44</v>
      </c>
      <c r="P1928" s="69">
        <v>10.93</v>
      </c>
      <c r="Q1928" s="27">
        <v>76</v>
      </c>
      <c r="R1928" s="69">
        <v>4.3499999999999996</v>
      </c>
      <c r="S1928" s="69">
        <v>352.95</v>
      </c>
      <c r="X1928" s="2">
        <f t="shared" si="90"/>
        <v>0.24</v>
      </c>
      <c r="Y1928" s="2">
        <f>SUMIF(收盤價!A:A,A1928,收盤價!C:C)</f>
        <v>48.6</v>
      </c>
      <c r="Z1928" s="2">
        <f t="shared" si="91"/>
        <v>380877.71</v>
      </c>
      <c r="AA1928" s="2">
        <f t="shared" si="92"/>
        <v>1693564.2</v>
      </c>
    </row>
    <row r="1929" spans="1:27" ht="14.5" customHeight="1">
      <c r="A1929" s="7" t="s">
        <v>6110</v>
      </c>
      <c r="B1929" s="8" t="s">
        <v>3704</v>
      </c>
      <c r="C1929" s="27">
        <v>1125855</v>
      </c>
      <c r="D1929" s="27">
        <v>818198</v>
      </c>
      <c r="E1929" s="69">
        <v>37.6</v>
      </c>
      <c r="F1929" s="27">
        <v>45684</v>
      </c>
      <c r="G1929" s="27">
        <v>20889</v>
      </c>
      <c r="H1929" s="27">
        <v>-746</v>
      </c>
      <c r="I1929" s="27">
        <v>199</v>
      </c>
      <c r="J1929" s="27">
        <v>34927</v>
      </c>
      <c r="K1929" s="27">
        <v>15360</v>
      </c>
      <c r="L1929" s="69">
        <v>127.39</v>
      </c>
      <c r="M1929" s="27">
        <v>184000</v>
      </c>
      <c r="N1929" s="69">
        <v>1.9</v>
      </c>
      <c r="O1929" s="69">
        <v>0.88</v>
      </c>
      <c r="P1929" s="69">
        <v>15.99</v>
      </c>
      <c r="Q1929" s="27">
        <v>34</v>
      </c>
      <c r="R1929" s="69">
        <v>1.29</v>
      </c>
      <c r="S1929" s="69">
        <v>129.11000000000001</v>
      </c>
      <c r="X1929" s="2">
        <f t="shared" si="90"/>
        <v>0.66</v>
      </c>
      <c r="Y1929" s="2">
        <f>SUMIF(收盤價!A:A,A1929,收盤價!C:C)</f>
        <v>45.07</v>
      </c>
      <c r="Z1929" s="2">
        <f t="shared" si="91"/>
        <v>294216</v>
      </c>
      <c r="AA1929" s="2">
        <f t="shared" si="92"/>
        <v>829288</v>
      </c>
    </row>
    <row r="1930" spans="1:27" ht="14.5" customHeight="1">
      <c r="A1930" s="7" t="s">
        <v>5992</v>
      </c>
      <c r="B1930" s="8" t="s">
        <v>3512</v>
      </c>
      <c r="C1930" s="27">
        <v>276407</v>
      </c>
      <c r="D1930" s="27">
        <v>444432</v>
      </c>
      <c r="E1930" s="69">
        <v>-37.81</v>
      </c>
      <c r="F1930" s="27">
        <v>-409</v>
      </c>
      <c r="G1930" s="27">
        <v>79092</v>
      </c>
      <c r="H1930" s="27">
        <v>14007</v>
      </c>
      <c r="I1930" s="27">
        <v>-3118</v>
      </c>
      <c r="J1930" s="27">
        <v>14778</v>
      </c>
      <c r="K1930" s="27">
        <v>64453</v>
      </c>
      <c r="L1930" s="69">
        <v>-77.069999999999993</v>
      </c>
      <c r="M1930" s="27">
        <v>420000</v>
      </c>
      <c r="N1930" s="69">
        <v>0.35</v>
      </c>
      <c r="O1930" s="69">
        <v>1.53</v>
      </c>
      <c r="P1930" s="69">
        <v>17.510000000000002</v>
      </c>
      <c r="Q1930" s="27">
        <v>68</v>
      </c>
      <c r="R1930" s="69">
        <v>2.19</v>
      </c>
      <c r="S1930" s="69">
        <v>168.69</v>
      </c>
      <c r="X1930" s="2">
        <f t="shared" si="90"/>
        <v>0.32</v>
      </c>
      <c r="Y1930" s="2">
        <f>SUMIF(收盤價!A:A,A1930,收盤價!C:C)</f>
        <v>37.700000000000003</v>
      </c>
      <c r="Z1930" s="2">
        <f t="shared" si="91"/>
        <v>735420.00000000012</v>
      </c>
      <c r="AA1930" s="2">
        <f t="shared" si="92"/>
        <v>1583400.0000000002</v>
      </c>
    </row>
    <row r="1931" spans="1:27" ht="14.5" customHeight="1">
      <c r="A1931" s="7" t="s">
        <v>5995</v>
      </c>
      <c r="B1931" s="8" t="s">
        <v>3518</v>
      </c>
      <c r="C1931" s="27">
        <v>105287</v>
      </c>
      <c r="D1931" s="27">
        <v>168316</v>
      </c>
      <c r="E1931" s="69">
        <v>-37.450000000000003</v>
      </c>
      <c r="F1931" s="27">
        <v>-119108</v>
      </c>
      <c r="G1931" s="27">
        <v>-32433</v>
      </c>
      <c r="H1931" s="27">
        <v>-8529</v>
      </c>
      <c r="I1931" s="27">
        <v>8209</v>
      </c>
      <c r="J1931" s="27">
        <v>-75354</v>
      </c>
      <c r="K1931" s="27">
        <v>-15907</v>
      </c>
      <c r="L1931" s="69">
        <v>-373.72</v>
      </c>
      <c r="M1931" s="27">
        <v>1045500</v>
      </c>
      <c r="N1931" s="69">
        <v>-0.72</v>
      </c>
      <c r="O1931" s="69">
        <v>-0.15</v>
      </c>
      <c r="P1931" s="69">
        <v>8.19</v>
      </c>
      <c r="Q1931" s="27">
        <v>40</v>
      </c>
      <c r="R1931" s="69">
        <v>0.85</v>
      </c>
      <c r="S1931" s="69">
        <v>17.61</v>
      </c>
      <c r="X1931" s="2">
        <f t="shared" si="90"/>
        <v>0.6</v>
      </c>
      <c r="Y1931" s="2">
        <f>SUMIF(收盤價!A:A,A1931,收盤價!C:C)</f>
        <v>9.7100000000000009</v>
      </c>
      <c r="Z1931" s="2">
        <f t="shared" si="91"/>
        <v>856264.5</v>
      </c>
      <c r="AA1931" s="2">
        <f t="shared" si="92"/>
        <v>1015180.5</v>
      </c>
    </row>
    <row r="1932" spans="1:27" ht="14.5" customHeight="1">
      <c r="A1932" s="7" t="s">
        <v>6043</v>
      </c>
      <c r="B1932" s="8" t="s">
        <v>3594</v>
      </c>
      <c r="C1932" s="27">
        <v>425255</v>
      </c>
      <c r="D1932" s="27">
        <v>570572</v>
      </c>
      <c r="E1932" s="69">
        <v>-25.47</v>
      </c>
      <c r="F1932" s="27">
        <v>-38282</v>
      </c>
      <c r="G1932" s="27">
        <v>2572</v>
      </c>
      <c r="H1932" s="27">
        <v>-5823</v>
      </c>
      <c r="I1932" s="27">
        <v>34937</v>
      </c>
      <c r="J1932" s="27">
        <v>-41274</v>
      </c>
      <c r="K1932" s="27">
        <v>32321</v>
      </c>
      <c r="L1932" s="69">
        <v>-227.7</v>
      </c>
      <c r="M1932" s="27">
        <v>242969</v>
      </c>
      <c r="N1932" s="69">
        <v>-1.7</v>
      </c>
      <c r="O1932" s="69">
        <v>1.33</v>
      </c>
      <c r="P1932" s="69">
        <v>17.440000000000001</v>
      </c>
      <c r="Q1932" s="27">
        <v>40</v>
      </c>
      <c r="R1932" s="69">
        <v>0.88</v>
      </c>
      <c r="S1932" s="69">
        <v>52.83</v>
      </c>
      <c r="X1932" s="2">
        <f t="shared" si="90"/>
        <v>0.6</v>
      </c>
      <c r="Y1932" s="2">
        <f>SUMIF(收盤價!A:A,A1932,收盤價!C:C)</f>
        <v>28.19</v>
      </c>
      <c r="Z1932" s="2">
        <f t="shared" si="91"/>
        <v>423737.93600000005</v>
      </c>
      <c r="AA1932" s="2">
        <f t="shared" si="92"/>
        <v>684929.61100000003</v>
      </c>
    </row>
    <row r="1933" spans="1:27" ht="14.5" customHeight="1">
      <c r="A1933" s="7" t="s">
        <v>6146</v>
      </c>
      <c r="B1933" s="8" t="s">
        <v>3752</v>
      </c>
      <c r="C1933" s="27">
        <v>0</v>
      </c>
      <c r="D1933" s="27">
        <v>0</v>
      </c>
      <c r="E1933" s="28" t="s">
        <v>6571</v>
      </c>
      <c r="F1933" s="27">
        <v>-376569</v>
      </c>
      <c r="G1933" s="27">
        <v>-473328</v>
      </c>
      <c r="H1933" s="27">
        <v>-19140</v>
      </c>
      <c r="I1933" s="27">
        <v>-10817</v>
      </c>
      <c r="J1933" s="27">
        <v>-395758</v>
      </c>
      <c r="K1933" s="27">
        <v>-484192</v>
      </c>
      <c r="L1933" s="69">
        <v>18.260000000000002</v>
      </c>
      <c r="M1933" s="27">
        <v>3529014</v>
      </c>
      <c r="N1933" s="69">
        <v>-1.37</v>
      </c>
      <c r="O1933" s="69">
        <v>-1.82</v>
      </c>
      <c r="P1933" s="69">
        <v>3.2</v>
      </c>
      <c r="Q1933" s="27">
        <v>46</v>
      </c>
      <c r="R1933" s="69">
        <v>0.84</v>
      </c>
      <c r="S1933" s="69">
        <v>81.98</v>
      </c>
      <c r="X1933" s="2">
        <f t="shared" si="90"/>
        <v>0.54</v>
      </c>
      <c r="Y1933" s="2">
        <f>SUMIF(收盤價!A:A,A1933,收盤價!C:C)</f>
        <v>17.649999999999999</v>
      </c>
      <c r="Z1933" s="2">
        <f t="shared" si="91"/>
        <v>1129284.48</v>
      </c>
      <c r="AA1933" s="2">
        <f t="shared" si="92"/>
        <v>6228709.709999999</v>
      </c>
    </row>
    <row r="1934" spans="1:27" ht="14.5" customHeight="1">
      <c r="A1934" s="7" t="s">
        <v>6167</v>
      </c>
      <c r="B1934" s="8" t="s">
        <v>3784</v>
      </c>
      <c r="C1934" s="27">
        <v>45397</v>
      </c>
      <c r="D1934" s="27">
        <v>15807</v>
      </c>
      <c r="E1934" s="69">
        <v>187.2</v>
      </c>
      <c r="F1934" s="27">
        <v>-151617</v>
      </c>
      <c r="G1934" s="27">
        <v>-122455</v>
      </c>
      <c r="H1934" s="27">
        <v>-2041</v>
      </c>
      <c r="I1934" s="27">
        <v>-116</v>
      </c>
      <c r="J1934" s="27">
        <v>-153671</v>
      </c>
      <c r="K1934" s="27">
        <v>-122583</v>
      </c>
      <c r="L1934" s="69">
        <v>-25.36</v>
      </c>
      <c r="M1934" s="27">
        <v>620089</v>
      </c>
      <c r="N1934" s="69">
        <v>-2.48</v>
      </c>
      <c r="O1934" s="69">
        <v>-2.42</v>
      </c>
      <c r="P1934" s="69">
        <v>4.55</v>
      </c>
      <c r="Q1934" s="27">
        <v>51</v>
      </c>
      <c r="R1934" s="69">
        <v>2.29</v>
      </c>
      <c r="S1934" s="69">
        <v>185.08</v>
      </c>
      <c r="X1934" s="2">
        <f t="shared" si="90"/>
        <v>0.49</v>
      </c>
      <c r="Y1934" s="2">
        <f>SUMIF(收盤價!A:A,A1934,收盤價!C:C)</f>
        <v>38.29</v>
      </c>
      <c r="Z1934" s="2">
        <f t="shared" si="91"/>
        <v>282140.495</v>
      </c>
      <c r="AA1934" s="2">
        <f t="shared" si="92"/>
        <v>2374320.781</v>
      </c>
    </row>
    <row r="1935" spans="1:27" ht="14.5" customHeight="1">
      <c r="A1935" s="7" t="s">
        <v>6171</v>
      </c>
      <c r="B1935" s="8" t="s">
        <v>3794</v>
      </c>
      <c r="C1935" s="27">
        <v>248</v>
      </c>
      <c r="D1935" s="27">
        <v>0</v>
      </c>
      <c r="E1935" s="28" t="s">
        <v>6571</v>
      </c>
      <c r="F1935" s="27">
        <v>-51095</v>
      </c>
      <c r="G1935" s="27">
        <v>-52474</v>
      </c>
      <c r="H1935" s="27">
        <v>6067</v>
      </c>
      <c r="I1935" s="27">
        <v>1988</v>
      </c>
      <c r="J1935" s="27">
        <v>-42859</v>
      </c>
      <c r="K1935" s="27">
        <v>-48922</v>
      </c>
      <c r="L1935" s="69">
        <v>12.39</v>
      </c>
      <c r="M1935" s="27">
        <v>1030631</v>
      </c>
      <c r="N1935" s="69">
        <v>-0.42</v>
      </c>
      <c r="O1935" s="69">
        <v>-0.49</v>
      </c>
      <c r="P1935" s="69">
        <v>7.2</v>
      </c>
      <c r="Q1935" s="27">
        <v>83</v>
      </c>
      <c r="R1935" s="69">
        <v>12.24</v>
      </c>
      <c r="S1935" s="69">
        <v>1224.3800000000001</v>
      </c>
      <c r="X1935" s="2">
        <f t="shared" si="90"/>
        <v>0.17</v>
      </c>
      <c r="Y1935" s="2">
        <f>SUMIF(收盤價!A:A,A1935,收盤價!C:C)</f>
        <v>77.73</v>
      </c>
      <c r="Z1935" s="2">
        <f t="shared" si="91"/>
        <v>742054.32000000007</v>
      </c>
      <c r="AA1935" s="2">
        <f t="shared" si="92"/>
        <v>8011094.7630000012</v>
      </c>
    </row>
    <row r="1936" spans="1:27" ht="14.5" customHeight="1">
      <c r="A1936" s="7" t="s">
        <v>6130</v>
      </c>
      <c r="B1936" s="8" t="s">
        <v>3730</v>
      </c>
      <c r="C1936" s="27">
        <v>463602</v>
      </c>
      <c r="D1936" s="27">
        <v>730540</v>
      </c>
      <c r="E1936" s="69">
        <v>-36.54</v>
      </c>
      <c r="F1936" s="27">
        <v>-100556</v>
      </c>
      <c r="G1936" s="27">
        <v>-46316</v>
      </c>
      <c r="H1936" s="27">
        <v>-12054</v>
      </c>
      <c r="I1936" s="27">
        <v>-7320</v>
      </c>
      <c r="J1936" s="27">
        <v>-112589</v>
      </c>
      <c r="K1936" s="27">
        <v>-54414</v>
      </c>
      <c r="L1936" s="69">
        <v>-106.91</v>
      </c>
      <c r="M1936" s="27">
        <v>436970</v>
      </c>
      <c r="N1936" s="69">
        <v>-0.78</v>
      </c>
      <c r="O1936" s="69">
        <v>-0.38</v>
      </c>
      <c r="P1936" s="69">
        <v>32.200000000000003</v>
      </c>
      <c r="Q1936" s="27">
        <v>52</v>
      </c>
      <c r="R1936" s="69">
        <v>1.75</v>
      </c>
      <c r="S1936" s="69">
        <v>153.6</v>
      </c>
      <c r="X1936" s="2">
        <f t="shared" si="90"/>
        <v>0.48</v>
      </c>
      <c r="Y1936" s="2">
        <f>SUMIF(收盤價!A:A,A1936,收盤價!C:C)</f>
        <v>12.38</v>
      </c>
      <c r="Z1936" s="2">
        <f t="shared" si="91"/>
        <v>1407043.4000000001</v>
      </c>
      <c r="AA1936" s="2">
        <f t="shared" si="92"/>
        <v>540968.8600000001</v>
      </c>
    </row>
    <row r="1937" spans="1:28" ht="14.5" customHeight="1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>
        <f t="shared" si="90"/>
        <v>1</v>
      </c>
      <c r="Y1937">
        <f>SUMIF(收盤價!A:A,A1937,收盤價!C:C)</f>
        <v>0</v>
      </c>
      <c r="Z1937">
        <f t="shared" si="91"/>
        <v>0</v>
      </c>
      <c r="AA1937">
        <f t="shared" si="92"/>
        <v>0</v>
      </c>
      <c r="AB1937"/>
    </row>
    <row r="1938" spans="1:28" ht="14.5" customHeight="1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>
        <f t="shared" si="90"/>
        <v>1</v>
      </c>
      <c r="Y1938">
        <f>SUMIF(收盤價!A:A,A1938,收盤價!C:C)</f>
        <v>0</v>
      </c>
      <c r="Z1938">
        <f t="shared" si="91"/>
        <v>0</v>
      </c>
      <c r="AA1938">
        <f t="shared" si="92"/>
        <v>0</v>
      </c>
      <c r="AB1938"/>
    </row>
    <row r="1939" spans="1:28" ht="14.5" customHeight="1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>
        <f t="shared" si="90"/>
        <v>1</v>
      </c>
      <c r="Y1939">
        <f>SUMIF(收盤價!A:A,A1939,收盤價!C:C)</f>
        <v>0</v>
      </c>
      <c r="Z1939">
        <f t="shared" si="91"/>
        <v>0</v>
      </c>
      <c r="AA1939">
        <f t="shared" si="92"/>
        <v>0</v>
      </c>
      <c r="AB1939"/>
    </row>
    <row r="1940" spans="1:28" ht="14.5" customHeight="1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>
        <f t="shared" si="90"/>
        <v>1</v>
      </c>
      <c r="Y1940">
        <f>SUMIF(收盤價!A:A,A1940,收盤價!C:C)</f>
        <v>0</v>
      </c>
      <c r="Z1940">
        <f t="shared" si="91"/>
        <v>0</v>
      </c>
      <c r="AA1940">
        <f t="shared" si="92"/>
        <v>0</v>
      </c>
      <c r="AB1940"/>
    </row>
    <row r="1941" spans="1:28" ht="14.5" customHeight="1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>
        <f t="shared" si="90"/>
        <v>1</v>
      </c>
      <c r="Y1941">
        <f>SUMIF(收盤價!A:A,A1941,收盤價!C:C)</f>
        <v>0</v>
      </c>
      <c r="Z1941">
        <f t="shared" si="91"/>
        <v>0</v>
      </c>
      <c r="AA1941">
        <f t="shared" si="92"/>
        <v>0</v>
      </c>
      <c r="AB1941"/>
    </row>
    <row r="1942" spans="1:28" ht="14.5" customHeight="1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>
        <f t="shared" si="90"/>
        <v>1</v>
      </c>
      <c r="Y1942">
        <f>SUMIF(收盤價!A:A,A1942,收盤價!C:C)</f>
        <v>0</v>
      </c>
      <c r="Z1942">
        <f t="shared" si="91"/>
        <v>0</v>
      </c>
      <c r="AA1942">
        <f t="shared" si="92"/>
        <v>0</v>
      </c>
      <c r="AB1942"/>
    </row>
    <row r="1943" spans="1:28" ht="14.5" customHeight="1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>
        <f t="shared" si="90"/>
        <v>1</v>
      </c>
      <c r="Y1943">
        <f>SUMIF(收盤價!A:A,A1943,收盤價!C:C)</f>
        <v>0</v>
      </c>
      <c r="Z1943">
        <f t="shared" si="91"/>
        <v>0</v>
      </c>
      <c r="AA1943">
        <f t="shared" si="92"/>
        <v>0</v>
      </c>
      <c r="AB1943"/>
    </row>
    <row r="1944" spans="1:28" ht="14.5" customHeight="1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>
        <f t="shared" si="90"/>
        <v>1</v>
      </c>
      <c r="Y1944">
        <f>SUMIF(收盤價!A:A,A1944,收盤價!C:C)</f>
        <v>0</v>
      </c>
      <c r="Z1944">
        <f t="shared" si="91"/>
        <v>0</v>
      </c>
      <c r="AA1944">
        <f t="shared" si="92"/>
        <v>0</v>
      </c>
      <c r="AB1944"/>
    </row>
    <row r="1945" spans="1:28" ht="14.5" customHeight="1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>
        <f t="shared" si="90"/>
        <v>1</v>
      </c>
      <c r="Y1945">
        <f>SUMIF(收盤價!A:A,A1945,收盤價!C:C)</f>
        <v>0</v>
      </c>
      <c r="Z1945">
        <f t="shared" si="91"/>
        <v>0</v>
      </c>
      <c r="AA1945">
        <f t="shared" si="92"/>
        <v>0</v>
      </c>
      <c r="AB1945"/>
    </row>
    <row r="1946" spans="1:28" ht="14.5" customHeight="1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>
        <f t="shared" si="90"/>
        <v>1</v>
      </c>
      <c r="Y1946">
        <f>SUMIF(收盤價!A:A,A1946,收盤價!C:C)</f>
        <v>0</v>
      </c>
      <c r="Z1946">
        <f t="shared" si="91"/>
        <v>0</v>
      </c>
      <c r="AA1946">
        <f t="shared" si="92"/>
        <v>0</v>
      </c>
      <c r="AB1946"/>
    </row>
    <row r="1947" spans="1:28" ht="14.5" customHeight="1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>
        <f t="shared" si="90"/>
        <v>1</v>
      </c>
      <c r="Y1947">
        <f>SUMIF(收盤價!A:A,A1947,收盤價!C:C)</f>
        <v>0</v>
      </c>
      <c r="Z1947">
        <f t="shared" si="91"/>
        <v>0</v>
      </c>
      <c r="AA1947">
        <f t="shared" si="92"/>
        <v>0</v>
      </c>
      <c r="AB1947"/>
    </row>
    <row r="1948" spans="1:28" ht="14.5" customHeight="1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>
        <f t="shared" si="90"/>
        <v>1</v>
      </c>
      <c r="Y1948">
        <f>SUMIF(收盤價!A:A,A1948,收盤價!C:C)</f>
        <v>0</v>
      </c>
      <c r="Z1948">
        <f t="shared" si="91"/>
        <v>0</v>
      </c>
      <c r="AA1948">
        <f t="shared" si="92"/>
        <v>0</v>
      </c>
      <c r="AB1948"/>
    </row>
    <row r="1949" spans="1:28" ht="14.5" customHeight="1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>
        <f t="shared" si="90"/>
        <v>1</v>
      </c>
      <c r="Y1949">
        <f>SUMIF(收盤價!A:A,A1949,收盤價!C:C)</f>
        <v>0</v>
      </c>
      <c r="Z1949">
        <f t="shared" si="91"/>
        <v>0</v>
      </c>
      <c r="AA1949">
        <f t="shared" si="92"/>
        <v>0</v>
      </c>
      <c r="AB1949"/>
    </row>
    <row r="1950" spans="1:28" ht="14.5" customHeight="1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>
        <f t="shared" si="90"/>
        <v>1</v>
      </c>
      <c r="Y1950">
        <f>SUMIF(收盤價!A:A,A1950,收盤價!C:C)</f>
        <v>0</v>
      </c>
      <c r="Z1950">
        <f t="shared" si="91"/>
        <v>0</v>
      </c>
      <c r="AA1950">
        <f t="shared" si="92"/>
        <v>0</v>
      </c>
      <c r="AB1950"/>
    </row>
    <row r="1951" spans="1:28" ht="14.5" customHeight="1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>
        <f t="shared" si="90"/>
        <v>1</v>
      </c>
      <c r="Y1951">
        <f>SUMIF(收盤價!A:A,A1951,收盤價!C:C)</f>
        <v>0</v>
      </c>
      <c r="Z1951">
        <f t="shared" si="91"/>
        <v>0</v>
      </c>
      <c r="AA1951">
        <f t="shared" si="92"/>
        <v>0</v>
      </c>
      <c r="AB1951"/>
    </row>
    <row r="1952" spans="1:28" ht="14.5" customHeight="1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>
        <f t="shared" si="90"/>
        <v>1</v>
      </c>
      <c r="Y1952">
        <f>SUMIF(收盤價!A:A,A1952,收盤價!C:C)</f>
        <v>0</v>
      </c>
      <c r="Z1952">
        <f t="shared" si="91"/>
        <v>0</v>
      </c>
      <c r="AA1952">
        <f t="shared" si="92"/>
        <v>0</v>
      </c>
      <c r="AB1952"/>
    </row>
    <row r="1953" spans="1:28" ht="14.5" customHeight="1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>
        <f t="shared" si="90"/>
        <v>1</v>
      </c>
      <c r="Y1953">
        <f>SUMIF(收盤價!A:A,A1953,收盤價!C:C)</f>
        <v>0</v>
      </c>
      <c r="Z1953">
        <f t="shared" si="91"/>
        <v>0</v>
      </c>
      <c r="AA1953">
        <f t="shared" si="92"/>
        <v>0</v>
      </c>
      <c r="AB1953"/>
    </row>
    <row r="1954" spans="1:28" ht="14.5" customHeight="1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>
        <f t="shared" si="90"/>
        <v>1</v>
      </c>
      <c r="Y1954">
        <f>SUMIF(收盤價!A:A,A1954,收盤價!C:C)</f>
        <v>0</v>
      </c>
      <c r="Z1954">
        <f t="shared" si="91"/>
        <v>0</v>
      </c>
      <c r="AA1954">
        <f t="shared" si="92"/>
        <v>0</v>
      </c>
      <c r="AB1954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34BAA-5EF0-4803-BC28-FDAAA338A095}">
  <sheetPr codeName="工作表12"/>
  <dimension ref="A1:C2206"/>
  <sheetViews>
    <sheetView workbookViewId="0"/>
  </sheetViews>
  <sheetFormatPr defaultRowHeight="14.5" customHeight="1"/>
  <cols>
    <col min="1" max="1" width="11.09765625" style="1" bestFit="1" customWidth="1"/>
    <col min="2" max="2" width="22.296875" style="1" bestFit="1" customWidth="1"/>
    <col min="3" max="3" width="10.8984375" style="86" bestFit="1" customWidth="1"/>
  </cols>
  <sheetData>
    <row r="1" spans="1:3" ht="14.5" customHeight="1">
      <c r="A1" s="1" t="s">
        <v>15</v>
      </c>
      <c r="B1" s="1" t="s">
        <v>21</v>
      </c>
      <c r="C1" s="86" t="s">
        <v>22</v>
      </c>
    </row>
    <row r="2" spans="1:3" ht="14.5" customHeight="1">
      <c r="A2" s="1" t="s">
        <v>4667</v>
      </c>
      <c r="B2" s="1" t="s">
        <v>28</v>
      </c>
      <c r="C2" s="86">
        <v>43.7</v>
      </c>
    </row>
    <row r="3" spans="1:3" ht="14.5" customHeight="1">
      <c r="A3" s="1" t="s">
        <v>4668</v>
      </c>
      <c r="B3" s="1" t="s">
        <v>4669</v>
      </c>
      <c r="C3" s="86">
        <v>53.9</v>
      </c>
    </row>
    <row r="4" spans="1:3" ht="14.5" customHeight="1">
      <c r="A4" s="1" t="s">
        <v>4670</v>
      </c>
      <c r="B4" s="1" t="s">
        <v>30</v>
      </c>
      <c r="C4" s="86">
        <v>47.95</v>
      </c>
    </row>
    <row r="5" spans="1:3" ht="14.5" customHeight="1">
      <c r="A5" s="1" t="s">
        <v>4671</v>
      </c>
      <c r="B5" s="1" t="s">
        <v>32</v>
      </c>
      <c r="C5" s="86">
        <v>22.35</v>
      </c>
    </row>
    <row r="6" spans="1:3" ht="14.5" customHeight="1">
      <c r="A6" s="1" t="s">
        <v>4672</v>
      </c>
      <c r="B6" s="1" t="s">
        <v>34</v>
      </c>
      <c r="C6" s="86">
        <v>19.600000000000001</v>
      </c>
    </row>
    <row r="7" spans="1:3" ht="14.5" customHeight="1">
      <c r="A7" s="1" t="s">
        <v>4673</v>
      </c>
      <c r="B7" s="1" t="s">
        <v>36</v>
      </c>
      <c r="C7" s="86">
        <v>8.3800000000000008</v>
      </c>
    </row>
    <row r="8" spans="1:3" ht="14.5" customHeight="1">
      <c r="A8" s="1" t="s">
        <v>4674</v>
      </c>
      <c r="B8" s="1" t="s">
        <v>38</v>
      </c>
      <c r="C8" s="86">
        <v>20.100000000000001</v>
      </c>
    </row>
    <row r="9" spans="1:3" ht="14.5" customHeight="1">
      <c r="A9" s="1" t="s">
        <v>4675</v>
      </c>
      <c r="B9" s="1" t="s">
        <v>40</v>
      </c>
      <c r="C9" s="86">
        <v>17.45</v>
      </c>
    </row>
    <row r="10" spans="1:3" ht="14.5" customHeight="1">
      <c r="A10" s="1" t="s">
        <v>4676</v>
      </c>
      <c r="B10" s="1" t="s">
        <v>42</v>
      </c>
      <c r="C10" s="86">
        <v>25.05</v>
      </c>
    </row>
    <row r="11" spans="1:3" ht="14.5" customHeight="1">
      <c r="A11" s="1" t="s">
        <v>4677</v>
      </c>
      <c r="B11" s="1" t="s">
        <v>44</v>
      </c>
      <c r="C11" s="86">
        <v>27.05</v>
      </c>
    </row>
    <row r="12" spans="1:3" ht="14.5" customHeight="1">
      <c r="A12" s="1" t="s">
        <v>4678</v>
      </c>
      <c r="B12" s="1" t="s">
        <v>46</v>
      </c>
      <c r="C12" s="86">
        <v>43.65</v>
      </c>
    </row>
    <row r="13" spans="1:3" ht="14.5" customHeight="1">
      <c r="A13" s="1" t="s">
        <v>4679</v>
      </c>
      <c r="B13" s="1" t="s">
        <v>50</v>
      </c>
      <c r="C13" s="86">
        <v>66.2</v>
      </c>
    </row>
    <row r="14" spans="1:3" ht="14.5" customHeight="1">
      <c r="A14" s="1" t="s">
        <v>4680</v>
      </c>
      <c r="B14" s="1" t="s">
        <v>52</v>
      </c>
      <c r="C14" s="86">
        <v>74.2</v>
      </c>
    </row>
    <row r="15" spans="1:3" ht="14.5" customHeight="1">
      <c r="A15" s="1" t="s">
        <v>4681</v>
      </c>
      <c r="B15" s="1" t="s">
        <v>54</v>
      </c>
      <c r="C15" s="86">
        <v>7.11</v>
      </c>
    </row>
    <row r="16" spans="1:3" ht="14.5" customHeight="1">
      <c r="A16" s="1" t="s">
        <v>4682</v>
      </c>
      <c r="B16" s="1" t="s">
        <v>56</v>
      </c>
      <c r="C16" s="86">
        <v>22.1</v>
      </c>
    </row>
    <row r="17" spans="1:3" ht="14.5" customHeight="1">
      <c r="A17" s="1" t="s">
        <v>4683</v>
      </c>
      <c r="B17" s="1" t="s">
        <v>58</v>
      </c>
      <c r="C17" s="86">
        <v>18.55</v>
      </c>
    </row>
    <row r="18" spans="1:3" ht="14.5" customHeight="1">
      <c r="A18" s="1" t="s">
        <v>4684</v>
      </c>
      <c r="B18" s="1" t="s">
        <v>60</v>
      </c>
      <c r="C18" s="86">
        <v>10.55</v>
      </c>
    </row>
    <row r="19" spans="1:3" ht="14.5" customHeight="1">
      <c r="A19" s="1" t="s">
        <v>4685</v>
      </c>
      <c r="B19" s="1" t="s">
        <v>62</v>
      </c>
      <c r="C19" s="86">
        <v>34.700000000000003</v>
      </c>
    </row>
    <row r="20" spans="1:3" ht="14.5" customHeight="1">
      <c r="A20" s="1" t="s">
        <v>4686</v>
      </c>
      <c r="B20" s="1" t="s">
        <v>64</v>
      </c>
      <c r="C20" s="86">
        <v>69.599999999999994</v>
      </c>
    </row>
    <row r="21" spans="1:3" ht="14.5" customHeight="1">
      <c r="A21" s="1" t="s">
        <v>4687</v>
      </c>
      <c r="B21" s="1" t="s">
        <v>66</v>
      </c>
      <c r="C21" s="86">
        <v>36.950000000000003</v>
      </c>
    </row>
    <row r="22" spans="1:3" ht="14.5" customHeight="1">
      <c r="A22" s="1" t="s">
        <v>4688</v>
      </c>
      <c r="B22" s="1" t="s">
        <v>68</v>
      </c>
      <c r="C22" s="86">
        <v>41.85</v>
      </c>
    </row>
    <row r="23" spans="1:3" ht="14.5" customHeight="1">
      <c r="A23" s="1" t="s">
        <v>4689</v>
      </c>
      <c r="B23" s="1" t="s">
        <v>70</v>
      </c>
      <c r="C23" s="86">
        <v>121</v>
      </c>
    </row>
    <row r="24" spans="1:3" ht="14.5" customHeight="1">
      <c r="A24" s="1" t="s">
        <v>4690</v>
      </c>
      <c r="B24" s="1" t="s">
        <v>72</v>
      </c>
      <c r="C24" s="86">
        <v>40.049999999999997</v>
      </c>
    </row>
    <row r="25" spans="1:3" ht="14.5" customHeight="1">
      <c r="A25" s="1" t="s">
        <v>4691</v>
      </c>
      <c r="B25" s="1" t="s">
        <v>74</v>
      </c>
      <c r="C25" s="86">
        <v>32.549999999999997</v>
      </c>
    </row>
    <row r="26" spans="1:3" ht="14.5" customHeight="1">
      <c r="A26" s="1" t="s">
        <v>4692</v>
      </c>
      <c r="B26" s="1" t="s">
        <v>76</v>
      </c>
      <c r="C26" s="86">
        <v>21.45</v>
      </c>
    </row>
    <row r="27" spans="1:3" ht="14.5" customHeight="1">
      <c r="A27" s="1" t="s">
        <v>4693</v>
      </c>
      <c r="B27" s="1" t="s">
        <v>78</v>
      </c>
      <c r="C27" s="86">
        <v>13.7</v>
      </c>
    </row>
    <row r="28" spans="1:3" ht="14.5" customHeight="1">
      <c r="A28" s="1" t="s">
        <v>4694</v>
      </c>
      <c r="B28" s="1" t="s">
        <v>80</v>
      </c>
      <c r="C28" s="86">
        <v>220.5</v>
      </c>
    </row>
    <row r="29" spans="1:3" ht="14.5" customHeight="1">
      <c r="A29" s="1" t="s">
        <v>4695</v>
      </c>
      <c r="B29" s="1" t="s">
        <v>336</v>
      </c>
      <c r="C29" s="86">
        <v>50.9</v>
      </c>
    </row>
    <row r="30" spans="1:3" ht="14.5" customHeight="1">
      <c r="A30" s="1" t="s">
        <v>4696</v>
      </c>
      <c r="B30" s="1" t="s">
        <v>388</v>
      </c>
      <c r="C30" s="86">
        <v>32.5</v>
      </c>
    </row>
    <row r="31" spans="1:3" ht="14.5" customHeight="1">
      <c r="A31" s="1" t="s">
        <v>4697</v>
      </c>
      <c r="B31" s="1" t="s">
        <v>82</v>
      </c>
      <c r="C31" s="86">
        <v>99.8</v>
      </c>
    </row>
    <row r="32" spans="1:3" ht="14.5" customHeight="1">
      <c r="A32" s="1" t="s">
        <v>4698</v>
      </c>
      <c r="B32" s="1" t="s">
        <v>84</v>
      </c>
      <c r="C32" s="86">
        <v>72.8</v>
      </c>
    </row>
    <row r="33" spans="1:3" ht="14.5" customHeight="1">
      <c r="A33" s="1" t="s">
        <v>4699</v>
      </c>
      <c r="B33" s="1" t="s">
        <v>86</v>
      </c>
      <c r="C33" s="86">
        <v>13.85</v>
      </c>
    </row>
    <row r="34" spans="1:3" ht="14.5" customHeight="1">
      <c r="A34" s="1" t="s">
        <v>4700</v>
      </c>
      <c r="B34" s="1" t="s">
        <v>88</v>
      </c>
      <c r="C34" s="86">
        <v>20.8</v>
      </c>
    </row>
    <row r="35" spans="1:3" ht="14.5" customHeight="1">
      <c r="A35" s="1" t="s">
        <v>4701</v>
      </c>
      <c r="B35" s="1" t="s">
        <v>90</v>
      </c>
      <c r="C35" s="86">
        <v>23.65</v>
      </c>
    </row>
    <row r="36" spans="1:3" ht="14.5" customHeight="1">
      <c r="A36" s="1" t="s">
        <v>4702</v>
      </c>
      <c r="B36" s="1" t="s">
        <v>92</v>
      </c>
      <c r="C36" s="86">
        <v>15.8</v>
      </c>
    </row>
    <row r="37" spans="1:3" ht="14.5" customHeight="1">
      <c r="A37" s="1" t="s">
        <v>4703</v>
      </c>
      <c r="B37" s="1" t="s">
        <v>94</v>
      </c>
      <c r="C37" s="86">
        <v>11.4</v>
      </c>
    </row>
    <row r="38" spans="1:3" ht="14.5" customHeight="1">
      <c r="A38" s="1" t="s">
        <v>4704</v>
      </c>
      <c r="B38" s="1" t="s">
        <v>96</v>
      </c>
      <c r="C38" s="86">
        <v>20.9</v>
      </c>
    </row>
    <row r="39" spans="1:3" ht="14.5" customHeight="1">
      <c r="A39" s="1" t="s">
        <v>4705</v>
      </c>
      <c r="B39" s="1" t="s">
        <v>98</v>
      </c>
      <c r="C39" s="86">
        <v>18.600000000000001</v>
      </c>
    </row>
    <row r="40" spans="1:3" ht="14.5" customHeight="1">
      <c r="A40" s="1" t="s">
        <v>4706</v>
      </c>
      <c r="B40" s="1" t="s">
        <v>4707</v>
      </c>
      <c r="C40" s="86">
        <v>34.4</v>
      </c>
    </row>
    <row r="41" spans="1:3" ht="14.5" customHeight="1">
      <c r="A41" s="1" t="s">
        <v>4708</v>
      </c>
      <c r="B41" s="1" t="s">
        <v>100</v>
      </c>
      <c r="C41" s="86">
        <v>11.1</v>
      </c>
    </row>
    <row r="42" spans="1:3" ht="14.5" customHeight="1">
      <c r="A42" s="1" t="s">
        <v>4709</v>
      </c>
      <c r="B42" s="1" t="s">
        <v>102</v>
      </c>
      <c r="C42" s="86">
        <v>9.8000000000000007</v>
      </c>
    </row>
    <row r="43" spans="1:3" ht="14.5" customHeight="1">
      <c r="A43" s="1" t="s">
        <v>4710</v>
      </c>
      <c r="B43" s="1" t="s">
        <v>104</v>
      </c>
      <c r="C43" s="86">
        <v>47.35</v>
      </c>
    </row>
    <row r="44" spans="1:3" ht="14.5" customHeight="1">
      <c r="A44" s="1" t="s">
        <v>4711</v>
      </c>
      <c r="B44" s="1" t="s">
        <v>110</v>
      </c>
      <c r="C44" s="86">
        <v>39.950000000000003</v>
      </c>
    </row>
    <row r="45" spans="1:3" ht="14.5" customHeight="1">
      <c r="A45" s="1" t="s">
        <v>4712</v>
      </c>
      <c r="B45" s="1" t="s">
        <v>112</v>
      </c>
      <c r="C45" s="86">
        <v>34</v>
      </c>
    </row>
    <row r="46" spans="1:3" ht="14.5" customHeight="1">
      <c r="A46" s="1" t="s">
        <v>4713</v>
      </c>
      <c r="B46" s="1" t="s">
        <v>114</v>
      </c>
      <c r="C46" s="86">
        <v>9.65</v>
      </c>
    </row>
    <row r="47" spans="1:3" ht="14.5" customHeight="1">
      <c r="A47" s="1" t="s">
        <v>4714</v>
      </c>
      <c r="B47" s="1" t="s">
        <v>116</v>
      </c>
      <c r="C47" s="86">
        <v>16.899999999999999</v>
      </c>
    </row>
    <row r="48" spans="1:3" ht="14.5" customHeight="1">
      <c r="A48" s="1" t="s">
        <v>4715</v>
      </c>
      <c r="B48" s="1" t="s">
        <v>118</v>
      </c>
      <c r="C48" s="86">
        <v>87.5</v>
      </c>
    </row>
    <row r="49" spans="1:3" ht="14.5" customHeight="1">
      <c r="A49" s="1" t="s">
        <v>4716</v>
      </c>
      <c r="B49" s="1" t="s">
        <v>120</v>
      </c>
      <c r="C49" s="86">
        <v>6.13</v>
      </c>
    </row>
    <row r="50" spans="1:3" ht="14.5" customHeight="1">
      <c r="A50" s="1" t="s">
        <v>4717</v>
      </c>
      <c r="B50" s="1" t="s">
        <v>126</v>
      </c>
      <c r="C50" s="86">
        <v>16.5</v>
      </c>
    </row>
    <row r="51" spans="1:3" ht="14.5" customHeight="1">
      <c r="A51" s="1" t="s">
        <v>4718</v>
      </c>
      <c r="B51" s="1" t="s">
        <v>128</v>
      </c>
      <c r="C51" s="86">
        <v>61.7</v>
      </c>
    </row>
    <row r="52" spans="1:3" ht="14.5" customHeight="1">
      <c r="A52" s="1" t="s">
        <v>4719</v>
      </c>
      <c r="B52" s="1" t="s">
        <v>1319</v>
      </c>
      <c r="C52" s="86">
        <v>12.6</v>
      </c>
    </row>
    <row r="53" spans="1:3" ht="14.5" customHeight="1">
      <c r="A53" s="1" t="s">
        <v>4720</v>
      </c>
      <c r="B53" s="1" t="s">
        <v>130</v>
      </c>
      <c r="C53" s="86">
        <v>29.85</v>
      </c>
    </row>
    <row r="54" spans="1:3" ht="14.5" customHeight="1">
      <c r="A54" s="1" t="s">
        <v>4721</v>
      </c>
      <c r="B54" s="1" t="s">
        <v>132</v>
      </c>
      <c r="C54" s="86">
        <v>12.05</v>
      </c>
    </row>
    <row r="55" spans="1:3" ht="14.5" customHeight="1">
      <c r="A55" s="1" t="s">
        <v>4722</v>
      </c>
      <c r="B55" s="1" t="s">
        <v>134</v>
      </c>
      <c r="C55" s="86">
        <v>32.65</v>
      </c>
    </row>
    <row r="56" spans="1:3" ht="14.5" customHeight="1">
      <c r="A56" s="1" t="s">
        <v>4723</v>
      </c>
      <c r="B56" s="1" t="s">
        <v>136</v>
      </c>
      <c r="C56" s="86">
        <v>9.4700000000000006</v>
      </c>
    </row>
    <row r="57" spans="1:3" ht="14.5" customHeight="1">
      <c r="A57" s="1" t="s">
        <v>4724</v>
      </c>
      <c r="B57" s="1" t="s">
        <v>138</v>
      </c>
      <c r="C57" s="86">
        <v>7.18</v>
      </c>
    </row>
    <row r="58" spans="1:3" ht="14.5" customHeight="1">
      <c r="A58" s="1" t="s">
        <v>4725</v>
      </c>
      <c r="B58" s="1" t="s">
        <v>140</v>
      </c>
      <c r="C58" s="86">
        <v>13.45</v>
      </c>
    </row>
    <row r="59" spans="1:3" ht="14.5" customHeight="1">
      <c r="A59" s="1" t="s">
        <v>4726</v>
      </c>
      <c r="B59" s="1" t="s">
        <v>142</v>
      </c>
      <c r="C59" s="86">
        <v>9.99</v>
      </c>
    </row>
    <row r="60" spans="1:3" ht="14.5" customHeight="1">
      <c r="A60" s="1" t="s">
        <v>4727</v>
      </c>
      <c r="B60" s="1" t="s">
        <v>146</v>
      </c>
      <c r="C60" s="86">
        <v>41.7</v>
      </c>
    </row>
    <row r="61" spans="1:3" ht="14.5" customHeight="1">
      <c r="A61" s="1" t="s">
        <v>4728</v>
      </c>
      <c r="B61" s="1" t="s">
        <v>148</v>
      </c>
      <c r="C61" s="86">
        <v>10.35</v>
      </c>
    </row>
    <row r="62" spans="1:3" ht="14.5" customHeight="1">
      <c r="A62" s="1" t="s">
        <v>4729</v>
      </c>
      <c r="B62" s="1" t="s">
        <v>152</v>
      </c>
      <c r="C62" s="86">
        <v>34.200000000000003</v>
      </c>
    </row>
    <row r="63" spans="1:3" ht="14.5" customHeight="1">
      <c r="A63" s="1" t="s">
        <v>4730</v>
      </c>
      <c r="B63" s="1" t="s">
        <v>162</v>
      </c>
      <c r="C63" s="86">
        <v>33.4</v>
      </c>
    </row>
    <row r="64" spans="1:3" ht="14.5" customHeight="1">
      <c r="A64" s="1" t="s">
        <v>4731</v>
      </c>
      <c r="B64" s="1" t="s">
        <v>164</v>
      </c>
      <c r="C64" s="86">
        <v>10.5</v>
      </c>
    </row>
    <row r="65" spans="1:3" ht="14.5" customHeight="1">
      <c r="A65" s="1" t="s">
        <v>4732</v>
      </c>
      <c r="B65" s="1" t="s">
        <v>166</v>
      </c>
      <c r="C65" s="86">
        <v>8.77</v>
      </c>
    </row>
    <row r="66" spans="1:3" ht="14.5" customHeight="1">
      <c r="A66" s="1" t="s">
        <v>4733</v>
      </c>
      <c r="B66" s="1" t="s">
        <v>170</v>
      </c>
      <c r="C66" s="86">
        <v>9.6300000000000008</v>
      </c>
    </row>
    <row r="67" spans="1:3" ht="14.5" customHeight="1">
      <c r="A67" s="1" t="s">
        <v>4734</v>
      </c>
      <c r="B67" s="1" t="s">
        <v>172</v>
      </c>
      <c r="C67" s="86">
        <v>9.57</v>
      </c>
    </row>
    <row r="68" spans="1:3" ht="14.5" customHeight="1">
      <c r="A68" s="1" t="s">
        <v>4735</v>
      </c>
      <c r="B68" s="1" t="s">
        <v>174</v>
      </c>
      <c r="C68" s="86">
        <v>7.2</v>
      </c>
    </row>
    <row r="69" spans="1:3" ht="14.5" customHeight="1">
      <c r="A69" s="1" t="s">
        <v>4736</v>
      </c>
      <c r="B69" s="1" t="s">
        <v>176</v>
      </c>
      <c r="C69" s="86">
        <v>38</v>
      </c>
    </row>
    <row r="70" spans="1:3" ht="14.5" customHeight="1">
      <c r="A70" s="1" t="s">
        <v>4737</v>
      </c>
      <c r="B70" s="1" t="s">
        <v>178</v>
      </c>
      <c r="C70" s="86">
        <v>6.99</v>
      </c>
    </row>
    <row r="71" spans="1:3" ht="14.5" customHeight="1">
      <c r="A71" s="1" t="s">
        <v>4738</v>
      </c>
      <c r="B71" s="1" t="s">
        <v>180</v>
      </c>
      <c r="C71" s="86">
        <v>12.2</v>
      </c>
    </row>
    <row r="72" spans="1:3" ht="14.5" customHeight="1">
      <c r="A72" s="1" t="s">
        <v>4739</v>
      </c>
      <c r="B72" s="1" t="s">
        <v>182</v>
      </c>
      <c r="C72" s="86">
        <v>21</v>
      </c>
    </row>
    <row r="73" spans="1:3" ht="14.5" customHeight="1">
      <c r="A73" s="1" t="s">
        <v>4740</v>
      </c>
      <c r="B73" s="1" t="s">
        <v>184</v>
      </c>
      <c r="C73" s="86">
        <v>18.600000000000001</v>
      </c>
    </row>
    <row r="74" spans="1:3" ht="14.5" customHeight="1">
      <c r="A74" s="1" t="s">
        <v>4741</v>
      </c>
      <c r="B74" s="1" t="s">
        <v>186</v>
      </c>
      <c r="C74" s="86">
        <v>8.01</v>
      </c>
    </row>
    <row r="75" spans="1:3" ht="14.5" customHeight="1">
      <c r="A75" s="1" t="s">
        <v>4742</v>
      </c>
      <c r="B75" s="1" t="s">
        <v>188</v>
      </c>
      <c r="C75" s="86">
        <v>7.8</v>
      </c>
    </row>
    <row r="76" spans="1:3" ht="14.5" customHeight="1">
      <c r="A76" s="1" t="s">
        <v>4743</v>
      </c>
      <c r="B76" s="1" t="s">
        <v>190</v>
      </c>
      <c r="C76" s="86">
        <v>8</v>
      </c>
    </row>
    <row r="77" spans="1:3" ht="14.5" customHeight="1">
      <c r="A77" s="1" t="s">
        <v>4744</v>
      </c>
      <c r="B77" s="1" t="s">
        <v>192</v>
      </c>
      <c r="C77" s="86">
        <v>11.9</v>
      </c>
    </row>
    <row r="78" spans="1:3" ht="14.5" customHeight="1">
      <c r="A78" s="1" t="s">
        <v>4745</v>
      </c>
      <c r="B78" s="1" t="s">
        <v>194</v>
      </c>
      <c r="C78" s="86">
        <v>14.35</v>
      </c>
    </row>
    <row r="79" spans="1:3" ht="14.5" customHeight="1">
      <c r="A79" s="1" t="s">
        <v>4746</v>
      </c>
      <c r="B79" s="1" t="s">
        <v>196</v>
      </c>
      <c r="C79" s="86">
        <v>7.53</v>
      </c>
    </row>
    <row r="80" spans="1:3" ht="14.5" customHeight="1">
      <c r="A80" s="1" t="s">
        <v>4747</v>
      </c>
      <c r="B80" s="1" t="s">
        <v>198</v>
      </c>
      <c r="C80" s="86">
        <v>9.14</v>
      </c>
    </row>
    <row r="81" spans="1:3" ht="14.5" customHeight="1">
      <c r="A81" s="1" t="s">
        <v>4748</v>
      </c>
      <c r="B81" s="1" t="s">
        <v>200</v>
      </c>
      <c r="C81" s="86">
        <v>13</v>
      </c>
    </row>
    <row r="82" spans="1:3" ht="14.5" customHeight="1">
      <c r="A82" s="1" t="s">
        <v>4749</v>
      </c>
      <c r="B82" s="1" t="s">
        <v>202</v>
      </c>
      <c r="C82" s="86">
        <v>26.05</v>
      </c>
    </row>
    <row r="83" spans="1:3" ht="14.5" customHeight="1">
      <c r="A83" s="1" t="s">
        <v>4750</v>
      </c>
      <c r="B83" s="1" t="s">
        <v>204</v>
      </c>
      <c r="C83" s="86">
        <v>15.25</v>
      </c>
    </row>
    <row r="84" spans="1:3" ht="14.5" customHeight="1">
      <c r="A84" s="1" t="s">
        <v>4751</v>
      </c>
      <c r="B84" s="1" t="s">
        <v>206</v>
      </c>
      <c r="C84" s="86">
        <v>7.56</v>
      </c>
    </row>
    <row r="85" spans="1:3" ht="14.5" customHeight="1">
      <c r="A85" s="1" t="s">
        <v>4752</v>
      </c>
      <c r="B85" s="1" t="s">
        <v>208</v>
      </c>
      <c r="C85" s="86">
        <v>8.56</v>
      </c>
    </row>
    <row r="86" spans="1:3" ht="14.5" customHeight="1">
      <c r="A86" s="1" t="s">
        <v>4753</v>
      </c>
      <c r="B86" s="1" t="s">
        <v>210</v>
      </c>
      <c r="C86" s="86">
        <v>10.050000000000001</v>
      </c>
    </row>
    <row r="87" spans="1:3" ht="14.5" customHeight="1">
      <c r="A87" s="1" t="s">
        <v>4754</v>
      </c>
      <c r="B87" s="1" t="s">
        <v>212</v>
      </c>
      <c r="C87" s="86">
        <v>20.8</v>
      </c>
    </row>
    <row r="88" spans="1:3" ht="14.5" customHeight="1">
      <c r="A88" s="1" t="s">
        <v>4755</v>
      </c>
      <c r="B88" s="1" t="s">
        <v>216</v>
      </c>
      <c r="C88" s="86">
        <v>27.3</v>
      </c>
    </row>
    <row r="89" spans="1:3" ht="14.5" customHeight="1">
      <c r="A89" s="1" t="s">
        <v>4756</v>
      </c>
      <c r="B89" s="1" t="s">
        <v>218</v>
      </c>
      <c r="C89" s="86">
        <v>24.65</v>
      </c>
    </row>
    <row r="90" spans="1:3" ht="14.5" customHeight="1">
      <c r="A90" s="1" t="s">
        <v>4757</v>
      </c>
      <c r="B90" s="1" t="s">
        <v>220</v>
      </c>
      <c r="C90" s="86">
        <v>9.69</v>
      </c>
    </row>
    <row r="91" spans="1:3" ht="14.5" customHeight="1">
      <c r="A91" s="1" t="s">
        <v>4758</v>
      </c>
      <c r="B91" s="1" t="s">
        <v>224</v>
      </c>
      <c r="C91" s="86">
        <v>403</v>
      </c>
    </row>
    <row r="92" spans="1:3" ht="14.5" customHeight="1">
      <c r="A92" s="1" t="s">
        <v>4759</v>
      </c>
      <c r="B92" s="1" t="s">
        <v>226</v>
      </c>
      <c r="C92" s="86">
        <v>157.5</v>
      </c>
    </row>
    <row r="93" spans="1:3" ht="14.5" customHeight="1">
      <c r="A93" s="1" t="s">
        <v>4760</v>
      </c>
      <c r="B93" s="1" t="s">
        <v>1321</v>
      </c>
      <c r="C93" s="86">
        <v>12</v>
      </c>
    </row>
    <row r="94" spans="1:3" ht="14.5" customHeight="1">
      <c r="A94" s="1" t="s">
        <v>4761</v>
      </c>
      <c r="B94" s="1" t="s">
        <v>1323</v>
      </c>
      <c r="C94" s="86">
        <v>48.1</v>
      </c>
    </row>
    <row r="95" spans="1:3" ht="14.5" customHeight="1">
      <c r="A95" s="1" t="s">
        <v>4762</v>
      </c>
      <c r="B95" s="1" t="s">
        <v>1325</v>
      </c>
      <c r="C95" s="86">
        <v>152</v>
      </c>
    </row>
    <row r="96" spans="1:3" ht="14.5" customHeight="1">
      <c r="A96" s="1" t="s">
        <v>4763</v>
      </c>
      <c r="B96" s="1" t="s">
        <v>1327</v>
      </c>
      <c r="C96" s="86">
        <v>183.5</v>
      </c>
    </row>
    <row r="97" spans="1:3" ht="14.5" customHeight="1">
      <c r="A97" s="1" t="s">
        <v>4764</v>
      </c>
      <c r="B97" s="1" t="s">
        <v>228</v>
      </c>
      <c r="C97" s="86">
        <v>45.25</v>
      </c>
    </row>
    <row r="98" spans="1:3" ht="14.5" customHeight="1">
      <c r="A98" s="1" t="s">
        <v>4765</v>
      </c>
      <c r="B98" s="1" t="s">
        <v>230</v>
      </c>
      <c r="C98" s="86">
        <v>26.2</v>
      </c>
    </row>
    <row r="99" spans="1:3" ht="14.5" customHeight="1">
      <c r="A99" s="1" t="s">
        <v>4766</v>
      </c>
      <c r="B99" s="1" t="s">
        <v>232</v>
      </c>
      <c r="C99" s="86">
        <v>15</v>
      </c>
    </row>
    <row r="100" spans="1:3" ht="14.5" customHeight="1">
      <c r="A100" s="1" t="s">
        <v>4767</v>
      </c>
      <c r="B100" s="1" t="s">
        <v>234</v>
      </c>
      <c r="C100" s="86">
        <v>64.3</v>
      </c>
    </row>
    <row r="101" spans="1:3" ht="14.5" customHeight="1">
      <c r="A101" s="1" t="s">
        <v>4768</v>
      </c>
      <c r="B101" s="1" t="s">
        <v>238</v>
      </c>
      <c r="C101" s="86">
        <v>24.3</v>
      </c>
    </row>
    <row r="102" spans="1:3" ht="14.5" customHeight="1">
      <c r="A102" s="1" t="s">
        <v>4769</v>
      </c>
      <c r="B102" s="1" t="s">
        <v>240</v>
      </c>
      <c r="C102" s="86">
        <v>17.899999999999999</v>
      </c>
    </row>
    <row r="103" spans="1:3" ht="14.5" customHeight="1">
      <c r="A103" s="1" t="s">
        <v>4770</v>
      </c>
      <c r="B103" s="1" t="s">
        <v>242</v>
      </c>
      <c r="C103" s="86">
        <v>71.400000000000006</v>
      </c>
    </row>
    <row r="104" spans="1:3" ht="14.5" customHeight="1">
      <c r="A104" s="1" t="s">
        <v>4771</v>
      </c>
      <c r="B104" s="1" t="s">
        <v>246</v>
      </c>
      <c r="C104" s="86">
        <v>9.09</v>
      </c>
    </row>
    <row r="105" spans="1:3" ht="14.5" customHeight="1">
      <c r="A105" s="1" t="s">
        <v>4772</v>
      </c>
      <c r="B105" s="1" t="s">
        <v>248</v>
      </c>
      <c r="C105" s="86">
        <v>29.1</v>
      </c>
    </row>
    <row r="106" spans="1:3" ht="14.5" customHeight="1">
      <c r="A106" s="1" t="s">
        <v>4773</v>
      </c>
      <c r="B106" s="1" t="s">
        <v>258</v>
      </c>
      <c r="C106" s="86">
        <v>24.05</v>
      </c>
    </row>
    <row r="107" spans="1:3" ht="14.5" customHeight="1">
      <c r="A107" s="1" t="s">
        <v>4774</v>
      </c>
      <c r="B107" s="1" t="s">
        <v>260</v>
      </c>
      <c r="C107" s="86">
        <v>49.2</v>
      </c>
    </row>
    <row r="108" spans="1:3" ht="14.5" customHeight="1">
      <c r="A108" s="1" t="s">
        <v>4775</v>
      </c>
      <c r="B108" s="1" t="s">
        <v>262</v>
      </c>
      <c r="C108" s="86">
        <v>9.2200000000000006</v>
      </c>
    </row>
    <row r="109" spans="1:3" ht="14.5" customHeight="1">
      <c r="A109" s="1" t="s">
        <v>4776</v>
      </c>
      <c r="B109" s="1" t="s">
        <v>264</v>
      </c>
      <c r="C109" s="86">
        <v>17.649999999999999</v>
      </c>
    </row>
    <row r="110" spans="1:3" ht="14.5" customHeight="1">
      <c r="A110" s="1" t="s">
        <v>4777</v>
      </c>
      <c r="B110" s="1" t="s">
        <v>266</v>
      </c>
      <c r="C110" s="86">
        <v>30.2</v>
      </c>
    </row>
    <row r="111" spans="1:3" ht="14.5" customHeight="1">
      <c r="A111" s="1" t="s">
        <v>4778</v>
      </c>
      <c r="B111" s="1" t="s">
        <v>268</v>
      </c>
      <c r="C111" s="86">
        <v>15.2</v>
      </c>
    </row>
    <row r="112" spans="1:3" ht="14.5" customHeight="1">
      <c r="A112" s="1" t="s">
        <v>4779</v>
      </c>
      <c r="B112" s="1" t="s">
        <v>270</v>
      </c>
      <c r="C112" s="86">
        <v>31.35</v>
      </c>
    </row>
    <row r="113" spans="1:3" ht="14.5" customHeight="1">
      <c r="A113" s="1" t="s">
        <v>4780</v>
      </c>
      <c r="B113" s="1" t="s">
        <v>274</v>
      </c>
      <c r="C113" s="86">
        <v>35.1</v>
      </c>
    </row>
    <row r="114" spans="1:3" ht="14.5" customHeight="1">
      <c r="A114" s="1" t="s">
        <v>4781</v>
      </c>
      <c r="B114" s="1" t="s">
        <v>278</v>
      </c>
      <c r="C114" s="86">
        <v>149</v>
      </c>
    </row>
    <row r="115" spans="1:3" ht="14.5" customHeight="1">
      <c r="A115" s="1" t="s">
        <v>4782</v>
      </c>
      <c r="B115" s="1" t="s">
        <v>282</v>
      </c>
      <c r="C115" s="86">
        <v>19.95</v>
      </c>
    </row>
    <row r="116" spans="1:3" ht="14.5" customHeight="1">
      <c r="A116" s="1" t="s">
        <v>4783</v>
      </c>
      <c r="B116" s="1" t="s">
        <v>284</v>
      </c>
      <c r="C116" s="86">
        <v>19.5</v>
      </c>
    </row>
    <row r="117" spans="1:3" ht="14.5" customHeight="1">
      <c r="A117" s="1" t="s">
        <v>4784</v>
      </c>
      <c r="B117" s="1" t="s">
        <v>286</v>
      </c>
      <c r="C117" s="86">
        <v>36.4</v>
      </c>
    </row>
    <row r="118" spans="1:3" ht="14.5" customHeight="1">
      <c r="A118" s="1" t="s">
        <v>4785</v>
      </c>
      <c r="B118" s="1" t="s">
        <v>288</v>
      </c>
      <c r="C118" s="86">
        <v>132.5</v>
      </c>
    </row>
    <row r="119" spans="1:3" ht="14.5" customHeight="1">
      <c r="A119" s="1" t="s">
        <v>4786</v>
      </c>
      <c r="B119" s="1" t="s">
        <v>290</v>
      </c>
      <c r="C119" s="86">
        <v>68.900000000000006</v>
      </c>
    </row>
    <row r="120" spans="1:3" ht="14.5" customHeight="1">
      <c r="A120" s="1" t="s">
        <v>4787</v>
      </c>
      <c r="B120" s="1" t="s">
        <v>296</v>
      </c>
      <c r="C120" s="86">
        <v>58.9</v>
      </c>
    </row>
    <row r="121" spans="1:3" ht="14.5" customHeight="1">
      <c r="A121" s="1" t="s">
        <v>4788</v>
      </c>
      <c r="B121" s="1" t="s">
        <v>300</v>
      </c>
      <c r="C121" s="86">
        <v>62</v>
      </c>
    </row>
    <row r="122" spans="1:3" ht="14.5" customHeight="1">
      <c r="A122" s="1" t="s">
        <v>4789</v>
      </c>
      <c r="B122" s="1" t="s">
        <v>302</v>
      </c>
      <c r="C122" s="86">
        <v>466.5</v>
      </c>
    </row>
    <row r="123" spans="1:3" ht="14.5" customHeight="1">
      <c r="A123" s="1" t="s">
        <v>4790</v>
      </c>
      <c r="B123" s="1" t="s">
        <v>484</v>
      </c>
      <c r="C123" s="86">
        <v>281</v>
      </c>
    </row>
    <row r="124" spans="1:3" ht="14.5" customHeight="1">
      <c r="A124" s="1" t="s">
        <v>4791</v>
      </c>
      <c r="B124" s="1" t="s">
        <v>625</v>
      </c>
      <c r="C124" s="86">
        <v>21</v>
      </c>
    </row>
    <row r="125" spans="1:3" ht="14.5" customHeight="1">
      <c r="A125" s="1" t="s">
        <v>4792</v>
      </c>
      <c r="B125" s="1" t="s">
        <v>1151</v>
      </c>
      <c r="C125" s="86">
        <v>42.6</v>
      </c>
    </row>
    <row r="126" spans="1:3" ht="14.5" customHeight="1">
      <c r="A126" s="1" t="s">
        <v>4793</v>
      </c>
      <c r="B126" s="1" t="s">
        <v>1329</v>
      </c>
      <c r="C126" s="86">
        <v>16.899999999999999</v>
      </c>
    </row>
    <row r="127" spans="1:3" ht="14.5" customHeight="1">
      <c r="A127" s="1" t="s">
        <v>4794</v>
      </c>
      <c r="B127" s="1" t="s">
        <v>1331</v>
      </c>
      <c r="C127" s="86">
        <v>22.95</v>
      </c>
    </row>
    <row r="128" spans="1:3" ht="14.5" customHeight="1">
      <c r="A128" s="1" t="s">
        <v>4795</v>
      </c>
      <c r="B128" s="1" t="s">
        <v>1335</v>
      </c>
      <c r="C128" s="86">
        <v>51.9</v>
      </c>
    </row>
    <row r="129" spans="1:3" ht="14.5" customHeight="1">
      <c r="A129" s="1" t="s">
        <v>4796</v>
      </c>
      <c r="B129" s="1" t="s">
        <v>1341</v>
      </c>
      <c r="C129" s="86">
        <v>42.55</v>
      </c>
    </row>
    <row r="130" spans="1:3" ht="14.5" customHeight="1">
      <c r="A130" s="1" t="s">
        <v>4797</v>
      </c>
      <c r="B130" s="1" t="s">
        <v>1343</v>
      </c>
      <c r="C130" s="86">
        <v>50</v>
      </c>
    </row>
    <row r="131" spans="1:3" ht="14.5" customHeight="1">
      <c r="A131" s="1" t="s">
        <v>4798</v>
      </c>
      <c r="B131" s="1" t="s">
        <v>1347</v>
      </c>
      <c r="C131" s="86">
        <v>51.9</v>
      </c>
    </row>
    <row r="132" spans="1:3" ht="14.5" customHeight="1">
      <c r="A132" s="1" t="s">
        <v>4799</v>
      </c>
      <c r="B132" s="1" t="s">
        <v>1349</v>
      </c>
      <c r="C132" s="86">
        <v>23.9</v>
      </c>
    </row>
    <row r="133" spans="1:3" ht="14.5" customHeight="1">
      <c r="A133" s="1" t="s">
        <v>4800</v>
      </c>
      <c r="B133" s="1" t="s">
        <v>1351</v>
      </c>
      <c r="C133" s="86">
        <v>42.3</v>
      </c>
    </row>
    <row r="134" spans="1:3" ht="14.5" customHeight="1">
      <c r="A134" s="1" t="s">
        <v>4801</v>
      </c>
      <c r="B134" s="1" t="s">
        <v>1353</v>
      </c>
      <c r="C134" s="86">
        <v>51</v>
      </c>
    </row>
    <row r="135" spans="1:3" ht="14.5" customHeight="1">
      <c r="A135" s="1" t="s">
        <v>4802</v>
      </c>
      <c r="B135" s="1" t="s">
        <v>1355</v>
      </c>
      <c r="C135" s="86">
        <v>70.5</v>
      </c>
    </row>
    <row r="136" spans="1:3" ht="14.5" customHeight="1">
      <c r="A136" s="1" t="s">
        <v>4803</v>
      </c>
      <c r="B136" s="1" t="s">
        <v>1357</v>
      </c>
      <c r="C136" s="86">
        <v>129.5</v>
      </c>
    </row>
    <row r="137" spans="1:3" ht="14.5" customHeight="1">
      <c r="A137" s="1" t="s">
        <v>4804</v>
      </c>
      <c r="B137" s="1" t="s">
        <v>1359</v>
      </c>
      <c r="C137" s="86">
        <v>84</v>
      </c>
    </row>
    <row r="138" spans="1:3" ht="14.5" customHeight="1">
      <c r="A138" s="1" t="s">
        <v>4805</v>
      </c>
      <c r="B138" s="1" t="s">
        <v>1458</v>
      </c>
      <c r="C138" s="86">
        <v>122</v>
      </c>
    </row>
    <row r="139" spans="1:3" ht="14.5" customHeight="1">
      <c r="A139" s="1" t="s">
        <v>4806</v>
      </c>
      <c r="B139" s="1" t="s">
        <v>1760</v>
      </c>
      <c r="C139" s="86">
        <v>18.600000000000001</v>
      </c>
    </row>
    <row r="140" spans="1:3" ht="14.5" customHeight="1">
      <c r="A140" s="1" t="s">
        <v>4807</v>
      </c>
      <c r="B140" s="1" t="s">
        <v>1772</v>
      </c>
      <c r="C140" s="86">
        <v>22.5</v>
      </c>
    </row>
    <row r="141" spans="1:3" ht="14.5" customHeight="1">
      <c r="A141" s="1" t="s">
        <v>4808</v>
      </c>
      <c r="B141" s="1" t="s">
        <v>1820</v>
      </c>
      <c r="C141" s="86">
        <v>52.3</v>
      </c>
    </row>
    <row r="142" spans="1:3" ht="14.5" customHeight="1">
      <c r="A142" s="1" t="s">
        <v>4809</v>
      </c>
      <c r="B142" s="1" t="s">
        <v>308</v>
      </c>
      <c r="C142" s="86">
        <v>28.05</v>
      </c>
    </row>
    <row r="143" spans="1:3" ht="14.5" customHeight="1">
      <c r="A143" s="1" t="s">
        <v>4810</v>
      </c>
      <c r="B143" s="1" t="s">
        <v>310</v>
      </c>
      <c r="C143" s="86">
        <v>20.149999999999999</v>
      </c>
    </row>
    <row r="144" spans="1:3" ht="14.5" customHeight="1">
      <c r="A144" s="1" t="s">
        <v>4811</v>
      </c>
      <c r="B144" s="1" t="s">
        <v>312</v>
      </c>
      <c r="C144" s="86">
        <v>15.4</v>
      </c>
    </row>
    <row r="145" spans="1:3" ht="14.5" customHeight="1">
      <c r="A145" s="1" t="s">
        <v>4812</v>
      </c>
      <c r="B145" s="1" t="s">
        <v>314</v>
      </c>
      <c r="C145" s="86">
        <v>9.9499999999999993</v>
      </c>
    </row>
    <row r="146" spans="1:3" ht="14.5" customHeight="1">
      <c r="A146" s="1" t="s">
        <v>4813</v>
      </c>
      <c r="B146" s="1" t="s">
        <v>316</v>
      </c>
      <c r="C146" s="86">
        <v>11.4</v>
      </c>
    </row>
    <row r="147" spans="1:3" ht="14.5" customHeight="1">
      <c r="A147" s="1" t="s">
        <v>4814</v>
      </c>
      <c r="B147" s="1" t="s">
        <v>318</v>
      </c>
      <c r="C147" s="86">
        <v>11.1</v>
      </c>
    </row>
    <row r="148" spans="1:3" ht="14.5" customHeight="1">
      <c r="A148" s="1" t="s">
        <v>4815</v>
      </c>
      <c r="B148" s="1" t="s">
        <v>320</v>
      </c>
      <c r="C148" s="86">
        <v>10.9</v>
      </c>
    </row>
    <row r="149" spans="1:3" ht="14.5" customHeight="1">
      <c r="A149" s="1" t="s">
        <v>4816</v>
      </c>
      <c r="B149" s="1" t="s">
        <v>322</v>
      </c>
      <c r="C149" s="86">
        <v>31.3</v>
      </c>
    </row>
    <row r="150" spans="1:3" ht="14.5" customHeight="1">
      <c r="A150" s="1" t="s">
        <v>4817</v>
      </c>
      <c r="B150" s="1" t="s">
        <v>324</v>
      </c>
      <c r="C150" s="86">
        <v>17.850000000000001</v>
      </c>
    </row>
    <row r="151" spans="1:3" ht="14.5" customHeight="1">
      <c r="A151" s="1" t="s">
        <v>4818</v>
      </c>
      <c r="B151" s="1" t="s">
        <v>326</v>
      </c>
      <c r="C151" s="86">
        <v>4.8600000000000003</v>
      </c>
    </row>
    <row r="152" spans="1:3" ht="14.5" customHeight="1">
      <c r="A152" s="1" t="s">
        <v>4819</v>
      </c>
      <c r="B152" s="1" t="s">
        <v>328</v>
      </c>
      <c r="C152" s="86">
        <v>12.15</v>
      </c>
    </row>
    <row r="153" spans="1:3" ht="14.5" customHeight="1">
      <c r="A153" s="1" t="s">
        <v>4820</v>
      </c>
      <c r="B153" s="1" t="s">
        <v>330</v>
      </c>
      <c r="C153" s="86">
        <v>9.36</v>
      </c>
    </row>
    <row r="154" spans="1:3" ht="14.5" customHeight="1">
      <c r="A154" s="1" t="s">
        <v>4821</v>
      </c>
      <c r="B154" s="1" t="s">
        <v>332</v>
      </c>
      <c r="C154" s="86">
        <v>29.25</v>
      </c>
    </row>
    <row r="155" spans="1:3" ht="14.5" customHeight="1">
      <c r="A155" s="1" t="s">
        <v>4822</v>
      </c>
      <c r="B155" s="1" t="s">
        <v>1399</v>
      </c>
      <c r="C155" s="86">
        <v>10.85</v>
      </c>
    </row>
    <row r="156" spans="1:3" ht="14.5" customHeight="1">
      <c r="A156" s="1" t="s">
        <v>4823</v>
      </c>
      <c r="B156" s="1" t="s">
        <v>1452</v>
      </c>
      <c r="C156" s="86">
        <v>108</v>
      </c>
    </row>
    <row r="157" spans="1:3" ht="14.5" customHeight="1">
      <c r="A157" s="1" t="s">
        <v>4824</v>
      </c>
      <c r="B157" s="1" t="s">
        <v>406</v>
      </c>
      <c r="C157" s="86">
        <v>11.4</v>
      </c>
    </row>
    <row r="158" spans="1:3" ht="14.5" customHeight="1">
      <c r="A158" s="1" t="s">
        <v>4825</v>
      </c>
      <c r="B158" s="1" t="s">
        <v>410</v>
      </c>
      <c r="C158" s="86">
        <v>6.79</v>
      </c>
    </row>
    <row r="159" spans="1:3" ht="14.5" customHeight="1">
      <c r="A159" s="1" t="s">
        <v>4826</v>
      </c>
      <c r="B159" s="1" t="s">
        <v>414</v>
      </c>
      <c r="C159" s="86">
        <v>11.85</v>
      </c>
    </row>
    <row r="160" spans="1:3" ht="14.5" customHeight="1">
      <c r="A160" s="1" t="s">
        <v>4827</v>
      </c>
      <c r="B160" s="1" t="s">
        <v>416</v>
      </c>
      <c r="C160" s="86">
        <v>8.32</v>
      </c>
    </row>
    <row r="161" spans="1:3" ht="14.5" customHeight="1">
      <c r="A161" s="1" t="s">
        <v>4828</v>
      </c>
      <c r="B161" s="1" t="s">
        <v>418</v>
      </c>
      <c r="C161" s="86">
        <v>35.65</v>
      </c>
    </row>
    <row r="162" spans="1:3" ht="14.5" customHeight="1">
      <c r="A162" s="1" t="s">
        <v>4829</v>
      </c>
      <c r="B162" s="1" t="s">
        <v>420</v>
      </c>
      <c r="C162" s="86">
        <v>19.95</v>
      </c>
    </row>
    <row r="163" spans="1:3" ht="14.5" customHeight="1">
      <c r="A163" s="1" t="s">
        <v>4830</v>
      </c>
      <c r="B163" s="1" t="s">
        <v>422</v>
      </c>
      <c r="C163" s="86">
        <v>33.9</v>
      </c>
    </row>
    <row r="164" spans="1:3" ht="14.5" customHeight="1">
      <c r="A164" s="1" t="s">
        <v>4831</v>
      </c>
      <c r="B164" s="1" t="s">
        <v>424</v>
      </c>
      <c r="C164" s="86">
        <v>19.3</v>
      </c>
    </row>
    <row r="165" spans="1:3" ht="14.5" customHeight="1">
      <c r="A165" s="1" t="s">
        <v>4832</v>
      </c>
      <c r="B165" s="1" t="s">
        <v>426</v>
      </c>
      <c r="C165" s="86">
        <v>8.98</v>
      </c>
    </row>
    <row r="166" spans="1:3" ht="14.5" customHeight="1">
      <c r="A166" s="1" t="s">
        <v>4833</v>
      </c>
      <c r="B166" s="1" t="s">
        <v>428</v>
      </c>
      <c r="C166" s="86">
        <v>14.15</v>
      </c>
    </row>
    <row r="167" spans="1:3" ht="14.5" customHeight="1">
      <c r="A167" s="1" t="s">
        <v>4834</v>
      </c>
      <c r="B167" s="1" t="s">
        <v>430</v>
      </c>
      <c r="C167" s="86">
        <v>13.45</v>
      </c>
    </row>
    <row r="168" spans="1:3" ht="14.5" customHeight="1">
      <c r="A168" s="1" t="s">
        <v>4835</v>
      </c>
      <c r="B168" s="1" t="s">
        <v>432</v>
      </c>
      <c r="C168" s="86">
        <v>15.05</v>
      </c>
    </row>
    <row r="169" spans="1:3" ht="14.5" customHeight="1">
      <c r="A169" s="1" t="s">
        <v>4836</v>
      </c>
      <c r="B169" s="1" t="s">
        <v>434</v>
      </c>
      <c r="C169" s="86">
        <v>23.9</v>
      </c>
    </row>
    <row r="170" spans="1:3" ht="14.5" customHeight="1">
      <c r="A170" s="1" t="s">
        <v>4837</v>
      </c>
      <c r="B170" s="1" t="s">
        <v>4838</v>
      </c>
      <c r="C170" s="86">
        <v>54.5</v>
      </c>
    </row>
    <row r="171" spans="1:3" ht="14.5" customHeight="1">
      <c r="A171" s="1" t="s">
        <v>4839</v>
      </c>
      <c r="B171" s="1" t="s">
        <v>436</v>
      </c>
      <c r="C171" s="86">
        <v>23</v>
      </c>
    </row>
    <row r="172" spans="1:3" ht="14.5" customHeight="1">
      <c r="A172" s="1" t="s">
        <v>4840</v>
      </c>
      <c r="B172" s="1" t="s">
        <v>438</v>
      </c>
      <c r="C172" s="86">
        <v>4.17</v>
      </c>
    </row>
    <row r="173" spans="1:3" ht="14.5" customHeight="1">
      <c r="A173" s="1" t="s">
        <v>4841</v>
      </c>
      <c r="B173" s="1" t="s">
        <v>440</v>
      </c>
      <c r="C173" s="86">
        <v>12.35</v>
      </c>
    </row>
    <row r="174" spans="1:3" ht="14.5" customHeight="1">
      <c r="A174" s="1" t="s">
        <v>4842</v>
      </c>
      <c r="B174" s="1" t="s">
        <v>442</v>
      </c>
      <c r="C174" s="86">
        <v>9.59</v>
      </c>
    </row>
    <row r="175" spans="1:3" ht="14.5" customHeight="1">
      <c r="A175" s="1" t="s">
        <v>4843</v>
      </c>
      <c r="B175" s="1" t="s">
        <v>444</v>
      </c>
      <c r="C175" s="86">
        <v>10.15</v>
      </c>
    </row>
    <row r="176" spans="1:3" ht="14.5" customHeight="1">
      <c r="A176" s="1" t="s">
        <v>4844</v>
      </c>
      <c r="B176" s="1" t="s">
        <v>446</v>
      </c>
      <c r="C176" s="86">
        <v>20.3</v>
      </c>
    </row>
    <row r="177" spans="1:3" ht="14.5" customHeight="1">
      <c r="A177" s="1" t="s">
        <v>4845</v>
      </c>
      <c r="B177" s="1" t="s">
        <v>448</v>
      </c>
      <c r="C177" s="86">
        <v>25.1</v>
      </c>
    </row>
    <row r="178" spans="1:3" ht="14.5" customHeight="1">
      <c r="A178" s="1" t="s">
        <v>4846</v>
      </c>
      <c r="B178" s="1" t="s">
        <v>450</v>
      </c>
      <c r="C178" s="86">
        <v>10.65</v>
      </c>
    </row>
    <row r="179" spans="1:3" ht="14.5" customHeight="1">
      <c r="A179" s="1" t="s">
        <v>4847</v>
      </c>
      <c r="B179" s="1" t="s">
        <v>452</v>
      </c>
      <c r="C179" s="86">
        <v>53.7</v>
      </c>
    </row>
    <row r="180" spans="1:3" ht="14.5" customHeight="1">
      <c r="A180" s="1" t="s">
        <v>4848</v>
      </c>
      <c r="B180" s="1" t="s">
        <v>454</v>
      </c>
      <c r="C180" s="86">
        <v>6.7</v>
      </c>
    </row>
    <row r="181" spans="1:3" ht="14.5" customHeight="1">
      <c r="A181" s="1" t="s">
        <v>4849</v>
      </c>
      <c r="B181" s="1" t="s">
        <v>456</v>
      </c>
      <c r="C181" s="86">
        <v>15.6</v>
      </c>
    </row>
    <row r="182" spans="1:3" ht="14.5" customHeight="1">
      <c r="A182" s="1" t="s">
        <v>4850</v>
      </c>
      <c r="B182" s="1" t="s">
        <v>458</v>
      </c>
      <c r="C182" s="86">
        <v>5.44</v>
      </c>
    </row>
    <row r="183" spans="1:3" ht="14.5" customHeight="1">
      <c r="A183" s="1" t="s">
        <v>4851</v>
      </c>
      <c r="B183" s="1" t="s">
        <v>460</v>
      </c>
      <c r="C183" s="86">
        <v>9.25</v>
      </c>
    </row>
    <row r="184" spans="1:3" ht="14.5" customHeight="1">
      <c r="A184" s="1" t="s">
        <v>4852</v>
      </c>
      <c r="B184" s="1" t="s">
        <v>462</v>
      </c>
      <c r="C184" s="86">
        <v>12.15</v>
      </c>
    </row>
    <row r="185" spans="1:3" ht="14.5" customHeight="1">
      <c r="A185" s="1" t="s">
        <v>4853</v>
      </c>
      <c r="B185" s="1" t="s">
        <v>466</v>
      </c>
      <c r="C185" s="86">
        <v>32.049999999999997</v>
      </c>
    </row>
    <row r="186" spans="1:3" ht="14.5" customHeight="1">
      <c r="A186" s="1" t="s">
        <v>4854</v>
      </c>
      <c r="B186" s="1" t="s">
        <v>468</v>
      </c>
      <c r="C186" s="86">
        <v>9.51</v>
      </c>
    </row>
    <row r="187" spans="1:3" ht="14.5" customHeight="1">
      <c r="A187" s="1" t="s">
        <v>4855</v>
      </c>
      <c r="B187" s="1" t="s">
        <v>470</v>
      </c>
      <c r="C187" s="86">
        <v>19.600000000000001</v>
      </c>
    </row>
    <row r="188" spans="1:3" ht="14.5" customHeight="1">
      <c r="A188" s="1" t="s">
        <v>4856</v>
      </c>
      <c r="B188" s="1" t="s">
        <v>472</v>
      </c>
      <c r="C188" s="86">
        <v>12.45</v>
      </c>
    </row>
    <row r="189" spans="1:3" ht="14.5" customHeight="1">
      <c r="A189" s="1" t="s">
        <v>4857</v>
      </c>
      <c r="B189" s="1" t="s">
        <v>474</v>
      </c>
      <c r="C189" s="86">
        <v>31.5</v>
      </c>
    </row>
    <row r="190" spans="1:3" ht="14.5" customHeight="1">
      <c r="A190" s="1" t="s">
        <v>4858</v>
      </c>
      <c r="B190" s="1" t="s">
        <v>476</v>
      </c>
      <c r="C190" s="86">
        <v>9.19</v>
      </c>
    </row>
    <row r="191" spans="1:3" ht="14.5" customHeight="1">
      <c r="A191" s="1" t="s">
        <v>4859</v>
      </c>
      <c r="B191" s="1" t="s">
        <v>478</v>
      </c>
      <c r="C191" s="86">
        <v>9.02</v>
      </c>
    </row>
    <row r="192" spans="1:3" ht="14.5" customHeight="1">
      <c r="A192" s="1" t="s">
        <v>4860</v>
      </c>
      <c r="B192" s="1" t="s">
        <v>480</v>
      </c>
      <c r="C192" s="86">
        <v>26</v>
      </c>
    </row>
    <row r="193" spans="1:3" ht="14.5" customHeight="1">
      <c r="A193" s="1" t="s">
        <v>4861</v>
      </c>
      <c r="B193" s="1" t="s">
        <v>482</v>
      </c>
      <c r="C193" s="86">
        <v>7.22</v>
      </c>
    </row>
    <row r="194" spans="1:3" ht="14.5" customHeight="1">
      <c r="A194" s="1" t="s">
        <v>4862</v>
      </c>
      <c r="B194" s="1" t="s">
        <v>490</v>
      </c>
      <c r="C194" s="86">
        <v>18.75</v>
      </c>
    </row>
    <row r="195" spans="1:3" ht="14.5" customHeight="1">
      <c r="A195" s="1" t="s">
        <v>4863</v>
      </c>
      <c r="B195" s="1" t="s">
        <v>1037</v>
      </c>
      <c r="C195" s="86">
        <v>88</v>
      </c>
    </row>
    <row r="196" spans="1:3" ht="14.5" customHeight="1">
      <c r="A196" s="1" t="s">
        <v>4864</v>
      </c>
      <c r="B196" s="1" t="s">
        <v>1434</v>
      </c>
      <c r="C196" s="86">
        <v>57</v>
      </c>
    </row>
    <row r="197" spans="1:3" ht="14.5" customHeight="1">
      <c r="A197" s="1" t="s">
        <v>4865</v>
      </c>
      <c r="B197" s="1" t="s">
        <v>1488</v>
      </c>
      <c r="C197" s="86">
        <v>31.65</v>
      </c>
    </row>
    <row r="198" spans="1:3" ht="14.5" customHeight="1">
      <c r="A198" s="1" t="s">
        <v>4866</v>
      </c>
      <c r="B198" s="1" t="s">
        <v>1924</v>
      </c>
      <c r="C198" s="86">
        <v>72.2</v>
      </c>
    </row>
    <row r="199" spans="1:3" ht="14.5" customHeight="1">
      <c r="A199" s="1" t="s">
        <v>4867</v>
      </c>
      <c r="B199" s="1" t="s">
        <v>492</v>
      </c>
      <c r="C199" s="86">
        <v>48.3</v>
      </c>
    </row>
    <row r="200" spans="1:3" ht="14.5" customHeight="1">
      <c r="A200" s="1" t="s">
        <v>4868</v>
      </c>
      <c r="B200" s="1" t="s">
        <v>494</v>
      </c>
      <c r="C200" s="86">
        <v>13.95</v>
      </c>
    </row>
    <row r="201" spans="1:3" ht="14.5" customHeight="1">
      <c r="A201" s="1" t="s">
        <v>4869</v>
      </c>
      <c r="B201" s="1" t="s">
        <v>496</v>
      </c>
      <c r="C201" s="86">
        <v>24.1</v>
      </c>
    </row>
    <row r="202" spans="1:3" ht="14.5" customHeight="1">
      <c r="A202" s="1" t="s">
        <v>4870</v>
      </c>
      <c r="B202" s="1" t="s">
        <v>498</v>
      </c>
      <c r="C202" s="86">
        <v>31.4</v>
      </c>
    </row>
    <row r="203" spans="1:3" ht="14.5" customHeight="1">
      <c r="A203" s="1" t="s">
        <v>4871</v>
      </c>
      <c r="B203" s="1" t="s">
        <v>500</v>
      </c>
      <c r="C203" s="86">
        <v>41.8</v>
      </c>
    </row>
    <row r="204" spans="1:3" ht="14.5" customHeight="1">
      <c r="A204" s="1" t="s">
        <v>4872</v>
      </c>
      <c r="B204" s="1" t="s">
        <v>502</v>
      </c>
      <c r="C204" s="86">
        <v>30.6</v>
      </c>
    </row>
    <row r="205" spans="1:3" ht="14.5" customHeight="1">
      <c r="A205" s="1" t="s">
        <v>4873</v>
      </c>
      <c r="B205" s="1" t="s">
        <v>504</v>
      </c>
      <c r="C205" s="86">
        <v>18.850000000000001</v>
      </c>
    </row>
    <row r="206" spans="1:3" ht="14.5" customHeight="1">
      <c r="A206" s="1" t="s">
        <v>4874</v>
      </c>
      <c r="B206" s="1" t="s">
        <v>506</v>
      </c>
      <c r="C206" s="86">
        <v>30.1</v>
      </c>
    </row>
    <row r="207" spans="1:3" ht="14.5" customHeight="1">
      <c r="A207" s="1" t="s">
        <v>4875</v>
      </c>
      <c r="B207" s="1" t="s">
        <v>508</v>
      </c>
      <c r="C207" s="86">
        <v>11.05</v>
      </c>
    </row>
    <row r="208" spans="1:3" ht="14.5" customHeight="1">
      <c r="A208" s="1" t="s">
        <v>4876</v>
      </c>
      <c r="B208" s="1" t="s">
        <v>510</v>
      </c>
      <c r="C208" s="86">
        <v>82.7</v>
      </c>
    </row>
    <row r="209" spans="1:3" ht="14.5" customHeight="1">
      <c r="A209" s="1" t="s">
        <v>4877</v>
      </c>
      <c r="B209" s="1" t="s">
        <v>1680</v>
      </c>
      <c r="C209" s="86">
        <v>57.6</v>
      </c>
    </row>
    <row r="210" spans="1:3" ht="14.5" customHeight="1">
      <c r="A210" s="1" t="s">
        <v>4878</v>
      </c>
      <c r="B210" s="1" t="s">
        <v>108</v>
      </c>
      <c r="C210" s="86">
        <v>46.65</v>
      </c>
    </row>
    <row r="211" spans="1:3" ht="14.5" customHeight="1">
      <c r="A211" s="1" t="s">
        <v>4879</v>
      </c>
      <c r="B211" s="1" t="s">
        <v>122</v>
      </c>
      <c r="C211" s="86">
        <v>67.3</v>
      </c>
    </row>
    <row r="212" spans="1:3" ht="14.5" customHeight="1">
      <c r="A212" s="1" t="s">
        <v>4880</v>
      </c>
      <c r="B212" s="1" t="s">
        <v>124</v>
      </c>
      <c r="C212" s="86">
        <v>54</v>
      </c>
    </row>
    <row r="213" spans="1:3" ht="14.5" customHeight="1">
      <c r="A213" s="1" t="s">
        <v>4881</v>
      </c>
      <c r="B213" s="1" t="s">
        <v>250</v>
      </c>
      <c r="C213" s="86">
        <v>64.8</v>
      </c>
    </row>
    <row r="214" spans="1:3" ht="14.5" customHeight="1">
      <c r="A214" s="1" t="s">
        <v>4882</v>
      </c>
      <c r="B214" s="1" t="s">
        <v>252</v>
      </c>
      <c r="C214" s="86">
        <v>29.05</v>
      </c>
    </row>
    <row r="215" spans="1:3" ht="14.5" customHeight="1">
      <c r="A215" s="1" t="s">
        <v>4883</v>
      </c>
      <c r="B215" s="1" t="s">
        <v>254</v>
      </c>
      <c r="C215" s="86">
        <v>9.9499999999999993</v>
      </c>
    </row>
    <row r="216" spans="1:3" ht="14.5" customHeight="1">
      <c r="A216" s="1" t="s">
        <v>4884</v>
      </c>
      <c r="B216" s="1" t="s">
        <v>256</v>
      </c>
      <c r="C216" s="86">
        <v>56.2</v>
      </c>
    </row>
    <row r="217" spans="1:3" ht="14.5" customHeight="1">
      <c r="A217" s="1" t="s">
        <v>4885</v>
      </c>
      <c r="B217" s="1" t="s">
        <v>272</v>
      </c>
      <c r="C217" s="86">
        <v>38.049999999999997</v>
      </c>
    </row>
    <row r="218" spans="1:3" ht="14.5" customHeight="1">
      <c r="A218" s="1" t="s">
        <v>4886</v>
      </c>
      <c r="B218" s="1" t="s">
        <v>276</v>
      </c>
      <c r="C218" s="86">
        <v>115</v>
      </c>
    </row>
    <row r="219" spans="1:3" ht="14.5" customHeight="1">
      <c r="A219" s="1" t="s">
        <v>4887</v>
      </c>
      <c r="B219" s="1" t="s">
        <v>292</v>
      </c>
      <c r="C219" s="86">
        <v>19.3</v>
      </c>
    </row>
    <row r="220" spans="1:3" ht="14.5" customHeight="1">
      <c r="A220" s="1" t="s">
        <v>4888</v>
      </c>
      <c r="B220" s="1" t="s">
        <v>298</v>
      </c>
      <c r="C220" s="86">
        <v>14.8</v>
      </c>
    </row>
    <row r="221" spans="1:3" ht="14.5" customHeight="1">
      <c r="A221" s="1" t="s">
        <v>4889</v>
      </c>
      <c r="B221" s="1" t="s">
        <v>304</v>
      </c>
      <c r="C221" s="86">
        <v>17.149999999999999</v>
      </c>
    </row>
    <row r="222" spans="1:3" ht="14.5" customHeight="1">
      <c r="A222" s="1" t="s">
        <v>4890</v>
      </c>
      <c r="B222" s="1" t="s">
        <v>512</v>
      </c>
      <c r="C222" s="86">
        <v>41.15</v>
      </c>
    </row>
    <row r="223" spans="1:3" ht="14.5" customHeight="1">
      <c r="A223" s="1" t="s">
        <v>4891</v>
      </c>
      <c r="B223" s="1" t="s">
        <v>514</v>
      </c>
      <c r="C223" s="86">
        <v>19.55</v>
      </c>
    </row>
    <row r="224" spans="1:3" ht="14.5" customHeight="1">
      <c r="A224" s="1" t="s">
        <v>4892</v>
      </c>
      <c r="B224" s="1" t="s">
        <v>516</v>
      </c>
      <c r="C224" s="86">
        <v>39.1</v>
      </c>
    </row>
    <row r="225" spans="1:3" ht="14.5" customHeight="1">
      <c r="A225" s="1" t="s">
        <v>4893</v>
      </c>
      <c r="B225" s="1" t="s">
        <v>518</v>
      </c>
      <c r="C225" s="86">
        <v>21.3</v>
      </c>
    </row>
    <row r="226" spans="1:3" ht="14.5" customHeight="1">
      <c r="A226" s="1" t="s">
        <v>4894</v>
      </c>
      <c r="B226" s="1" t="s">
        <v>520</v>
      </c>
      <c r="C226" s="86">
        <v>683</v>
      </c>
    </row>
    <row r="227" spans="1:3" ht="14.5" customHeight="1">
      <c r="A227" s="1" t="s">
        <v>4895</v>
      </c>
      <c r="B227" s="1" t="s">
        <v>524</v>
      </c>
      <c r="C227" s="86">
        <v>287</v>
      </c>
    </row>
    <row r="228" spans="1:3" ht="14.5" customHeight="1">
      <c r="A228" s="1" t="s">
        <v>4896</v>
      </c>
      <c r="B228" s="1" t="s">
        <v>526</v>
      </c>
      <c r="C228" s="86">
        <v>119.5</v>
      </c>
    </row>
    <row r="229" spans="1:3" ht="14.5" customHeight="1">
      <c r="A229" s="1" t="s">
        <v>4897</v>
      </c>
      <c r="B229" s="1" t="s">
        <v>528</v>
      </c>
      <c r="C229" s="86">
        <v>249.5</v>
      </c>
    </row>
    <row r="230" spans="1:3" ht="14.5" customHeight="1">
      <c r="A230" s="1" t="s">
        <v>4898</v>
      </c>
      <c r="B230" s="1" t="s">
        <v>530</v>
      </c>
      <c r="C230" s="86">
        <v>72.8</v>
      </c>
    </row>
    <row r="231" spans="1:3" ht="14.5" customHeight="1">
      <c r="A231" s="1" t="s">
        <v>4899</v>
      </c>
      <c r="B231" s="1" t="s">
        <v>532</v>
      </c>
      <c r="C231" s="86">
        <v>23.05</v>
      </c>
    </row>
    <row r="232" spans="1:3" ht="14.5" customHeight="1">
      <c r="A232" s="1" t="s">
        <v>4900</v>
      </c>
      <c r="B232" s="1" t="s">
        <v>534</v>
      </c>
      <c r="C232" s="86">
        <v>95.9</v>
      </c>
    </row>
    <row r="233" spans="1:3" ht="14.5" customHeight="1">
      <c r="A233" s="1" t="s">
        <v>4901</v>
      </c>
      <c r="B233" s="1" t="s">
        <v>536</v>
      </c>
      <c r="C233" s="86">
        <v>14.5</v>
      </c>
    </row>
    <row r="234" spans="1:3" ht="14.5" customHeight="1">
      <c r="A234" s="1" t="s">
        <v>4902</v>
      </c>
      <c r="B234" s="1" t="s">
        <v>807</v>
      </c>
      <c r="C234" s="86">
        <v>22.75</v>
      </c>
    </row>
    <row r="235" spans="1:3" ht="14.5" customHeight="1">
      <c r="A235" s="1" t="s">
        <v>4903</v>
      </c>
      <c r="B235" s="1" t="s">
        <v>1176</v>
      </c>
      <c r="C235" s="86">
        <v>30.35</v>
      </c>
    </row>
    <row r="236" spans="1:3" ht="14.5" customHeight="1">
      <c r="A236" s="1" t="s">
        <v>4904</v>
      </c>
      <c r="B236" s="1" t="s">
        <v>1339</v>
      </c>
      <c r="C236" s="86">
        <v>173.5</v>
      </c>
    </row>
    <row r="237" spans="1:3" ht="14.5" customHeight="1">
      <c r="A237" s="1" t="s">
        <v>4905</v>
      </c>
      <c r="B237" s="1" t="s">
        <v>1345</v>
      </c>
      <c r="C237" s="86">
        <v>70.7</v>
      </c>
    </row>
    <row r="238" spans="1:3" ht="14.5" customHeight="1">
      <c r="A238" s="1" t="s">
        <v>4906</v>
      </c>
      <c r="B238" s="1" t="s">
        <v>1622</v>
      </c>
      <c r="C238" s="86">
        <v>26.2</v>
      </c>
    </row>
    <row r="239" spans="1:3" ht="14.5" customHeight="1">
      <c r="A239" s="1" t="s">
        <v>4907</v>
      </c>
      <c r="B239" s="1" t="s">
        <v>1686</v>
      </c>
      <c r="C239" s="86">
        <v>58.9</v>
      </c>
    </row>
    <row r="240" spans="1:3" ht="14.5" customHeight="1">
      <c r="A240" s="1" t="s">
        <v>4908</v>
      </c>
      <c r="B240" s="1" t="s">
        <v>106</v>
      </c>
      <c r="C240" s="86">
        <v>14.5</v>
      </c>
    </row>
    <row r="241" spans="1:3" ht="14.5" customHeight="1">
      <c r="A241" s="1" t="s">
        <v>4909</v>
      </c>
      <c r="B241" s="1" t="s">
        <v>156</v>
      </c>
      <c r="C241" s="86">
        <v>39.75</v>
      </c>
    </row>
    <row r="242" spans="1:3" ht="14.5" customHeight="1">
      <c r="A242" s="1" t="s">
        <v>4910</v>
      </c>
      <c r="B242" s="1" t="s">
        <v>160</v>
      </c>
      <c r="C242" s="86">
        <v>13.2</v>
      </c>
    </row>
    <row r="243" spans="1:3" ht="14.5" customHeight="1">
      <c r="A243" s="1" t="s">
        <v>4911</v>
      </c>
      <c r="B243" s="1" t="s">
        <v>168</v>
      </c>
      <c r="C243" s="86">
        <v>19.8</v>
      </c>
    </row>
    <row r="244" spans="1:3" ht="14.5" customHeight="1">
      <c r="A244" s="1" t="s">
        <v>4912</v>
      </c>
      <c r="B244" s="1" t="s">
        <v>408</v>
      </c>
      <c r="C244" s="86">
        <v>9.15</v>
      </c>
    </row>
    <row r="245" spans="1:3" ht="14.5" customHeight="1">
      <c r="A245" s="1" t="s">
        <v>4913</v>
      </c>
      <c r="B245" s="1" t="s">
        <v>412</v>
      </c>
      <c r="C245" s="86">
        <v>62.8</v>
      </c>
    </row>
    <row r="246" spans="1:3" ht="14.5" customHeight="1">
      <c r="A246" s="1" t="s">
        <v>4914</v>
      </c>
      <c r="B246" s="1" t="s">
        <v>813</v>
      </c>
      <c r="C246" s="86">
        <v>20.95</v>
      </c>
    </row>
    <row r="247" spans="1:3" ht="14.5" customHeight="1">
      <c r="A247" s="1" t="s">
        <v>4915</v>
      </c>
      <c r="B247" s="1" t="s">
        <v>815</v>
      </c>
      <c r="C247" s="86">
        <v>14.4</v>
      </c>
    </row>
    <row r="248" spans="1:3" ht="14.5" customHeight="1">
      <c r="A248" s="1" t="s">
        <v>4916</v>
      </c>
      <c r="B248" s="1" t="s">
        <v>817</v>
      </c>
      <c r="C248" s="86">
        <v>16.75</v>
      </c>
    </row>
    <row r="249" spans="1:3" ht="14.5" customHeight="1">
      <c r="A249" s="1" t="s">
        <v>4917</v>
      </c>
      <c r="B249" s="1" t="s">
        <v>819</v>
      </c>
      <c r="C249" s="86">
        <v>11.2</v>
      </c>
    </row>
    <row r="250" spans="1:3" ht="14.5" customHeight="1">
      <c r="A250" s="1" t="s">
        <v>4918</v>
      </c>
      <c r="B250" s="1" t="s">
        <v>821</v>
      </c>
      <c r="C250" s="86">
        <v>23.2</v>
      </c>
    </row>
    <row r="251" spans="1:3" ht="14.5" customHeight="1">
      <c r="A251" s="1" t="s">
        <v>4919</v>
      </c>
      <c r="B251" s="1" t="s">
        <v>823</v>
      </c>
      <c r="C251" s="86">
        <v>11.25</v>
      </c>
    </row>
    <row r="252" spans="1:3" ht="14.5" customHeight="1">
      <c r="A252" s="1" t="s">
        <v>4920</v>
      </c>
      <c r="B252" s="1" t="s">
        <v>827</v>
      </c>
      <c r="C252" s="86">
        <v>7.78</v>
      </c>
    </row>
    <row r="253" spans="1:3" ht="14.5" customHeight="1">
      <c r="A253" s="1" t="s">
        <v>4921</v>
      </c>
      <c r="B253" s="1" t="s">
        <v>829</v>
      </c>
      <c r="C253" s="86">
        <v>6.05</v>
      </c>
    </row>
    <row r="254" spans="1:3" ht="14.5" customHeight="1">
      <c r="A254" s="1" t="s">
        <v>4922</v>
      </c>
      <c r="B254" s="1" t="s">
        <v>831</v>
      </c>
      <c r="C254" s="86">
        <v>31.9</v>
      </c>
    </row>
    <row r="255" spans="1:3" ht="14.5" customHeight="1">
      <c r="A255" s="1" t="s">
        <v>4923</v>
      </c>
      <c r="B255" s="1" t="s">
        <v>833</v>
      </c>
      <c r="C255" s="86">
        <v>31.05</v>
      </c>
    </row>
    <row r="256" spans="1:3" ht="14.5" customHeight="1">
      <c r="A256" s="1" t="s">
        <v>4924</v>
      </c>
      <c r="B256" s="1" t="s">
        <v>835</v>
      </c>
      <c r="C256" s="86">
        <v>22.6</v>
      </c>
    </row>
    <row r="257" spans="1:3" ht="14.5" customHeight="1">
      <c r="A257" s="1" t="s">
        <v>4925</v>
      </c>
      <c r="B257" s="1" t="s">
        <v>837</v>
      </c>
      <c r="C257" s="86">
        <v>20.8</v>
      </c>
    </row>
    <row r="258" spans="1:3" ht="14.5" customHeight="1">
      <c r="A258" s="1" t="s">
        <v>4926</v>
      </c>
      <c r="B258" s="1" t="s">
        <v>839</v>
      </c>
      <c r="C258" s="86">
        <v>16</v>
      </c>
    </row>
    <row r="259" spans="1:3" ht="14.5" customHeight="1">
      <c r="A259" s="1" t="s">
        <v>4927</v>
      </c>
      <c r="B259" s="1" t="s">
        <v>841</v>
      </c>
      <c r="C259" s="86">
        <v>25.85</v>
      </c>
    </row>
    <row r="260" spans="1:3" ht="14.5" customHeight="1">
      <c r="A260" s="1" t="s">
        <v>4928</v>
      </c>
      <c r="B260" s="1" t="s">
        <v>843</v>
      </c>
      <c r="C260" s="86">
        <v>21.15</v>
      </c>
    </row>
    <row r="261" spans="1:3" ht="14.5" customHeight="1">
      <c r="A261" s="1" t="s">
        <v>4929</v>
      </c>
      <c r="B261" s="1" t="s">
        <v>845</v>
      </c>
      <c r="C261" s="86">
        <v>24.4</v>
      </c>
    </row>
    <row r="262" spans="1:3" ht="14.5" customHeight="1">
      <c r="A262" s="1" t="s">
        <v>4930</v>
      </c>
      <c r="B262" s="1" t="s">
        <v>847</v>
      </c>
      <c r="C262" s="86">
        <v>10.9</v>
      </c>
    </row>
    <row r="263" spans="1:3" ht="14.5" customHeight="1">
      <c r="A263" s="1" t="s">
        <v>4931</v>
      </c>
      <c r="B263" s="1" t="s">
        <v>849</v>
      </c>
      <c r="C263" s="86">
        <v>12.9</v>
      </c>
    </row>
    <row r="264" spans="1:3" ht="14.5" customHeight="1">
      <c r="A264" s="1" t="s">
        <v>4932</v>
      </c>
      <c r="B264" s="1" t="s">
        <v>851</v>
      </c>
      <c r="C264" s="86">
        <v>29.5</v>
      </c>
    </row>
    <row r="265" spans="1:3" ht="14.5" customHeight="1">
      <c r="A265" s="1" t="s">
        <v>4933</v>
      </c>
      <c r="B265" s="1" t="s">
        <v>853</v>
      </c>
      <c r="C265" s="86">
        <v>26.7</v>
      </c>
    </row>
    <row r="266" spans="1:3" ht="14.5" customHeight="1">
      <c r="A266" s="1" t="s">
        <v>4934</v>
      </c>
      <c r="B266" s="1" t="s">
        <v>855</v>
      </c>
      <c r="C266" s="86">
        <v>46.3</v>
      </c>
    </row>
    <row r="267" spans="1:3" ht="14.5" customHeight="1">
      <c r="A267" s="1" t="s">
        <v>4935</v>
      </c>
      <c r="B267" s="1" t="s">
        <v>857</v>
      </c>
      <c r="C267" s="86">
        <v>7.36</v>
      </c>
    </row>
    <row r="268" spans="1:3" ht="14.5" customHeight="1">
      <c r="A268" s="1" t="s">
        <v>4936</v>
      </c>
      <c r="B268" s="1" t="s">
        <v>859</v>
      </c>
      <c r="C268" s="86">
        <v>40</v>
      </c>
    </row>
    <row r="269" spans="1:3" ht="14.5" customHeight="1">
      <c r="A269" s="1" t="s">
        <v>4937</v>
      </c>
      <c r="B269" s="1" t="s">
        <v>861</v>
      </c>
      <c r="C269" s="86">
        <v>37.6</v>
      </c>
    </row>
    <row r="270" spans="1:3" ht="14.5" customHeight="1">
      <c r="A270" s="1" t="s">
        <v>4938</v>
      </c>
      <c r="B270" s="1" t="s">
        <v>863</v>
      </c>
      <c r="C270" s="86">
        <v>11.65</v>
      </c>
    </row>
    <row r="271" spans="1:3" ht="14.5" customHeight="1">
      <c r="A271" s="1" t="s">
        <v>4939</v>
      </c>
      <c r="B271" s="1" t="s">
        <v>865</v>
      </c>
      <c r="C271" s="86">
        <v>92.6</v>
      </c>
    </row>
    <row r="272" spans="1:3" ht="14.5" customHeight="1">
      <c r="A272" s="1" t="s">
        <v>4940</v>
      </c>
      <c r="B272" s="1" t="s">
        <v>867</v>
      </c>
      <c r="C272" s="86">
        <v>62.2</v>
      </c>
    </row>
    <row r="273" spans="1:3" ht="14.5" customHeight="1">
      <c r="A273" s="1" t="s">
        <v>4941</v>
      </c>
      <c r="B273" s="1" t="s">
        <v>959</v>
      </c>
      <c r="C273" s="86">
        <v>8.98</v>
      </c>
    </row>
    <row r="274" spans="1:3" ht="14.5" customHeight="1">
      <c r="A274" s="1" t="s">
        <v>4942</v>
      </c>
      <c r="B274" s="1" t="s">
        <v>1025</v>
      </c>
      <c r="C274" s="86">
        <v>27.05</v>
      </c>
    </row>
    <row r="275" spans="1:3" ht="14.5" customHeight="1">
      <c r="A275" s="1" t="s">
        <v>4943</v>
      </c>
      <c r="B275" s="1" t="s">
        <v>1123</v>
      </c>
      <c r="C275" s="86">
        <v>12.15</v>
      </c>
    </row>
    <row r="276" spans="1:3" ht="14.5" customHeight="1">
      <c r="A276" s="1" t="s">
        <v>4944</v>
      </c>
      <c r="B276" s="1" t="s">
        <v>1129</v>
      </c>
      <c r="C276" s="86">
        <v>31.6</v>
      </c>
    </row>
    <row r="277" spans="1:3" ht="14.5" customHeight="1">
      <c r="A277" s="1" t="s">
        <v>4945</v>
      </c>
      <c r="B277" s="1" t="s">
        <v>1161</v>
      </c>
      <c r="C277" s="86">
        <v>15.3</v>
      </c>
    </row>
    <row r="278" spans="1:3" ht="14.5" customHeight="1">
      <c r="A278" s="1" t="s">
        <v>4946</v>
      </c>
      <c r="B278" s="1" t="s">
        <v>1279</v>
      </c>
      <c r="C278" s="86">
        <v>13.3</v>
      </c>
    </row>
    <row r="279" spans="1:3" ht="14.5" customHeight="1">
      <c r="A279" s="1" t="s">
        <v>4947</v>
      </c>
      <c r="B279" s="1" t="s">
        <v>1472</v>
      </c>
      <c r="C279" s="86">
        <v>10.75</v>
      </c>
    </row>
    <row r="280" spans="1:3" ht="14.5" customHeight="1">
      <c r="A280" s="1" t="s">
        <v>4948</v>
      </c>
      <c r="B280" s="1" t="s">
        <v>1474</v>
      </c>
      <c r="C280" s="86">
        <v>16.600000000000001</v>
      </c>
    </row>
    <row r="281" spans="1:3" ht="14.5" customHeight="1">
      <c r="A281" s="1" t="s">
        <v>4949</v>
      </c>
      <c r="B281" s="1" t="s">
        <v>1476</v>
      </c>
      <c r="C281" s="86">
        <v>9.44</v>
      </c>
    </row>
    <row r="282" spans="1:3" ht="14.5" customHeight="1">
      <c r="A282" s="1" t="s">
        <v>4950</v>
      </c>
      <c r="B282" s="1" t="s">
        <v>1478</v>
      </c>
      <c r="C282" s="86">
        <v>40.299999999999997</v>
      </c>
    </row>
    <row r="283" spans="1:3" ht="14.5" customHeight="1">
      <c r="A283" s="1" t="s">
        <v>4951</v>
      </c>
      <c r="B283" s="1" t="s">
        <v>1480</v>
      </c>
      <c r="C283" s="86">
        <v>23.3</v>
      </c>
    </row>
    <row r="284" spans="1:3" ht="14.5" customHeight="1">
      <c r="A284" s="1" t="s">
        <v>4952</v>
      </c>
      <c r="B284" s="1" t="s">
        <v>1482</v>
      </c>
      <c r="C284" s="86">
        <v>10.95</v>
      </c>
    </row>
    <row r="285" spans="1:3" ht="14.5" customHeight="1">
      <c r="A285" s="1" t="s">
        <v>4953</v>
      </c>
      <c r="B285" s="1" t="s">
        <v>1484</v>
      </c>
      <c r="C285" s="86">
        <v>15.9</v>
      </c>
    </row>
    <row r="286" spans="1:3" ht="14.5" customHeight="1">
      <c r="A286" s="1" t="s">
        <v>4954</v>
      </c>
      <c r="B286" s="1" t="s">
        <v>1486</v>
      </c>
      <c r="C286" s="86">
        <v>81.3</v>
      </c>
    </row>
    <row r="287" spans="1:3" ht="14.5" customHeight="1">
      <c r="A287" s="1" t="s">
        <v>4955</v>
      </c>
      <c r="B287" s="1" t="s">
        <v>1554</v>
      </c>
      <c r="C287" s="86">
        <v>28.65</v>
      </c>
    </row>
    <row r="288" spans="1:3" ht="14.5" customHeight="1">
      <c r="A288" s="1" t="s">
        <v>4956</v>
      </c>
      <c r="B288" s="1" t="s">
        <v>1858</v>
      </c>
      <c r="C288" s="86">
        <v>20.45</v>
      </c>
    </row>
    <row r="289" spans="1:3" ht="14.5" customHeight="1">
      <c r="A289" s="1" t="s">
        <v>4957</v>
      </c>
      <c r="B289" s="1" t="s">
        <v>1920</v>
      </c>
      <c r="C289" s="86">
        <v>27.05</v>
      </c>
    </row>
    <row r="290" spans="1:3" ht="14.5" customHeight="1">
      <c r="A290" s="1" t="s">
        <v>4958</v>
      </c>
      <c r="B290" s="1" t="s">
        <v>522</v>
      </c>
      <c r="C290" s="86">
        <v>26.85</v>
      </c>
    </row>
    <row r="291" spans="1:3" ht="14.5" customHeight="1">
      <c r="A291" s="1" t="s">
        <v>4959</v>
      </c>
      <c r="B291" s="1" t="s">
        <v>871</v>
      </c>
      <c r="C291" s="86">
        <v>12.4</v>
      </c>
    </row>
    <row r="292" spans="1:3" ht="14.5" customHeight="1">
      <c r="A292" s="1" t="s">
        <v>4960</v>
      </c>
      <c r="B292" s="1" t="s">
        <v>873</v>
      </c>
      <c r="C292" s="86">
        <v>16.850000000000001</v>
      </c>
    </row>
    <row r="293" spans="1:3" ht="14.5" customHeight="1">
      <c r="A293" s="1" t="s">
        <v>4961</v>
      </c>
      <c r="B293" s="1" t="s">
        <v>875</v>
      </c>
      <c r="C293" s="86">
        <v>33.6</v>
      </c>
    </row>
    <row r="294" spans="1:3" ht="14.5" customHeight="1">
      <c r="A294" s="1" t="s">
        <v>4962</v>
      </c>
      <c r="B294" s="1" t="s">
        <v>877</v>
      </c>
      <c r="C294" s="86">
        <v>14.35</v>
      </c>
    </row>
    <row r="295" spans="1:3" ht="14.5" customHeight="1">
      <c r="A295" s="1" t="s">
        <v>4963</v>
      </c>
      <c r="B295" s="1" t="s">
        <v>879</v>
      </c>
      <c r="C295" s="86">
        <v>39.200000000000003</v>
      </c>
    </row>
    <row r="296" spans="1:3" ht="14.5" customHeight="1">
      <c r="A296" s="1" t="s">
        <v>4964</v>
      </c>
      <c r="B296" s="1" t="s">
        <v>881</v>
      </c>
      <c r="C296" s="86">
        <v>7.21</v>
      </c>
    </row>
    <row r="297" spans="1:3" ht="14.5" customHeight="1">
      <c r="A297" s="1" t="s">
        <v>4965</v>
      </c>
      <c r="B297" s="1" t="s">
        <v>883</v>
      </c>
      <c r="C297" s="86">
        <v>9.06</v>
      </c>
    </row>
    <row r="298" spans="1:3" ht="14.5" customHeight="1">
      <c r="A298" s="1" t="s">
        <v>4966</v>
      </c>
      <c r="B298" s="1" t="s">
        <v>885</v>
      </c>
      <c r="C298" s="86">
        <v>6.92</v>
      </c>
    </row>
    <row r="299" spans="1:3" ht="14.5" customHeight="1">
      <c r="A299" s="1" t="s">
        <v>4967</v>
      </c>
      <c r="B299" s="1" t="s">
        <v>887</v>
      </c>
      <c r="C299" s="86">
        <v>29.75</v>
      </c>
    </row>
    <row r="300" spans="1:3" ht="14.5" customHeight="1">
      <c r="A300" s="1" t="s">
        <v>4968</v>
      </c>
      <c r="B300" s="1" t="s">
        <v>889</v>
      </c>
      <c r="C300" s="86">
        <v>14.3</v>
      </c>
    </row>
    <row r="301" spans="1:3" ht="14.5" customHeight="1">
      <c r="A301" s="1" t="s">
        <v>4969</v>
      </c>
      <c r="B301" s="1" t="s">
        <v>893</v>
      </c>
      <c r="C301" s="86">
        <v>18.5</v>
      </c>
    </row>
    <row r="302" spans="1:3" ht="14.5" customHeight="1">
      <c r="A302" s="1" t="s">
        <v>4970</v>
      </c>
      <c r="B302" s="1" t="s">
        <v>897</v>
      </c>
      <c r="C302" s="86">
        <v>17.75</v>
      </c>
    </row>
    <row r="303" spans="1:3" ht="14.5" customHeight="1">
      <c r="A303" s="1" t="s">
        <v>4971</v>
      </c>
      <c r="B303" s="1" t="s">
        <v>899</v>
      </c>
      <c r="C303" s="86">
        <v>13.75</v>
      </c>
    </row>
    <row r="304" spans="1:3" ht="14.5" customHeight="1">
      <c r="A304" s="1" t="s">
        <v>4972</v>
      </c>
      <c r="B304" s="1" t="s">
        <v>901</v>
      </c>
      <c r="C304" s="86">
        <v>18.600000000000001</v>
      </c>
    </row>
    <row r="305" spans="1:3" ht="14.5" customHeight="1">
      <c r="A305" s="1" t="s">
        <v>4973</v>
      </c>
      <c r="B305" s="1" t="s">
        <v>903</v>
      </c>
      <c r="C305" s="86">
        <v>38.4</v>
      </c>
    </row>
    <row r="306" spans="1:3" ht="14.5" customHeight="1">
      <c r="A306" s="1" t="s">
        <v>4974</v>
      </c>
      <c r="B306" s="1" t="s">
        <v>905</v>
      </c>
      <c r="C306" s="86">
        <v>35.9</v>
      </c>
    </row>
    <row r="307" spans="1:3" ht="14.5" customHeight="1">
      <c r="A307" s="1" t="s">
        <v>4975</v>
      </c>
      <c r="B307" s="1" t="s">
        <v>907</v>
      </c>
      <c r="C307" s="86">
        <v>24.15</v>
      </c>
    </row>
    <row r="308" spans="1:3" ht="14.5" customHeight="1">
      <c r="A308" s="1" t="s">
        <v>4976</v>
      </c>
      <c r="B308" s="1" t="s">
        <v>909</v>
      </c>
      <c r="C308" s="86">
        <v>29.55</v>
      </c>
    </row>
    <row r="309" spans="1:3" ht="14.5" customHeight="1">
      <c r="A309" s="1" t="s">
        <v>4977</v>
      </c>
      <c r="B309" s="1" t="s">
        <v>911</v>
      </c>
      <c r="C309" s="86">
        <v>30.55</v>
      </c>
    </row>
    <row r="310" spans="1:3" ht="14.5" customHeight="1">
      <c r="A310" s="1" t="s">
        <v>4978</v>
      </c>
      <c r="B310" s="1" t="s">
        <v>1490</v>
      </c>
      <c r="C310" s="86">
        <v>25.95</v>
      </c>
    </row>
    <row r="311" spans="1:3" ht="14.5" customHeight="1">
      <c r="A311" s="1" t="s">
        <v>4979</v>
      </c>
      <c r="B311" s="1" t="s">
        <v>1492</v>
      </c>
      <c r="C311" s="86">
        <v>8.1</v>
      </c>
    </row>
    <row r="312" spans="1:3" ht="14.5" customHeight="1">
      <c r="A312" s="1" t="s">
        <v>4980</v>
      </c>
      <c r="B312" s="1" t="s">
        <v>1770</v>
      </c>
      <c r="C312" s="86">
        <v>28.5</v>
      </c>
    </row>
    <row r="313" spans="1:3" ht="14.5" customHeight="1">
      <c r="A313" s="1" t="s">
        <v>4981</v>
      </c>
      <c r="B313" s="1" t="s">
        <v>913</v>
      </c>
      <c r="C313" s="86">
        <v>13.35</v>
      </c>
    </row>
    <row r="314" spans="1:3" ht="14.5" customHeight="1">
      <c r="A314" s="1" t="s">
        <v>4982</v>
      </c>
      <c r="B314" s="1" t="s">
        <v>915</v>
      </c>
      <c r="C314" s="86">
        <v>23.25</v>
      </c>
    </row>
    <row r="315" spans="1:3" ht="14.5" customHeight="1">
      <c r="A315" s="1" t="s">
        <v>4983</v>
      </c>
      <c r="B315" s="1" t="s">
        <v>917</v>
      </c>
      <c r="C315" s="86">
        <v>29.65</v>
      </c>
    </row>
    <row r="316" spans="1:3" ht="14.5" customHeight="1">
      <c r="A316" s="1" t="s">
        <v>4984</v>
      </c>
      <c r="B316" s="1" t="s">
        <v>919</v>
      </c>
      <c r="C316" s="86">
        <v>15.5</v>
      </c>
    </row>
    <row r="317" spans="1:3" ht="14.5" customHeight="1">
      <c r="A317" s="1" t="s">
        <v>4985</v>
      </c>
      <c r="B317" s="1" t="s">
        <v>921</v>
      </c>
      <c r="C317" s="86">
        <v>15.65</v>
      </c>
    </row>
    <row r="318" spans="1:3" ht="14.5" customHeight="1">
      <c r="A318" s="1" t="s">
        <v>4986</v>
      </c>
      <c r="B318" s="1" t="s">
        <v>923</v>
      </c>
      <c r="C318" s="86">
        <v>168</v>
      </c>
    </row>
    <row r="319" spans="1:3" ht="14.5" customHeight="1">
      <c r="A319" s="1" t="s">
        <v>4987</v>
      </c>
      <c r="B319" s="1" t="s">
        <v>925</v>
      </c>
      <c r="C319" s="86">
        <v>54</v>
      </c>
    </row>
    <row r="320" spans="1:3" ht="14.5" customHeight="1">
      <c r="A320" s="1" t="s">
        <v>4988</v>
      </c>
      <c r="B320" s="1" t="s">
        <v>927</v>
      </c>
      <c r="C320" s="86">
        <v>25</v>
      </c>
    </row>
    <row r="321" spans="1:3" ht="14.5" customHeight="1">
      <c r="A321" s="1" t="s">
        <v>4989</v>
      </c>
      <c r="B321" s="1" t="s">
        <v>929</v>
      </c>
      <c r="C321" s="86">
        <v>123.5</v>
      </c>
    </row>
    <row r="322" spans="1:3" ht="14.5" customHeight="1">
      <c r="A322" s="1" t="s">
        <v>4990</v>
      </c>
      <c r="B322" s="1" t="s">
        <v>931</v>
      </c>
      <c r="C322" s="86">
        <v>79.599999999999994</v>
      </c>
    </row>
    <row r="323" spans="1:3" ht="14.5" customHeight="1">
      <c r="A323" s="1" t="s">
        <v>4991</v>
      </c>
      <c r="B323" s="1" t="s">
        <v>933</v>
      </c>
      <c r="C323" s="86">
        <v>85</v>
      </c>
    </row>
    <row r="324" spans="1:3" ht="14.5" customHeight="1">
      <c r="A324" s="1" t="s">
        <v>4992</v>
      </c>
      <c r="B324" s="1" t="s">
        <v>935</v>
      </c>
      <c r="C324" s="86">
        <v>25.2</v>
      </c>
    </row>
    <row r="325" spans="1:3" ht="14.5" customHeight="1">
      <c r="A325" s="1" t="s">
        <v>4993</v>
      </c>
      <c r="B325" s="1" t="s">
        <v>937</v>
      </c>
      <c r="C325" s="86">
        <v>50.4</v>
      </c>
    </row>
    <row r="326" spans="1:3" ht="14.5" customHeight="1">
      <c r="A326" s="1" t="s">
        <v>4994</v>
      </c>
      <c r="B326" s="1" t="s">
        <v>1494</v>
      </c>
      <c r="C326" s="86">
        <v>40.4</v>
      </c>
    </row>
    <row r="327" spans="1:3" ht="14.5" customHeight="1">
      <c r="A327" s="1" t="s">
        <v>4995</v>
      </c>
      <c r="B327" s="1" t="s">
        <v>1790</v>
      </c>
      <c r="C327" s="86">
        <v>200.5</v>
      </c>
    </row>
    <row r="328" spans="1:3" ht="14.5" customHeight="1">
      <c r="A328" s="1" t="s">
        <v>4996</v>
      </c>
      <c r="B328" s="1" t="s">
        <v>1818</v>
      </c>
      <c r="C328" s="86">
        <v>11.75</v>
      </c>
    </row>
    <row r="329" spans="1:3" ht="14.5" customHeight="1">
      <c r="A329" s="1" t="s">
        <v>4997</v>
      </c>
      <c r="B329" s="1" t="s">
        <v>1914</v>
      </c>
      <c r="C329" s="86">
        <v>71.3</v>
      </c>
    </row>
    <row r="330" spans="1:3" ht="14.5" customHeight="1">
      <c r="A330" s="1" t="s">
        <v>4998</v>
      </c>
      <c r="B330" s="1" t="s">
        <v>939</v>
      </c>
      <c r="C330" s="86">
        <v>22.7</v>
      </c>
    </row>
    <row r="331" spans="1:3" ht="14.5" customHeight="1">
      <c r="A331" s="1" t="s">
        <v>4999</v>
      </c>
      <c r="B331" s="1" t="s">
        <v>941</v>
      </c>
      <c r="C331" s="86">
        <v>33.5</v>
      </c>
    </row>
    <row r="332" spans="1:3" ht="14.5" customHeight="1">
      <c r="A332" s="1" t="s">
        <v>5000</v>
      </c>
      <c r="B332" s="1" t="s">
        <v>943</v>
      </c>
      <c r="C332" s="86">
        <v>12</v>
      </c>
    </row>
    <row r="333" spans="1:3" ht="14.5" customHeight="1">
      <c r="A333" s="1" t="s">
        <v>5001</v>
      </c>
      <c r="B333" s="1" t="s">
        <v>945</v>
      </c>
      <c r="C333" s="86">
        <v>22.65</v>
      </c>
    </row>
    <row r="334" spans="1:3" ht="14.5" customHeight="1">
      <c r="A334" s="1" t="s">
        <v>5002</v>
      </c>
      <c r="B334" s="1" t="s">
        <v>947</v>
      </c>
      <c r="C334" s="86">
        <v>15</v>
      </c>
    </row>
    <row r="335" spans="1:3" ht="14.5" customHeight="1">
      <c r="A335" s="1" t="s">
        <v>5003</v>
      </c>
      <c r="B335" s="1" t="s">
        <v>949</v>
      </c>
      <c r="C335" s="86">
        <v>25.6</v>
      </c>
    </row>
    <row r="336" spans="1:3" ht="14.5" customHeight="1">
      <c r="A336" s="1" t="s">
        <v>5004</v>
      </c>
      <c r="B336" s="1" t="s">
        <v>951</v>
      </c>
      <c r="C336" s="86">
        <v>20.9</v>
      </c>
    </row>
    <row r="337" spans="1:3" ht="14.5" customHeight="1">
      <c r="A337" s="1" t="s">
        <v>5005</v>
      </c>
      <c r="B337" s="1" t="s">
        <v>953</v>
      </c>
      <c r="C337" s="86">
        <v>12.6</v>
      </c>
    </row>
    <row r="338" spans="1:3" ht="14.5" customHeight="1">
      <c r="A338" s="1" t="s">
        <v>5006</v>
      </c>
      <c r="B338" s="1" t="s">
        <v>955</v>
      </c>
      <c r="C338" s="86">
        <v>9.7799999999999994</v>
      </c>
    </row>
    <row r="339" spans="1:3" ht="14.5" customHeight="1">
      <c r="A339" s="1" t="s">
        <v>5007</v>
      </c>
      <c r="B339" s="1" t="s">
        <v>957</v>
      </c>
      <c r="C339" s="86">
        <v>11.05</v>
      </c>
    </row>
    <row r="340" spans="1:3" ht="14.5" customHeight="1">
      <c r="A340" s="1" t="s">
        <v>5008</v>
      </c>
      <c r="B340" s="1" t="s">
        <v>5009</v>
      </c>
      <c r="C340" s="86">
        <v>54.8</v>
      </c>
    </row>
    <row r="341" spans="1:3" ht="14.5" customHeight="1">
      <c r="A341" s="1" t="s">
        <v>5010</v>
      </c>
      <c r="B341" s="1" t="s">
        <v>961</v>
      </c>
      <c r="C341" s="86">
        <v>11.95</v>
      </c>
    </row>
    <row r="342" spans="1:3" ht="14.5" customHeight="1">
      <c r="A342" s="1" t="s">
        <v>5011</v>
      </c>
      <c r="B342" s="1" t="s">
        <v>963</v>
      </c>
      <c r="C342" s="86">
        <v>15.9</v>
      </c>
    </row>
    <row r="343" spans="1:3" ht="14.5" customHeight="1">
      <c r="A343" s="1" t="s">
        <v>5012</v>
      </c>
      <c r="B343" s="1" t="s">
        <v>965</v>
      </c>
      <c r="C343" s="86">
        <v>38.6</v>
      </c>
    </row>
    <row r="344" spans="1:3" ht="14.5" customHeight="1">
      <c r="A344" s="1" t="s">
        <v>5013</v>
      </c>
      <c r="B344" s="1" t="s">
        <v>967</v>
      </c>
      <c r="C344" s="86">
        <v>19.850000000000001</v>
      </c>
    </row>
    <row r="345" spans="1:3" ht="14.5" customHeight="1">
      <c r="A345" s="1" t="s">
        <v>5014</v>
      </c>
      <c r="B345" s="1" t="s">
        <v>969</v>
      </c>
      <c r="C345" s="86">
        <v>14.55</v>
      </c>
    </row>
    <row r="346" spans="1:3" ht="14.5" customHeight="1">
      <c r="A346" s="1" t="s">
        <v>5015</v>
      </c>
      <c r="B346" s="1" t="s">
        <v>971</v>
      </c>
      <c r="C346" s="86">
        <v>14.45</v>
      </c>
    </row>
    <row r="347" spans="1:3" ht="14.5" customHeight="1">
      <c r="A347" s="1" t="s">
        <v>5016</v>
      </c>
      <c r="B347" s="1" t="s">
        <v>973</v>
      </c>
      <c r="C347" s="86">
        <v>11.6</v>
      </c>
    </row>
    <row r="348" spans="1:3" ht="14.5" customHeight="1">
      <c r="A348" s="1" t="s">
        <v>5017</v>
      </c>
      <c r="B348" s="1" t="s">
        <v>975</v>
      </c>
      <c r="C348" s="86">
        <v>22</v>
      </c>
    </row>
    <row r="349" spans="1:3" ht="14.5" customHeight="1">
      <c r="A349" s="1" t="s">
        <v>5018</v>
      </c>
      <c r="B349" s="1" t="s">
        <v>977</v>
      </c>
      <c r="C349" s="86">
        <v>46.4</v>
      </c>
    </row>
    <row r="350" spans="1:3" ht="14.5" customHeight="1">
      <c r="A350" s="1" t="s">
        <v>5019</v>
      </c>
      <c r="B350" s="1" t="s">
        <v>5020</v>
      </c>
      <c r="C350" s="86">
        <v>65.400000000000006</v>
      </c>
    </row>
    <row r="351" spans="1:3" ht="14.5" customHeight="1">
      <c r="A351" s="1" t="s">
        <v>5021</v>
      </c>
      <c r="B351" s="1" t="s">
        <v>5022</v>
      </c>
      <c r="C351" s="86">
        <v>64.3</v>
      </c>
    </row>
    <row r="352" spans="1:3" ht="14.5" customHeight="1">
      <c r="A352" s="1" t="s">
        <v>5023</v>
      </c>
      <c r="B352" s="1" t="s">
        <v>979</v>
      </c>
      <c r="C352" s="86">
        <v>42.55</v>
      </c>
    </row>
    <row r="353" spans="1:3" ht="14.5" customHeight="1">
      <c r="A353" s="1" t="s">
        <v>5024</v>
      </c>
      <c r="B353" s="1" t="s">
        <v>5025</v>
      </c>
      <c r="C353" s="86">
        <v>64.2</v>
      </c>
    </row>
    <row r="354" spans="1:3" ht="14.5" customHeight="1">
      <c r="A354" s="1" t="s">
        <v>5026</v>
      </c>
      <c r="B354" s="1" t="s">
        <v>5027</v>
      </c>
      <c r="C354" s="86">
        <v>64</v>
      </c>
    </row>
    <row r="355" spans="1:3" ht="14.5" customHeight="1">
      <c r="A355" s="1" t="s">
        <v>5028</v>
      </c>
      <c r="B355" s="1" t="s">
        <v>981</v>
      </c>
      <c r="C355" s="86">
        <v>9.73</v>
      </c>
    </row>
    <row r="356" spans="1:3" ht="14.5" customHeight="1">
      <c r="A356" s="1" t="s">
        <v>5029</v>
      </c>
      <c r="B356" s="1" t="s">
        <v>983</v>
      </c>
      <c r="C356" s="86">
        <v>27.9</v>
      </c>
    </row>
    <row r="357" spans="1:3" ht="14.5" customHeight="1">
      <c r="A357" s="1" t="s">
        <v>5030</v>
      </c>
      <c r="B357" s="1" t="s">
        <v>985</v>
      </c>
      <c r="C357" s="86">
        <v>20.2</v>
      </c>
    </row>
    <row r="358" spans="1:3" ht="14.5" customHeight="1">
      <c r="A358" s="1" t="s">
        <v>5031</v>
      </c>
      <c r="B358" s="1" t="s">
        <v>987</v>
      </c>
      <c r="C358" s="86">
        <v>30.6</v>
      </c>
    </row>
    <row r="359" spans="1:3" ht="14.5" customHeight="1">
      <c r="A359" s="1" t="s">
        <v>5032</v>
      </c>
      <c r="B359" s="1" t="s">
        <v>989</v>
      </c>
      <c r="C359" s="86">
        <v>14.5</v>
      </c>
    </row>
    <row r="360" spans="1:3" ht="14.5" customHeight="1">
      <c r="A360" s="1" t="s">
        <v>5033</v>
      </c>
      <c r="B360" s="1" t="s">
        <v>5034</v>
      </c>
      <c r="C360" s="86">
        <v>55.4</v>
      </c>
    </row>
    <row r="361" spans="1:3" ht="14.5" customHeight="1">
      <c r="A361" s="1" t="s">
        <v>5035</v>
      </c>
      <c r="B361" s="1" t="s">
        <v>5036</v>
      </c>
      <c r="C361" s="86">
        <v>54.5</v>
      </c>
    </row>
    <row r="362" spans="1:3" ht="14.5" customHeight="1">
      <c r="A362" s="1" t="s">
        <v>5037</v>
      </c>
      <c r="B362" s="1" t="s">
        <v>991</v>
      </c>
      <c r="C362" s="86">
        <v>10.35</v>
      </c>
    </row>
    <row r="363" spans="1:3" ht="14.5" customHeight="1">
      <c r="A363" s="1" t="s">
        <v>5038</v>
      </c>
      <c r="B363" s="1" t="s">
        <v>5039</v>
      </c>
      <c r="C363" s="86">
        <v>45.95</v>
      </c>
    </row>
    <row r="364" spans="1:3" ht="14.5" customHeight="1">
      <c r="A364" s="1" t="s">
        <v>5040</v>
      </c>
      <c r="B364" s="1" t="s">
        <v>993</v>
      </c>
      <c r="C364" s="86">
        <v>11.25</v>
      </c>
    </row>
    <row r="365" spans="1:3" ht="14.5" customHeight="1">
      <c r="A365" s="1" t="s">
        <v>5041</v>
      </c>
      <c r="B365" s="1" t="s">
        <v>995</v>
      </c>
      <c r="C365" s="86">
        <v>13</v>
      </c>
    </row>
    <row r="366" spans="1:3" ht="14.5" customHeight="1">
      <c r="A366" s="1" t="s">
        <v>5042</v>
      </c>
      <c r="B366" s="1" t="s">
        <v>997</v>
      </c>
      <c r="C366" s="86">
        <v>22.4</v>
      </c>
    </row>
    <row r="367" spans="1:3" ht="14.5" customHeight="1">
      <c r="A367" s="1" t="s">
        <v>5043</v>
      </c>
      <c r="B367" s="1" t="s">
        <v>5044</v>
      </c>
      <c r="C367" s="86">
        <v>66.2</v>
      </c>
    </row>
    <row r="368" spans="1:3" ht="14.5" customHeight="1">
      <c r="A368" s="1" t="s">
        <v>5045</v>
      </c>
      <c r="B368" s="1" t="s">
        <v>5046</v>
      </c>
      <c r="C368" s="86">
        <v>63.4</v>
      </c>
    </row>
    <row r="369" spans="1:3" ht="14.5" customHeight="1">
      <c r="A369" s="1" t="s">
        <v>5047</v>
      </c>
      <c r="B369" s="1" t="s">
        <v>999</v>
      </c>
      <c r="C369" s="86">
        <v>23.7</v>
      </c>
    </row>
    <row r="370" spans="1:3" ht="14.5" customHeight="1">
      <c r="A370" s="1" t="s">
        <v>5048</v>
      </c>
      <c r="B370" s="1" t="s">
        <v>1001</v>
      </c>
      <c r="C370" s="86">
        <v>7.81</v>
      </c>
    </row>
    <row r="371" spans="1:3" ht="14.5" customHeight="1">
      <c r="A371" s="1" t="s">
        <v>5049</v>
      </c>
      <c r="B371" s="1" t="s">
        <v>5050</v>
      </c>
      <c r="C371" s="86">
        <v>10.6</v>
      </c>
    </row>
    <row r="372" spans="1:3" ht="14.5" customHeight="1">
      <c r="A372" s="1" t="s">
        <v>5051</v>
      </c>
      <c r="B372" s="1" t="s">
        <v>1498</v>
      </c>
      <c r="C372" s="86">
        <v>52</v>
      </c>
    </row>
    <row r="373" spans="1:3" ht="14.5" customHeight="1">
      <c r="A373" s="1" t="s">
        <v>5052</v>
      </c>
      <c r="B373" s="1" t="s">
        <v>1500</v>
      </c>
      <c r="C373" s="86">
        <v>20.75</v>
      </c>
    </row>
    <row r="374" spans="1:3" ht="14.5" customHeight="1">
      <c r="A374" s="1" t="s">
        <v>5053</v>
      </c>
      <c r="B374" s="1" t="s">
        <v>1506</v>
      </c>
      <c r="C374" s="86">
        <v>11.25</v>
      </c>
    </row>
    <row r="375" spans="1:3" ht="14.5" customHeight="1">
      <c r="A375" s="1" t="s">
        <v>5054</v>
      </c>
      <c r="B375" s="1" t="s">
        <v>1508</v>
      </c>
      <c r="C375" s="86">
        <v>43.2</v>
      </c>
    </row>
    <row r="376" spans="1:3" ht="14.5" customHeight="1">
      <c r="A376" s="1" t="s">
        <v>5055</v>
      </c>
      <c r="B376" s="1" t="s">
        <v>150</v>
      </c>
      <c r="C376" s="86">
        <v>6.75</v>
      </c>
    </row>
    <row r="377" spans="1:3" ht="14.5" customHeight="1">
      <c r="A377" s="1" t="s">
        <v>5056</v>
      </c>
      <c r="B377" s="1" t="s">
        <v>869</v>
      </c>
      <c r="C377" s="86">
        <v>11.1</v>
      </c>
    </row>
    <row r="378" spans="1:3" ht="14.5" customHeight="1">
      <c r="A378" s="1" t="s">
        <v>5057</v>
      </c>
      <c r="B378" s="1" t="s">
        <v>891</v>
      </c>
      <c r="C378" s="86">
        <v>11.3</v>
      </c>
    </row>
    <row r="379" spans="1:3" ht="14.5" customHeight="1">
      <c r="A379" s="1" t="s">
        <v>5058</v>
      </c>
      <c r="B379" s="1" t="s">
        <v>1003</v>
      </c>
      <c r="C379" s="86">
        <v>24</v>
      </c>
    </row>
    <row r="380" spans="1:3" ht="14.5" customHeight="1">
      <c r="A380" s="1" t="s">
        <v>5059</v>
      </c>
      <c r="B380" s="1" t="s">
        <v>1005</v>
      </c>
      <c r="C380" s="86">
        <v>26.05</v>
      </c>
    </row>
    <row r="381" spans="1:3" ht="14.5" customHeight="1">
      <c r="A381" s="1" t="s">
        <v>5060</v>
      </c>
      <c r="B381" s="1" t="s">
        <v>1009</v>
      </c>
      <c r="C381" s="86">
        <v>21.65</v>
      </c>
    </row>
    <row r="382" spans="1:3" ht="14.5" customHeight="1">
      <c r="A382" s="1" t="s">
        <v>5061</v>
      </c>
      <c r="B382" s="1" t="s">
        <v>1011</v>
      </c>
      <c r="C382" s="86">
        <v>11.5</v>
      </c>
    </row>
    <row r="383" spans="1:3" ht="14.5" customHeight="1">
      <c r="A383" s="1" t="s">
        <v>5062</v>
      </c>
      <c r="B383" s="1" t="s">
        <v>1013</v>
      </c>
      <c r="C383" s="86">
        <v>21.2</v>
      </c>
    </row>
    <row r="384" spans="1:3" ht="14.5" customHeight="1">
      <c r="A384" s="1" t="s">
        <v>5063</v>
      </c>
      <c r="B384" s="1" t="s">
        <v>1015</v>
      </c>
      <c r="C384" s="86">
        <v>39.5</v>
      </c>
    </row>
    <row r="385" spans="1:3" ht="14.5" customHeight="1">
      <c r="A385" s="1" t="s">
        <v>5064</v>
      </c>
      <c r="B385" s="1" t="s">
        <v>1017</v>
      </c>
      <c r="C385" s="86">
        <v>7.58</v>
      </c>
    </row>
    <row r="386" spans="1:3" ht="14.5" customHeight="1">
      <c r="A386" s="1" t="s">
        <v>5065</v>
      </c>
      <c r="B386" s="1" t="s">
        <v>1019</v>
      </c>
      <c r="C386" s="86">
        <v>304</v>
      </c>
    </row>
    <row r="387" spans="1:3" ht="14.5" customHeight="1">
      <c r="A387" s="1" t="s">
        <v>5066</v>
      </c>
      <c r="B387" s="1" t="s">
        <v>1021</v>
      </c>
      <c r="C387" s="86">
        <v>16.45</v>
      </c>
    </row>
    <row r="388" spans="1:3" ht="14.5" customHeight="1">
      <c r="A388" s="1" t="s">
        <v>5067</v>
      </c>
      <c r="B388" s="1" t="s">
        <v>1023</v>
      </c>
      <c r="C388" s="86">
        <v>73.5</v>
      </c>
    </row>
    <row r="389" spans="1:3" ht="14.5" customHeight="1">
      <c r="A389" s="1" t="s">
        <v>5068</v>
      </c>
      <c r="B389" s="1" t="s">
        <v>1027</v>
      </c>
      <c r="C389" s="86">
        <v>94.5</v>
      </c>
    </row>
    <row r="390" spans="1:3" ht="14.5" customHeight="1">
      <c r="A390" s="1" t="s">
        <v>5069</v>
      </c>
      <c r="B390" s="1" t="s">
        <v>1029</v>
      </c>
      <c r="C390" s="86">
        <v>20</v>
      </c>
    </row>
    <row r="391" spans="1:3" ht="14.5" customHeight="1">
      <c r="A391" s="1" t="s">
        <v>5070</v>
      </c>
      <c r="B391" s="1" t="s">
        <v>1031</v>
      </c>
      <c r="C391" s="86">
        <v>96</v>
      </c>
    </row>
    <row r="392" spans="1:3" ht="14.5" customHeight="1">
      <c r="A392" s="1" t="s">
        <v>5071</v>
      </c>
      <c r="B392" s="1" t="s">
        <v>1383</v>
      </c>
      <c r="C392" s="86">
        <v>30.1</v>
      </c>
    </row>
    <row r="393" spans="1:3" ht="14.5" customHeight="1">
      <c r="A393" s="1" t="s">
        <v>5072</v>
      </c>
      <c r="B393" s="1" t="s">
        <v>1504</v>
      </c>
      <c r="C393" s="86">
        <v>28.2</v>
      </c>
    </row>
    <row r="394" spans="1:3" ht="14.5" customHeight="1">
      <c r="A394" s="1" t="s">
        <v>5073</v>
      </c>
      <c r="B394" s="1" t="s">
        <v>1782</v>
      </c>
      <c r="C394" s="86">
        <v>11.85</v>
      </c>
    </row>
    <row r="395" spans="1:3" ht="14.5" customHeight="1">
      <c r="A395" s="1" t="s">
        <v>5074</v>
      </c>
      <c r="B395" s="1" t="s">
        <v>1786</v>
      </c>
      <c r="C395" s="86">
        <v>11.15</v>
      </c>
    </row>
    <row r="396" spans="1:3" ht="14.5" customHeight="1">
      <c r="A396" s="1" t="s">
        <v>5075</v>
      </c>
      <c r="B396" s="1" t="s">
        <v>1788</v>
      </c>
      <c r="C396" s="86">
        <v>290</v>
      </c>
    </row>
    <row r="397" spans="1:3" ht="14.5" customHeight="1">
      <c r="A397" s="1" t="s">
        <v>5076</v>
      </c>
      <c r="B397" s="1" t="s">
        <v>5077</v>
      </c>
      <c r="C397" s="86">
        <v>53.1</v>
      </c>
    </row>
    <row r="398" spans="1:3" ht="14.5" customHeight="1">
      <c r="A398" s="1" t="s">
        <v>5078</v>
      </c>
      <c r="B398" s="1" t="s">
        <v>5079</v>
      </c>
      <c r="C398" s="86">
        <v>25.4</v>
      </c>
    </row>
    <row r="399" spans="1:3" ht="14.5" customHeight="1">
      <c r="A399" s="1" t="s">
        <v>5080</v>
      </c>
      <c r="B399" s="1" t="s">
        <v>342</v>
      </c>
      <c r="C399" s="86">
        <v>12.85</v>
      </c>
    </row>
    <row r="400" spans="1:3" ht="14.5" customHeight="1">
      <c r="A400" s="1" t="s">
        <v>5081</v>
      </c>
      <c r="B400" s="1" t="s">
        <v>344</v>
      </c>
      <c r="C400" s="86">
        <v>21</v>
      </c>
    </row>
    <row r="401" spans="1:3" ht="14.5" customHeight="1">
      <c r="A401" s="1" t="s">
        <v>5082</v>
      </c>
      <c r="B401" s="1" t="s">
        <v>346</v>
      </c>
      <c r="C401" s="86">
        <v>15.6</v>
      </c>
    </row>
    <row r="402" spans="1:3" ht="14.5" customHeight="1">
      <c r="A402" s="1" t="s">
        <v>5083</v>
      </c>
      <c r="B402" s="1" t="s">
        <v>348</v>
      </c>
      <c r="C402" s="86">
        <v>19</v>
      </c>
    </row>
    <row r="403" spans="1:3" ht="14.5" customHeight="1">
      <c r="A403" s="1" t="s">
        <v>5084</v>
      </c>
      <c r="B403" s="1" t="s">
        <v>350</v>
      </c>
      <c r="C403" s="86">
        <v>18.05</v>
      </c>
    </row>
    <row r="404" spans="1:3" ht="14.5" customHeight="1">
      <c r="A404" s="1" t="s">
        <v>5085</v>
      </c>
      <c r="B404" s="1" t="s">
        <v>352</v>
      </c>
      <c r="C404" s="86">
        <v>7.13</v>
      </c>
    </row>
    <row r="405" spans="1:3" ht="14.5" customHeight="1">
      <c r="A405" s="1" t="s">
        <v>5086</v>
      </c>
      <c r="B405" s="1" t="s">
        <v>354</v>
      </c>
      <c r="C405" s="86">
        <v>26.6</v>
      </c>
    </row>
    <row r="406" spans="1:3" ht="14.5" customHeight="1">
      <c r="A406" s="1" t="s">
        <v>5087</v>
      </c>
      <c r="B406" s="1" t="s">
        <v>356</v>
      </c>
      <c r="C406" s="86">
        <v>8.3000000000000007</v>
      </c>
    </row>
    <row r="407" spans="1:3" ht="14.5" customHeight="1">
      <c r="A407" s="1" t="s">
        <v>5088</v>
      </c>
      <c r="B407" s="1" t="s">
        <v>360</v>
      </c>
      <c r="C407" s="86">
        <v>8.77</v>
      </c>
    </row>
    <row r="408" spans="1:3" ht="14.5" customHeight="1">
      <c r="A408" s="1" t="s">
        <v>5089</v>
      </c>
      <c r="B408" s="1" t="s">
        <v>362</v>
      </c>
      <c r="C408" s="86">
        <v>49.55</v>
      </c>
    </row>
    <row r="409" spans="1:3" ht="14.5" customHeight="1">
      <c r="A409" s="1" t="s">
        <v>5090</v>
      </c>
      <c r="B409" s="1" t="s">
        <v>364</v>
      </c>
      <c r="C409" s="86">
        <v>122.5</v>
      </c>
    </row>
    <row r="410" spans="1:3" ht="14.5" customHeight="1">
      <c r="A410" s="1" t="s">
        <v>5091</v>
      </c>
      <c r="B410" s="1" t="s">
        <v>366</v>
      </c>
      <c r="C410" s="86">
        <v>12.95</v>
      </c>
    </row>
    <row r="411" spans="1:3" ht="14.5" customHeight="1">
      <c r="A411" s="1" t="s">
        <v>5092</v>
      </c>
      <c r="B411" s="1" t="s">
        <v>368</v>
      </c>
      <c r="C411" s="86">
        <v>14.95</v>
      </c>
    </row>
    <row r="412" spans="1:3" ht="14.5" customHeight="1">
      <c r="A412" s="1" t="s">
        <v>5093</v>
      </c>
      <c r="B412" s="1" t="s">
        <v>370</v>
      </c>
      <c r="C412" s="86">
        <v>70.3</v>
      </c>
    </row>
    <row r="413" spans="1:3" ht="14.5" customHeight="1">
      <c r="A413" s="1" t="s">
        <v>5094</v>
      </c>
      <c r="B413" s="1" t="s">
        <v>372</v>
      </c>
      <c r="C413" s="86">
        <v>11.75</v>
      </c>
    </row>
    <row r="414" spans="1:3" ht="14.5" customHeight="1">
      <c r="A414" s="1" t="s">
        <v>5095</v>
      </c>
      <c r="B414" s="1" t="s">
        <v>374</v>
      </c>
      <c r="C414" s="86">
        <v>73.2</v>
      </c>
    </row>
    <row r="415" spans="1:3" ht="14.5" customHeight="1">
      <c r="A415" s="1" t="s">
        <v>5096</v>
      </c>
      <c r="B415" s="1" t="s">
        <v>378</v>
      </c>
      <c r="C415" s="86">
        <v>11.55</v>
      </c>
    </row>
    <row r="416" spans="1:3" ht="14.5" customHeight="1">
      <c r="A416" s="1" t="s">
        <v>5097</v>
      </c>
      <c r="B416" s="1" t="s">
        <v>384</v>
      </c>
      <c r="C416" s="86">
        <v>17.55</v>
      </c>
    </row>
    <row r="417" spans="1:3" ht="14.5" customHeight="1">
      <c r="A417" s="1" t="s">
        <v>5098</v>
      </c>
      <c r="B417" s="1" t="s">
        <v>394</v>
      </c>
      <c r="C417" s="86">
        <v>94.1</v>
      </c>
    </row>
    <row r="418" spans="1:3" ht="14.5" customHeight="1">
      <c r="A418" s="1" t="s">
        <v>5099</v>
      </c>
      <c r="B418" s="1" t="s">
        <v>396</v>
      </c>
      <c r="C418" s="86">
        <v>16</v>
      </c>
    </row>
    <row r="419" spans="1:3" ht="14.5" customHeight="1">
      <c r="A419" s="1" t="s">
        <v>5100</v>
      </c>
      <c r="B419" s="1" t="s">
        <v>1287</v>
      </c>
      <c r="C419" s="86">
        <v>83.9</v>
      </c>
    </row>
    <row r="420" spans="1:3" ht="14.5" customHeight="1">
      <c r="A420" s="1" t="s">
        <v>5101</v>
      </c>
      <c r="B420" s="1" t="s">
        <v>1363</v>
      </c>
      <c r="C420" s="86">
        <v>13.85</v>
      </c>
    </row>
    <row r="421" spans="1:3" ht="14.5" customHeight="1">
      <c r="A421" s="1" t="s">
        <v>5102</v>
      </c>
      <c r="B421" s="1" t="s">
        <v>1365</v>
      </c>
      <c r="C421" s="86">
        <v>27.6</v>
      </c>
    </row>
    <row r="422" spans="1:3" ht="14.5" customHeight="1">
      <c r="A422" s="1" t="s">
        <v>5103</v>
      </c>
      <c r="B422" s="1" t="s">
        <v>1367</v>
      </c>
      <c r="C422" s="86">
        <v>12.3</v>
      </c>
    </row>
    <row r="423" spans="1:3" ht="14.5" customHeight="1">
      <c r="A423" s="1" t="s">
        <v>5104</v>
      </c>
      <c r="B423" s="1" t="s">
        <v>1371</v>
      </c>
      <c r="C423" s="86">
        <v>77.5</v>
      </c>
    </row>
    <row r="424" spans="1:3" ht="14.5" customHeight="1">
      <c r="A424" s="1" t="s">
        <v>5105</v>
      </c>
      <c r="B424" s="1" t="s">
        <v>1375</v>
      </c>
      <c r="C424" s="86">
        <v>49.9</v>
      </c>
    </row>
    <row r="425" spans="1:3" ht="14.5" customHeight="1">
      <c r="A425" s="1" t="s">
        <v>5106</v>
      </c>
      <c r="B425" s="1" t="s">
        <v>1377</v>
      </c>
      <c r="C425" s="86">
        <v>123.5</v>
      </c>
    </row>
    <row r="426" spans="1:3" ht="14.5" customHeight="1">
      <c r="A426" s="1" t="s">
        <v>5107</v>
      </c>
      <c r="B426" s="1" t="s">
        <v>1379</v>
      </c>
      <c r="C426" s="86">
        <v>68.3</v>
      </c>
    </row>
    <row r="427" spans="1:3" ht="14.5" customHeight="1">
      <c r="A427" s="1" t="s">
        <v>5108</v>
      </c>
      <c r="B427" s="1" t="s">
        <v>1381</v>
      </c>
      <c r="C427" s="86">
        <v>150.5</v>
      </c>
    </row>
    <row r="428" spans="1:3" ht="14.5" customHeight="1">
      <c r="A428" s="1" t="s">
        <v>5109</v>
      </c>
      <c r="B428" s="1" t="s">
        <v>306</v>
      </c>
      <c r="C428" s="86">
        <v>41.2</v>
      </c>
    </row>
    <row r="429" spans="1:3" ht="14.5" customHeight="1">
      <c r="A429" s="1" t="s">
        <v>5110</v>
      </c>
      <c r="B429" s="1" t="s">
        <v>334</v>
      </c>
      <c r="C429" s="86">
        <v>19.25</v>
      </c>
    </row>
    <row r="430" spans="1:3" ht="14.5" customHeight="1">
      <c r="A430" s="1" t="s">
        <v>5111</v>
      </c>
      <c r="B430" s="1" t="s">
        <v>338</v>
      </c>
      <c r="C430" s="86">
        <v>195</v>
      </c>
    </row>
    <row r="431" spans="1:3" ht="14.5" customHeight="1">
      <c r="A431" s="1" t="s">
        <v>5112</v>
      </c>
      <c r="B431" s="1" t="s">
        <v>358</v>
      </c>
      <c r="C431" s="86">
        <v>33.700000000000003</v>
      </c>
    </row>
    <row r="432" spans="1:3" ht="14.5" customHeight="1">
      <c r="A432" s="1" t="s">
        <v>5113</v>
      </c>
      <c r="B432" s="1" t="s">
        <v>376</v>
      </c>
      <c r="C432" s="86">
        <v>13.3</v>
      </c>
    </row>
    <row r="433" spans="1:3" ht="14.5" customHeight="1">
      <c r="A433" s="1" t="s">
        <v>5114</v>
      </c>
      <c r="B433" s="1" t="s">
        <v>380</v>
      </c>
      <c r="C433" s="86">
        <v>28.35</v>
      </c>
    </row>
    <row r="434" spans="1:3" ht="14.5" customHeight="1">
      <c r="A434" s="1" t="s">
        <v>5115</v>
      </c>
      <c r="B434" s="1" t="s">
        <v>382</v>
      </c>
      <c r="C434" s="86">
        <v>19.399999999999999</v>
      </c>
    </row>
    <row r="435" spans="1:3" ht="14.5" customHeight="1">
      <c r="A435" s="1" t="s">
        <v>5116</v>
      </c>
      <c r="B435" s="1" t="s">
        <v>386</v>
      </c>
      <c r="C435" s="86">
        <v>85</v>
      </c>
    </row>
    <row r="436" spans="1:3" ht="14.5" customHeight="1">
      <c r="A436" s="1" t="s">
        <v>5117</v>
      </c>
      <c r="B436" s="1" t="s">
        <v>390</v>
      </c>
      <c r="C436" s="86">
        <v>85.8</v>
      </c>
    </row>
    <row r="437" spans="1:3" ht="14.5" customHeight="1">
      <c r="A437" s="1" t="s">
        <v>5118</v>
      </c>
      <c r="B437" s="1" t="s">
        <v>392</v>
      </c>
      <c r="C437" s="86">
        <v>35.5</v>
      </c>
    </row>
    <row r="438" spans="1:3" ht="14.5" customHeight="1">
      <c r="A438" s="1" t="s">
        <v>5119</v>
      </c>
      <c r="B438" s="1" t="s">
        <v>398</v>
      </c>
      <c r="C438" s="86">
        <v>25.25</v>
      </c>
    </row>
    <row r="439" spans="1:3" ht="14.5" customHeight="1">
      <c r="A439" s="1" t="s">
        <v>5120</v>
      </c>
      <c r="B439" s="1" t="s">
        <v>400</v>
      </c>
      <c r="C439" s="86">
        <v>71.8</v>
      </c>
    </row>
    <row r="440" spans="1:3" ht="14.5" customHeight="1">
      <c r="A440" s="1" t="s">
        <v>5121</v>
      </c>
      <c r="B440" s="1" t="s">
        <v>402</v>
      </c>
      <c r="C440" s="86">
        <v>26.6</v>
      </c>
    </row>
    <row r="441" spans="1:3" ht="14.5" customHeight="1">
      <c r="A441" s="1" t="s">
        <v>5122</v>
      </c>
      <c r="B441" s="1" t="s">
        <v>404</v>
      </c>
      <c r="C441" s="86">
        <v>115</v>
      </c>
    </row>
    <row r="442" spans="1:3" ht="14.5" customHeight="1">
      <c r="A442" s="1" t="s">
        <v>5123</v>
      </c>
      <c r="B442" s="1" t="s">
        <v>1149</v>
      </c>
      <c r="C442" s="86">
        <v>24.9</v>
      </c>
    </row>
    <row r="443" spans="1:3" ht="14.5" customHeight="1">
      <c r="A443" s="1" t="s">
        <v>5124</v>
      </c>
      <c r="B443" s="1" t="s">
        <v>1283</v>
      </c>
      <c r="C443" s="86">
        <v>42.85</v>
      </c>
    </row>
    <row r="444" spans="1:3" ht="14.5" customHeight="1">
      <c r="A444" s="1" t="s">
        <v>5125</v>
      </c>
      <c r="B444" s="1" t="s">
        <v>1293</v>
      </c>
      <c r="C444" s="86">
        <v>53.9</v>
      </c>
    </row>
    <row r="445" spans="1:3" ht="14.5" customHeight="1">
      <c r="A445" s="1" t="s">
        <v>5126</v>
      </c>
      <c r="B445" s="1" t="s">
        <v>1295</v>
      </c>
      <c r="C445" s="86">
        <v>24.3</v>
      </c>
    </row>
    <row r="446" spans="1:3" ht="14.5" customHeight="1">
      <c r="A446" s="1" t="s">
        <v>5127</v>
      </c>
      <c r="B446" s="1" t="s">
        <v>1297</v>
      </c>
      <c r="C446" s="86">
        <v>18</v>
      </c>
    </row>
    <row r="447" spans="1:3" ht="14.5" customHeight="1">
      <c r="A447" s="1" t="s">
        <v>5128</v>
      </c>
      <c r="B447" s="1" t="s">
        <v>1299</v>
      </c>
      <c r="C447" s="86">
        <v>109</v>
      </c>
    </row>
    <row r="448" spans="1:3" ht="14.5" customHeight="1">
      <c r="A448" s="1" t="s">
        <v>5129</v>
      </c>
      <c r="B448" s="1" t="s">
        <v>1301</v>
      </c>
      <c r="C448" s="86">
        <v>25.4</v>
      </c>
    </row>
    <row r="449" spans="1:3" ht="14.5" customHeight="1">
      <c r="A449" s="1" t="s">
        <v>5130</v>
      </c>
      <c r="B449" s="1" t="s">
        <v>1303</v>
      </c>
      <c r="C449" s="86">
        <v>238</v>
      </c>
    </row>
    <row r="450" spans="1:3" ht="14.5" customHeight="1">
      <c r="A450" s="1" t="s">
        <v>5131</v>
      </c>
      <c r="B450" s="1" t="s">
        <v>1305</v>
      </c>
      <c r="C450" s="86">
        <v>14.75</v>
      </c>
    </row>
    <row r="451" spans="1:3" ht="14.5" customHeight="1">
      <c r="A451" s="1" t="s">
        <v>5132</v>
      </c>
      <c r="B451" s="1" t="s">
        <v>1307</v>
      </c>
      <c r="C451" s="86">
        <v>25.3</v>
      </c>
    </row>
    <row r="452" spans="1:3" ht="14.5" customHeight="1">
      <c r="A452" s="1" t="s">
        <v>5133</v>
      </c>
      <c r="B452" s="1" t="s">
        <v>1309</v>
      </c>
      <c r="C452" s="86">
        <v>28.75</v>
      </c>
    </row>
    <row r="453" spans="1:3" ht="14.5" customHeight="1">
      <c r="A453" s="1" t="s">
        <v>5134</v>
      </c>
      <c r="B453" s="1" t="s">
        <v>1311</v>
      </c>
      <c r="C453" s="86">
        <v>41.4</v>
      </c>
    </row>
    <row r="454" spans="1:3" ht="14.5" customHeight="1">
      <c r="A454" s="1" t="s">
        <v>5135</v>
      </c>
      <c r="B454" s="1" t="s">
        <v>1313</v>
      </c>
      <c r="C454" s="86">
        <v>33.450000000000003</v>
      </c>
    </row>
    <row r="455" spans="1:3" ht="14.5" customHeight="1">
      <c r="A455" s="1" t="s">
        <v>5136</v>
      </c>
      <c r="B455" s="1" t="s">
        <v>1315</v>
      </c>
      <c r="C455" s="86">
        <v>40.25</v>
      </c>
    </row>
    <row r="456" spans="1:3" ht="14.5" customHeight="1">
      <c r="A456" s="1" t="s">
        <v>5137</v>
      </c>
      <c r="B456" s="1" t="s">
        <v>1317</v>
      </c>
      <c r="C456" s="86">
        <v>123</v>
      </c>
    </row>
    <row r="457" spans="1:3" ht="14.5" customHeight="1">
      <c r="A457" s="1" t="s">
        <v>5138</v>
      </c>
      <c r="B457" s="1" t="s">
        <v>1369</v>
      </c>
      <c r="C457" s="86">
        <v>80.5</v>
      </c>
    </row>
    <row r="458" spans="1:3" ht="14.5" customHeight="1">
      <c r="A458" s="1" t="s">
        <v>5139</v>
      </c>
      <c r="B458" s="1" t="s">
        <v>1373</v>
      </c>
      <c r="C458" s="86">
        <v>41.85</v>
      </c>
    </row>
    <row r="459" spans="1:3" ht="14.5" customHeight="1">
      <c r="A459" s="1" t="s">
        <v>5140</v>
      </c>
      <c r="B459" s="1" t="s">
        <v>1648</v>
      </c>
      <c r="C459" s="86">
        <v>217</v>
      </c>
    </row>
    <row r="460" spans="1:3" ht="14.5" customHeight="1">
      <c r="A460" s="1" t="s">
        <v>5141</v>
      </c>
      <c r="B460" s="1" t="s">
        <v>1656</v>
      </c>
      <c r="C460" s="86">
        <v>181.5</v>
      </c>
    </row>
    <row r="461" spans="1:3" ht="14.5" customHeight="1">
      <c r="A461" s="1" t="s">
        <v>5142</v>
      </c>
      <c r="B461" s="1" t="s">
        <v>1668</v>
      </c>
      <c r="C461" s="86">
        <v>44.75</v>
      </c>
    </row>
    <row r="462" spans="1:3" ht="14.5" customHeight="1">
      <c r="A462" s="1" t="s">
        <v>5143</v>
      </c>
      <c r="B462" s="1" t="s">
        <v>1694</v>
      </c>
      <c r="C462" s="86">
        <v>176.5</v>
      </c>
    </row>
    <row r="463" spans="1:3" ht="14.5" customHeight="1">
      <c r="A463" s="1" t="s">
        <v>5144</v>
      </c>
      <c r="B463" s="1" t="s">
        <v>895</v>
      </c>
      <c r="C463" s="86">
        <v>29.85</v>
      </c>
    </row>
    <row r="464" spans="1:3" ht="14.5" customHeight="1">
      <c r="A464" s="1" t="s">
        <v>5145</v>
      </c>
      <c r="B464" s="1" t="s">
        <v>1660</v>
      </c>
      <c r="C464" s="86">
        <v>97.5</v>
      </c>
    </row>
    <row r="465" spans="1:3" ht="14.5" customHeight="1">
      <c r="A465" s="1" t="s">
        <v>5146</v>
      </c>
      <c r="B465" s="1" t="s">
        <v>1816</v>
      </c>
      <c r="C465" s="86">
        <v>29.9</v>
      </c>
    </row>
    <row r="466" spans="1:3" ht="14.5" customHeight="1">
      <c r="A466" s="1" t="s">
        <v>5147</v>
      </c>
      <c r="B466" s="1" t="s">
        <v>1862</v>
      </c>
      <c r="C466" s="86">
        <v>31.3</v>
      </c>
    </row>
    <row r="467" spans="1:3" ht="14.5" customHeight="1">
      <c r="A467" s="1" t="s">
        <v>5148</v>
      </c>
      <c r="B467" s="1" t="s">
        <v>1874</v>
      </c>
      <c r="C467" s="86">
        <v>33.9</v>
      </c>
    </row>
    <row r="468" spans="1:3" ht="14.5" customHeight="1">
      <c r="A468" s="1" t="s">
        <v>5149</v>
      </c>
      <c r="B468" s="1" t="s">
        <v>1884</v>
      </c>
      <c r="C468" s="86">
        <v>41.65</v>
      </c>
    </row>
    <row r="469" spans="1:3" ht="14.5" customHeight="1">
      <c r="A469" s="1" t="s">
        <v>5150</v>
      </c>
      <c r="B469" s="1" t="s">
        <v>1894</v>
      </c>
      <c r="C469" s="86">
        <v>35.5</v>
      </c>
    </row>
    <row r="470" spans="1:3" ht="14.5" customHeight="1">
      <c r="A470" s="1" t="s">
        <v>5151</v>
      </c>
      <c r="B470" s="1" t="s">
        <v>1902</v>
      </c>
      <c r="C470" s="86">
        <v>45</v>
      </c>
    </row>
    <row r="471" spans="1:3" ht="14.5" customHeight="1">
      <c r="A471" s="1" t="s">
        <v>5152</v>
      </c>
      <c r="B471" s="1" t="s">
        <v>540</v>
      </c>
      <c r="C471" s="86">
        <v>8.2100000000000009</v>
      </c>
    </row>
    <row r="472" spans="1:3" ht="14.5" customHeight="1">
      <c r="A472" s="1" t="s">
        <v>5153</v>
      </c>
      <c r="B472" s="1" t="s">
        <v>542</v>
      </c>
      <c r="C472" s="86">
        <v>16.45</v>
      </c>
    </row>
    <row r="473" spans="1:3" ht="14.5" customHeight="1">
      <c r="A473" s="1" t="s">
        <v>5154</v>
      </c>
      <c r="B473" s="1" t="s">
        <v>566</v>
      </c>
      <c r="C473" s="86">
        <v>14.85</v>
      </c>
    </row>
    <row r="474" spans="1:3" ht="14.5" customHeight="1">
      <c r="A474" s="1" t="s">
        <v>5155</v>
      </c>
      <c r="B474" s="1" t="s">
        <v>568</v>
      </c>
      <c r="C474" s="86">
        <v>331</v>
      </c>
    </row>
    <row r="475" spans="1:3" ht="14.5" customHeight="1">
      <c r="A475" s="1" t="s">
        <v>5156</v>
      </c>
      <c r="B475" s="1" t="s">
        <v>574</v>
      </c>
      <c r="C475" s="86">
        <v>37.200000000000003</v>
      </c>
    </row>
    <row r="476" spans="1:3" ht="14.5" customHeight="1">
      <c r="A476" s="1" t="s">
        <v>5157</v>
      </c>
      <c r="B476" s="1" t="s">
        <v>576</v>
      </c>
      <c r="C476" s="86">
        <v>34.450000000000003</v>
      </c>
    </row>
    <row r="477" spans="1:3" ht="14.5" customHeight="1">
      <c r="A477" s="1" t="s">
        <v>5158</v>
      </c>
      <c r="B477" s="1" t="s">
        <v>580</v>
      </c>
      <c r="C477" s="86">
        <v>20.3</v>
      </c>
    </row>
    <row r="478" spans="1:3" ht="14.5" customHeight="1">
      <c r="A478" s="1" t="s">
        <v>5159</v>
      </c>
      <c r="B478" s="1" t="s">
        <v>582</v>
      </c>
      <c r="C478" s="86">
        <v>19.55</v>
      </c>
    </row>
    <row r="479" spans="1:3" ht="14.5" customHeight="1">
      <c r="A479" s="1" t="s">
        <v>5160</v>
      </c>
      <c r="B479" s="1" t="s">
        <v>592</v>
      </c>
      <c r="C479" s="86">
        <v>64.900000000000006</v>
      </c>
    </row>
    <row r="480" spans="1:3" ht="14.5" customHeight="1">
      <c r="A480" s="1" t="s">
        <v>5161</v>
      </c>
      <c r="B480" s="1" t="s">
        <v>613</v>
      </c>
      <c r="C480" s="86">
        <v>9.1300000000000008</v>
      </c>
    </row>
    <row r="481" spans="1:3" ht="14.5" customHeight="1">
      <c r="A481" s="1" t="s">
        <v>5162</v>
      </c>
      <c r="B481" s="1" t="s">
        <v>623</v>
      </c>
      <c r="C481" s="86">
        <v>10.4</v>
      </c>
    </row>
    <row r="482" spans="1:3" ht="14.5" customHeight="1">
      <c r="A482" s="1" t="s">
        <v>5163</v>
      </c>
      <c r="B482" s="1" t="s">
        <v>636</v>
      </c>
      <c r="C482" s="86">
        <v>235</v>
      </c>
    </row>
    <row r="483" spans="1:3" ht="14.5" customHeight="1">
      <c r="A483" s="1" t="s">
        <v>5164</v>
      </c>
      <c r="B483" s="1" t="s">
        <v>647</v>
      </c>
      <c r="C483" s="86">
        <v>35.85</v>
      </c>
    </row>
    <row r="484" spans="1:3" ht="14.5" customHeight="1">
      <c r="A484" s="1" t="s">
        <v>5165</v>
      </c>
      <c r="B484" s="1" t="s">
        <v>661</v>
      </c>
      <c r="C484" s="86">
        <v>13.55</v>
      </c>
    </row>
    <row r="485" spans="1:3" ht="14.5" customHeight="1">
      <c r="A485" s="1" t="s">
        <v>5166</v>
      </c>
      <c r="B485" s="1" t="s">
        <v>671</v>
      </c>
      <c r="C485" s="86">
        <v>83.4</v>
      </c>
    </row>
    <row r="486" spans="1:3" ht="14.5" customHeight="1">
      <c r="A486" s="1" t="s">
        <v>5167</v>
      </c>
      <c r="B486" s="1" t="s">
        <v>713</v>
      </c>
      <c r="C486" s="86">
        <v>26.85</v>
      </c>
    </row>
    <row r="487" spans="1:3" ht="14.5" customHeight="1">
      <c r="A487" s="1" t="s">
        <v>5168</v>
      </c>
      <c r="B487" s="1" t="s">
        <v>721</v>
      </c>
      <c r="C487" s="86">
        <v>47.85</v>
      </c>
    </row>
    <row r="488" spans="1:3" ht="14.5" customHeight="1">
      <c r="A488" s="1" t="s">
        <v>5169</v>
      </c>
      <c r="B488" s="1" t="s">
        <v>731</v>
      </c>
      <c r="C488" s="86">
        <v>37.549999999999997</v>
      </c>
    </row>
    <row r="489" spans="1:3" ht="14.5" customHeight="1">
      <c r="A489" s="1" t="s">
        <v>5170</v>
      </c>
      <c r="B489" s="1" t="s">
        <v>735</v>
      </c>
      <c r="C489" s="86">
        <v>77.900000000000006</v>
      </c>
    </row>
    <row r="490" spans="1:3" ht="14.5" customHeight="1">
      <c r="A490" s="1" t="s">
        <v>5171</v>
      </c>
      <c r="B490" s="1" t="s">
        <v>739</v>
      </c>
      <c r="C490" s="86">
        <v>443.5</v>
      </c>
    </row>
    <row r="491" spans="1:3" ht="14.5" customHeight="1">
      <c r="A491" s="1" t="s">
        <v>5172</v>
      </c>
      <c r="B491" s="1" t="s">
        <v>747</v>
      </c>
      <c r="C491" s="86">
        <v>91.2</v>
      </c>
    </row>
    <row r="492" spans="1:3" ht="14.5" customHeight="1">
      <c r="A492" s="1" t="s">
        <v>5173</v>
      </c>
      <c r="B492" s="1" t="s">
        <v>781</v>
      </c>
      <c r="C492" s="86">
        <v>27.7</v>
      </c>
    </row>
    <row r="493" spans="1:3" ht="14.5" customHeight="1">
      <c r="A493" s="1" t="s">
        <v>5174</v>
      </c>
      <c r="B493" s="1" t="s">
        <v>1041</v>
      </c>
      <c r="C493" s="86">
        <v>38.9</v>
      </c>
    </row>
    <row r="494" spans="1:3" ht="14.5" customHeight="1">
      <c r="A494" s="1" t="s">
        <v>5175</v>
      </c>
      <c r="B494" s="1" t="s">
        <v>1051</v>
      </c>
      <c r="C494" s="86">
        <v>44.15</v>
      </c>
    </row>
    <row r="495" spans="1:3" ht="14.5" customHeight="1">
      <c r="A495" s="1" t="s">
        <v>5176</v>
      </c>
      <c r="B495" s="1" t="s">
        <v>1055</v>
      </c>
      <c r="C495" s="86">
        <v>52.8</v>
      </c>
    </row>
    <row r="496" spans="1:3" ht="14.5" customHeight="1">
      <c r="A496" s="1" t="s">
        <v>5177</v>
      </c>
      <c r="B496" s="1" t="s">
        <v>1089</v>
      </c>
      <c r="C496" s="86">
        <v>219</v>
      </c>
    </row>
    <row r="497" spans="1:3" ht="14.5" customHeight="1">
      <c r="A497" s="1" t="s">
        <v>5178</v>
      </c>
      <c r="B497" s="1" t="s">
        <v>1091</v>
      </c>
      <c r="C497" s="86">
        <v>56.3</v>
      </c>
    </row>
    <row r="498" spans="1:3" ht="14.5" customHeight="1">
      <c r="A498" s="1" t="s">
        <v>5179</v>
      </c>
      <c r="B498" s="1" t="s">
        <v>1101</v>
      </c>
      <c r="C498" s="86">
        <v>17.899999999999999</v>
      </c>
    </row>
    <row r="499" spans="1:3" ht="14.5" customHeight="1">
      <c r="A499" s="1" t="s">
        <v>5180</v>
      </c>
      <c r="B499" s="1" t="s">
        <v>1125</v>
      </c>
      <c r="C499" s="86">
        <v>28.5</v>
      </c>
    </row>
    <row r="500" spans="1:3" ht="14.5" customHeight="1">
      <c r="A500" s="1" t="s">
        <v>5181</v>
      </c>
      <c r="B500" s="1" t="s">
        <v>1143</v>
      </c>
      <c r="C500" s="86">
        <v>18.649999999999999</v>
      </c>
    </row>
    <row r="501" spans="1:3" ht="14.5" customHeight="1">
      <c r="A501" s="1" t="s">
        <v>5182</v>
      </c>
      <c r="B501" s="1" t="s">
        <v>11</v>
      </c>
      <c r="C501" s="86">
        <v>51.8</v>
      </c>
    </row>
    <row r="502" spans="1:3" ht="14.5" customHeight="1">
      <c r="A502" s="1" t="s">
        <v>5183</v>
      </c>
      <c r="B502" s="1" t="s">
        <v>1159</v>
      </c>
      <c r="C502" s="86">
        <v>58.5</v>
      </c>
    </row>
    <row r="503" spans="1:3" ht="14.5" customHeight="1">
      <c r="A503" s="1" t="s">
        <v>5184</v>
      </c>
      <c r="B503" s="1" t="s">
        <v>1188</v>
      </c>
      <c r="C503" s="86">
        <v>178</v>
      </c>
    </row>
    <row r="504" spans="1:3" ht="14.5" customHeight="1">
      <c r="A504" s="1" t="s">
        <v>5185</v>
      </c>
      <c r="B504" s="1" t="s">
        <v>1198</v>
      </c>
      <c r="C504" s="86">
        <v>241</v>
      </c>
    </row>
    <row r="505" spans="1:3" ht="14.5" customHeight="1">
      <c r="A505" s="1" t="s">
        <v>5186</v>
      </c>
      <c r="B505" s="1" t="s">
        <v>1217</v>
      </c>
      <c r="C505" s="86">
        <v>99.6</v>
      </c>
    </row>
    <row r="506" spans="1:3" ht="14.5" customHeight="1">
      <c r="A506" s="1" t="s">
        <v>5187</v>
      </c>
      <c r="B506" s="1" t="s">
        <v>1219</v>
      </c>
      <c r="C506" s="86">
        <v>117</v>
      </c>
    </row>
    <row r="507" spans="1:3" ht="14.5" customHeight="1">
      <c r="A507" s="1" t="s">
        <v>5188</v>
      </c>
      <c r="B507" s="1" t="s">
        <v>1227</v>
      </c>
      <c r="C507" s="86">
        <v>23.8</v>
      </c>
    </row>
    <row r="508" spans="1:3" ht="14.5" customHeight="1">
      <c r="A508" s="1" t="s">
        <v>5189</v>
      </c>
      <c r="B508" s="1" t="s">
        <v>1237</v>
      </c>
      <c r="C508" s="86">
        <v>65.2</v>
      </c>
    </row>
    <row r="509" spans="1:3" ht="14.5" customHeight="1">
      <c r="A509" s="1" t="s">
        <v>5190</v>
      </c>
      <c r="B509" s="1" t="s">
        <v>1239</v>
      </c>
      <c r="C509" s="86">
        <v>29.85</v>
      </c>
    </row>
    <row r="510" spans="1:3" ht="14.5" customHeight="1">
      <c r="A510" s="1" t="s">
        <v>5191</v>
      </c>
      <c r="B510" s="1" t="s">
        <v>1259</v>
      </c>
      <c r="C510" s="86">
        <v>234.5</v>
      </c>
    </row>
    <row r="511" spans="1:3" ht="14.5" customHeight="1">
      <c r="A511" s="1" t="s">
        <v>5192</v>
      </c>
      <c r="B511" s="1" t="s">
        <v>1289</v>
      </c>
      <c r="C511" s="86">
        <v>83.2</v>
      </c>
    </row>
    <row r="512" spans="1:3" ht="14.5" customHeight="1">
      <c r="A512" s="1" t="s">
        <v>5193</v>
      </c>
      <c r="B512" s="1" t="s">
        <v>1395</v>
      </c>
      <c r="C512" s="86">
        <v>46.75</v>
      </c>
    </row>
    <row r="513" spans="1:3" ht="14.5" customHeight="1">
      <c r="A513" s="1" t="s">
        <v>5194</v>
      </c>
      <c r="B513" s="1" t="s">
        <v>1410</v>
      </c>
      <c r="C513" s="86">
        <v>33.65</v>
      </c>
    </row>
    <row r="514" spans="1:3" ht="14.5" customHeight="1">
      <c r="A514" s="1" t="s">
        <v>5195</v>
      </c>
      <c r="B514" s="1" t="s">
        <v>1418</v>
      </c>
      <c r="C514" s="86">
        <v>37.6</v>
      </c>
    </row>
    <row r="515" spans="1:3" ht="14.5" customHeight="1">
      <c r="A515" s="1" t="s">
        <v>5196</v>
      </c>
      <c r="B515" s="1" t="s">
        <v>1420</v>
      </c>
      <c r="C515" s="86">
        <v>30.25</v>
      </c>
    </row>
    <row r="516" spans="1:3" ht="14.5" customHeight="1">
      <c r="A516" s="1" t="s">
        <v>5197</v>
      </c>
      <c r="B516" s="1" t="s">
        <v>1422</v>
      </c>
      <c r="C516" s="86">
        <v>170</v>
      </c>
    </row>
    <row r="517" spans="1:3" ht="14.5" customHeight="1">
      <c r="A517" s="1" t="s">
        <v>5198</v>
      </c>
      <c r="B517" s="1" t="s">
        <v>1450</v>
      </c>
      <c r="C517" s="86">
        <v>657</v>
      </c>
    </row>
    <row r="518" spans="1:3" ht="14.5" customHeight="1">
      <c r="A518" s="1" t="s">
        <v>5199</v>
      </c>
      <c r="B518" s="1" t="s">
        <v>1456</v>
      </c>
      <c r="C518" s="86">
        <v>64.900000000000006</v>
      </c>
    </row>
    <row r="519" spans="1:3" ht="14.5" customHeight="1">
      <c r="A519" s="1" t="s">
        <v>5200</v>
      </c>
      <c r="B519" s="1" t="s">
        <v>1460</v>
      </c>
      <c r="C519" s="86">
        <v>39.549999999999997</v>
      </c>
    </row>
    <row r="520" spans="1:3" ht="14.5" customHeight="1">
      <c r="A520" s="1" t="s">
        <v>5201</v>
      </c>
      <c r="B520" s="1" t="s">
        <v>1468</v>
      </c>
      <c r="C520" s="86">
        <v>32.75</v>
      </c>
    </row>
    <row r="521" spans="1:3" ht="14.5" customHeight="1">
      <c r="A521" s="1" t="s">
        <v>5202</v>
      </c>
      <c r="B521" s="1" t="s">
        <v>1572</v>
      </c>
      <c r="C521" s="86">
        <v>68.7</v>
      </c>
    </row>
    <row r="522" spans="1:3" ht="14.5" customHeight="1">
      <c r="A522" s="1" t="s">
        <v>5203</v>
      </c>
      <c r="B522" s="1" t="s">
        <v>1598</v>
      </c>
      <c r="C522" s="86">
        <v>99.8</v>
      </c>
    </row>
    <row r="523" spans="1:3" ht="14.5" customHeight="1">
      <c r="A523" s="1" t="s">
        <v>5204</v>
      </c>
      <c r="B523" s="1" t="s">
        <v>1600</v>
      </c>
      <c r="C523" s="86">
        <v>11</v>
      </c>
    </row>
    <row r="524" spans="1:3" ht="14.5" customHeight="1">
      <c r="A524" s="1" t="s">
        <v>5205</v>
      </c>
      <c r="B524" s="1" t="s">
        <v>1604</v>
      </c>
      <c r="C524" s="86">
        <v>37.1</v>
      </c>
    </row>
    <row r="525" spans="1:3" ht="14.5" customHeight="1">
      <c r="A525" s="1" t="s">
        <v>5206</v>
      </c>
      <c r="B525" s="1" t="s">
        <v>1608</v>
      </c>
      <c r="C525" s="86">
        <v>156.5</v>
      </c>
    </row>
    <row r="526" spans="1:3" ht="14.5" customHeight="1">
      <c r="A526" s="1" t="s">
        <v>5207</v>
      </c>
      <c r="B526" s="1" t="s">
        <v>1634</v>
      </c>
      <c r="C526" s="86">
        <v>950</v>
      </c>
    </row>
    <row r="527" spans="1:3" ht="14.5" customHeight="1">
      <c r="A527" s="1" t="s">
        <v>5208</v>
      </c>
      <c r="B527" s="1" t="s">
        <v>1646</v>
      </c>
      <c r="C527" s="86">
        <v>162</v>
      </c>
    </row>
    <row r="528" spans="1:3" ht="14.5" customHeight="1">
      <c r="A528" s="1" t="s">
        <v>5209</v>
      </c>
      <c r="B528" s="1" t="s">
        <v>1662</v>
      </c>
      <c r="C528" s="86">
        <v>67.5</v>
      </c>
    </row>
    <row r="529" spans="1:3" ht="14.5" customHeight="1">
      <c r="A529" s="1" t="s">
        <v>5210</v>
      </c>
      <c r="B529" s="1" t="s">
        <v>1664</v>
      </c>
      <c r="C529" s="86">
        <v>87.1</v>
      </c>
    </row>
    <row r="530" spans="1:3" ht="14.5" customHeight="1">
      <c r="A530" s="1" t="s">
        <v>5211</v>
      </c>
      <c r="B530" s="1" t="s">
        <v>1666</v>
      </c>
      <c r="C530" s="86">
        <v>132</v>
      </c>
    </row>
    <row r="531" spans="1:3" ht="14.5" customHeight="1">
      <c r="A531" s="1" t="s">
        <v>5212</v>
      </c>
      <c r="B531" s="1" t="s">
        <v>1670</v>
      </c>
      <c r="C531" s="86">
        <v>80.7</v>
      </c>
    </row>
    <row r="532" spans="1:3" ht="14.5" customHeight="1">
      <c r="A532" s="1" t="s">
        <v>5213</v>
      </c>
      <c r="B532" s="1" t="s">
        <v>1674</v>
      </c>
      <c r="C532" s="86">
        <v>24.5</v>
      </c>
    </row>
    <row r="533" spans="1:3" ht="14.5" customHeight="1">
      <c r="A533" s="1" t="s">
        <v>5214</v>
      </c>
      <c r="B533" s="1" t="s">
        <v>1714</v>
      </c>
      <c r="C533" s="86">
        <v>167.5</v>
      </c>
    </row>
    <row r="534" spans="1:3" ht="14.5" customHeight="1">
      <c r="A534" s="1" t="s">
        <v>5215</v>
      </c>
      <c r="B534" s="1" t="s">
        <v>1718</v>
      </c>
      <c r="C534" s="86">
        <v>74</v>
      </c>
    </row>
    <row r="535" spans="1:3" ht="14.5" customHeight="1">
      <c r="A535" s="1" t="s">
        <v>5216</v>
      </c>
      <c r="B535" s="1" t="s">
        <v>1730</v>
      </c>
      <c r="C535" s="86">
        <v>126.5</v>
      </c>
    </row>
    <row r="536" spans="1:3" ht="14.5" customHeight="1">
      <c r="A536" s="1" t="s">
        <v>5217</v>
      </c>
      <c r="B536" s="1" t="s">
        <v>1740</v>
      </c>
      <c r="C536" s="86">
        <v>11.65</v>
      </c>
    </row>
    <row r="537" spans="1:3" ht="14.5" customHeight="1">
      <c r="A537" s="1" t="s">
        <v>5218</v>
      </c>
      <c r="B537" s="1" t="s">
        <v>1746</v>
      </c>
      <c r="C537" s="86">
        <v>37.299999999999997</v>
      </c>
    </row>
    <row r="538" spans="1:3" ht="14.5" customHeight="1">
      <c r="A538" s="1" t="s">
        <v>5219</v>
      </c>
      <c r="B538" s="1" t="s">
        <v>1748</v>
      </c>
      <c r="C538" s="86">
        <v>34.25</v>
      </c>
    </row>
    <row r="539" spans="1:3" ht="14.5" customHeight="1">
      <c r="A539" s="1" t="s">
        <v>5220</v>
      </c>
      <c r="B539" s="1" t="s">
        <v>1764</v>
      </c>
      <c r="C539" s="86">
        <v>30.1</v>
      </c>
    </row>
    <row r="540" spans="1:3" ht="14.5" customHeight="1">
      <c r="A540" s="1" t="s">
        <v>5221</v>
      </c>
      <c r="B540" s="1" t="s">
        <v>1766</v>
      </c>
      <c r="C540" s="86">
        <v>41.85</v>
      </c>
    </row>
    <row r="541" spans="1:3" ht="14.5" customHeight="1">
      <c r="A541" s="1" t="s">
        <v>5222</v>
      </c>
      <c r="B541" s="1" t="s">
        <v>538</v>
      </c>
      <c r="C541" s="86">
        <v>49.35</v>
      </c>
    </row>
    <row r="542" spans="1:3" ht="14.5" customHeight="1">
      <c r="A542" s="1" t="s">
        <v>5223</v>
      </c>
      <c r="B542" s="1" t="s">
        <v>544</v>
      </c>
      <c r="C542" s="86">
        <v>6.94</v>
      </c>
    </row>
    <row r="543" spans="1:3" ht="14.5" customHeight="1">
      <c r="A543" s="1" t="s">
        <v>5224</v>
      </c>
      <c r="B543" s="1" t="s">
        <v>4</v>
      </c>
      <c r="C543" s="86">
        <v>18.850000000000001</v>
      </c>
    </row>
    <row r="544" spans="1:3" ht="14.5" customHeight="1">
      <c r="A544" s="1" t="s">
        <v>5225</v>
      </c>
      <c r="B544" s="1" t="s">
        <v>570</v>
      </c>
      <c r="C544" s="86">
        <v>13.7</v>
      </c>
    </row>
    <row r="545" spans="1:3" ht="14.5" customHeight="1">
      <c r="A545" s="1" t="s">
        <v>5226</v>
      </c>
      <c r="B545" s="1" t="s">
        <v>594</v>
      </c>
      <c r="C545" s="86">
        <v>21.3</v>
      </c>
    </row>
    <row r="546" spans="1:3" ht="14.5" customHeight="1">
      <c r="A546" s="1" t="s">
        <v>5227</v>
      </c>
      <c r="B546" s="1" t="s">
        <v>596</v>
      </c>
      <c r="C546" s="86">
        <v>17.850000000000001</v>
      </c>
    </row>
    <row r="547" spans="1:3" ht="14.5" customHeight="1">
      <c r="A547" s="1" t="s">
        <v>5228</v>
      </c>
      <c r="B547" s="1" t="s">
        <v>5</v>
      </c>
      <c r="C547" s="86">
        <v>22.85</v>
      </c>
    </row>
    <row r="548" spans="1:3" ht="14.5" customHeight="1">
      <c r="A548" s="1" t="s">
        <v>5229</v>
      </c>
      <c r="B548" s="1" t="s">
        <v>603</v>
      </c>
      <c r="C548" s="86">
        <v>231.5</v>
      </c>
    </row>
    <row r="549" spans="1:3" ht="14.5" customHeight="1">
      <c r="A549" s="1" t="s">
        <v>5230</v>
      </c>
      <c r="B549" s="1" t="s">
        <v>611</v>
      </c>
      <c r="C549" s="86">
        <v>36.799999999999997</v>
      </c>
    </row>
    <row r="550" spans="1:3" ht="14.5" customHeight="1">
      <c r="A550" s="1" t="s">
        <v>5231</v>
      </c>
      <c r="B550" s="1" t="s">
        <v>617</v>
      </c>
      <c r="C550" s="86">
        <v>8.56</v>
      </c>
    </row>
    <row r="551" spans="1:3" ht="14.5" customHeight="1">
      <c r="A551" s="1" t="s">
        <v>5232</v>
      </c>
      <c r="B551" s="1" t="s">
        <v>633</v>
      </c>
      <c r="C551" s="86">
        <v>49.7</v>
      </c>
    </row>
    <row r="552" spans="1:3" ht="14.5" customHeight="1">
      <c r="A552" s="1" t="s">
        <v>5233</v>
      </c>
      <c r="B552" s="1" t="s">
        <v>7</v>
      </c>
      <c r="C552" s="86">
        <v>86.7</v>
      </c>
    </row>
    <row r="553" spans="1:3" ht="14.5" customHeight="1">
      <c r="A553" s="1" t="s">
        <v>5234</v>
      </c>
      <c r="B553" s="1" t="s">
        <v>638</v>
      </c>
      <c r="C553" s="86">
        <v>4.1399999999999997</v>
      </c>
    </row>
    <row r="554" spans="1:3" ht="14.5" customHeight="1">
      <c r="A554" s="1" t="s">
        <v>5235</v>
      </c>
      <c r="B554" s="1" t="s">
        <v>3</v>
      </c>
      <c r="C554" s="86">
        <v>64.3</v>
      </c>
    </row>
    <row r="555" spans="1:3" ht="14.5" customHeight="1">
      <c r="A555" s="1" t="s">
        <v>5236</v>
      </c>
      <c r="B555" s="1" t="s">
        <v>645</v>
      </c>
      <c r="C555" s="86">
        <v>39</v>
      </c>
    </row>
    <row r="556" spans="1:3" ht="14.5" customHeight="1">
      <c r="A556" s="1" t="s">
        <v>5237</v>
      </c>
      <c r="B556" s="1" t="s">
        <v>655</v>
      </c>
      <c r="C556" s="86">
        <v>302</v>
      </c>
    </row>
    <row r="557" spans="1:3" ht="14.5" customHeight="1">
      <c r="A557" s="1" t="s">
        <v>5238</v>
      </c>
      <c r="B557" s="1" t="s">
        <v>657</v>
      </c>
      <c r="C557" s="86">
        <v>83.9</v>
      </c>
    </row>
    <row r="558" spans="1:3" ht="14.5" customHeight="1">
      <c r="A558" s="1" t="s">
        <v>5239</v>
      </c>
      <c r="B558" s="1" t="s">
        <v>659</v>
      </c>
      <c r="C558" s="86">
        <v>12.1</v>
      </c>
    </row>
    <row r="559" spans="1:3" ht="14.5" customHeight="1">
      <c r="A559" s="1" t="s">
        <v>5240</v>
      </c>
      <c r="B559" s="1" t="s">
        <v>667</v>
      </c>
      <c r="C559" s="86">
        <v>12.2</v>
      </c>
    </row>
    <row r="560" spans="1:3" ht="14.5" customHeight="1">
      <c r="A560" s="1" t="s">
        <v>5241</v>
      </c>
      <c r="B560" s="1" t="s">
        <v>683</v>
      </c>
      <c r="C560" s="86">
        <v>10.35</v>
      </c>
    </row>
    <row r="561" spans="1:3" ht="14.5" customHeight="1">
      <c r="A561" s="1" t="s">
        <v>5242</v>
      </c>
      <c r="B561" s="1" t="s">
        <v>693</v>
      </c>
      <c r="C561" s="86">
        <v>28.9</v>
      </c>
    </row>
    <row r="562" spans="1:3" ht="14.5" customHeight="1">
      <c r="A562" s="1" t="s">
        <v>5243</v>
      </c>
      <c r="B562" s="1" t="s">
        <v>695</v>
      </c>
      <c r="C562" s="86">
        <v>30.55</v>
      </c>
    </row>
    <row r="563" spans="1:3" ht="14.5" customHeight="1">
      <c r="A563" s="1" t="s">
        <v>5244</v>
      </c>
      <c r="B563" s="1" t="s">
        <v>723</v>
      </c>
      <c r="C563" s="86">
        <v>11.15</v>
      </c>
    </row>
    <row r="564" spans="1:3" ht="14.5" customHeight="1">
      <c r="A564" s="1" t="s">
        <v>5245</v>
      </c>
      <c r="B564" s="1" t="s">
        <v>759</v>
      </c>
      <c r="C564" s="86">
        <v>11.1</v>
      </c>
    </row>
    <row r="565" spans="1:3" ht="14.5" customHeight="1">
      <c r="A565" s="1" t="s">
        <v>5246</v>
      </c>
      <c r="B565" s="1" t="s">
        <v>1033</v>
      </c>
      <c r="C565" s="86">
        <v>11.7</v>
      </c>
    </row>
    <row r="566" spans="1:3" ht="14.5" customHeight="1">
      <c r="A566" s="1" t="s">
        <v>5247</v>
      </c>
      <c r="B566" s="1" t="s">
        <v>1039</v>
      </c>
      <c r="C566" s="86">
        <v>46.7</v>
      </c>
    </row>
    <row r="567" spans="1:3" ht="14.5" customHeight="1">
      <c r="A567" s="1" t="s">
        <v>5248</v>
      </c>
      <c r="B567" s="1" t="s">
        <v>1049</v>
      </c>
      <c r="C567" s="86">
        <v>14.45</v>
      </c>
    </row>
    <row r="568" spans="1:3" ht="14.5" customHeight="1">
      <c r="A568" s="1" t="s">
        <v>5249</v>
      </c>
      <c r="B568" s="1" t="s">
        <v>1057</v>
      </c>
      <c r="C568" s="86">
        <v>41.65</v>
      </c>
    </row>
    <row r="569" spans="1:3" ht="14.5" customHeight="1">
      <c r="A569" s="1" t="s">
        <v>5250</v>
      </c>
      <c r="B569" s="1" t="s">
        <v>1065</v>
      </c>
      <c r="C569" s="86">
        <v>52.9</v>
      </c>
    </row>
    <row r="570" spans="1:3" ht="14.5" customHeight="1">
      <c r="A570" s="1" t="s">
        <v>5251</v>
      </c>
      <c r="B570" s="1" t="s">
        <v>1111</v>
      </c>
      <c r="C570" s="86">
        <v>16.45</v>
      </c>
    </row>
    <row r="571" spans="1:3" ht="14.5" customHeight="1">
      <c r="A571" s="1" t="s">
        <v>5252</v>
      </c>
      <c r="B571" s="1" t="s">
        <v>1131</v>
      </c>
      <c r="C571" s="86">
        <v>7.58</v>
      </c>
    </row>
    <row r="572" spans="1:3" ht="14.5" customHeight="1">
      <c r="A572" s="1" t="s">
        <v>5253</v>
      </c>
      <c r="B572" s="1" t="s">
        <v>1137</v>
      </c>
      <c r="C572" s="86">
        <v>13.5</v>
      </c>
    </row>
    <row r="573" spans="1:3" ht="14.5" customHeight="1">
      <c r="A573" s="1" t="s">
        <v>5254</v>
      </c>
      <c r="B573" s="1" t="s">
        <v>6</v>
      </c>
      <c r="C573" s="86">
        <v>28.35</v>
      </c>
    </row>
    <row r="574" spans="1:3" ht="14.5" customHeight="1">
      <c r="A574" s="1" t="s">
        <v>5255</v>
      </c>
      <c r="B574" s="1" t="s">
        <v>1190</v>
      </c>
      <c r="C574" s="86">
        <v>55</v>
      </c>
    </row>
    <row r="575" spans="1:3" ht="14.5" customHeight="1">
      <c r="A575" s="1" t="s">
        <v>5256</v>
      </c>
      <c r="B575" s="1" t="s">
        <v>1206</v>
      </c>
      <c r="C575" s="86">
        <v>5.16</v>
      </c>
    </row>
    <row r="576" spans="1:3" ht="14.5" customHeight="1">
      <c r="A576" s="1" t="s">
        <v>5257</v>
      </c>
      <c r="B576" s="1" t="s">
        <v>10</v>
      </c>
      <c r="C576" s="86">
        <v>75.5</v>
      </c>
    </row>
    <row r="577" spans="1:3" ht="14.5" customHeight="1">
      <c r="A577" s="1" t="s">
        <v>5258</v>
      </c>
      <c r="B577" s="1" t="s">
        <v>1275</v>
      </c>
      <c r="C577" s="86">
        <v>14</v>
      </c>
    </row>
    <row r="578" spans="1:3" ht="14.5" customHeight="1">
      <c r="A578" s="1" t="s">
        <v>5259</v>
      </c>
      <c r="B578" s="1" t="s">
        <v>1285</v>
      </c>
      <c r="C578" s="86">
        <v>29</v>
      </c>
    </row>
    <row r="579" spans="1:3" ht="14.5" customHeight="1">
      <c r="A579" s="1" t="s">
        <v>5260</v>
      </c>
      <c r="B579" s="1" t="s">
        <v>1291</v>
      </c>
      <c r="C579" s="86">
        <v>20.6</v>
      </c>
    </row>
    <row r="580" spans="1:3" ht="14.5" customHeight="1">
      <c r="A580" s="1" t="s">
        <v>5261</v>
      </c>
      <c r="B580" s="1" t="s">
        <v>1393</v>
      </c>
      <c r="C580" s="86">
        <v>34.049999999999997</v>
      </c>
    </row>
    <row r="581" spans="1:3" ht="14.5" customHeight="1">
      <c r="A581" s="1" t="s">
        <v>5262</v>
      </c>
      <c r="B581" s="1" t="s">
        <v>2</v>
      </c>
      <c r="C581" s="86">
        <v>68.400000000000006</v>
      </c>
    </row>
    <row r="582" spans="1:3" ht="14.5" customHeight="1">
      <c r="A582" s="1" t="s">
        <v>5263</v>
      </c>
      <c r="B582" s="1" t="s">
        <v>1438</v>
      </c>
      <c r="C582" s="86">
        <v>62.6</v>
      </c>
    </row>
    <row r="583" spans="1:3" ht="14.5" customHeight="1">
      <c r="A583" s="1" t="s">
        <v>5264</v>
      </c>
      <c r="B583" s="1" t="s">
        <v>1446</v>
      </c>
      <c r="C583" s="86">
        <v>29.5</v>
      </c>
    </row>
    <row r="584" spans="1:3" ht="14.5" customHeight="1">
      <c r="A584" s="1" t="s">
        <v>5265</v>
      </c>
      <c r="B584" s="1" t="s">
        <v>1448</v>
      </c>
      <c r="C584" s="86">
        <v>47.35</v>
      </c>
    </row>
    <row r="585" spans="1:3" ht="14.5" customHeight="1">
      <c r="A585" s="1" t="s">
        <v>5266</v>
      </c>
      <c r="B585" s="1" t="s">
        <v>1518</v>
      </c>
      <c r="C585" s="86">
        <v>13.75</v>
      </c>
    </row>
    <row r="586" spans="1:3" ht="14.5" customHeight="1">
      <c r="A586" s="1" t="s">
        <v>5267</v>
      </c>
      <c r="B586" s="1" t="s">
        <v>1522</v>
      </c>
      <c r="C586" s="86">
        <v>30.6</v>
      </c>
    </row>
    <row r="587" spans="1:3" ht="14.5" customHeight="1">
      <c r="A587" s="1" t="s">
        <v>5268</v>
      </c>
      <c r="B587" s="1" t="s">
        <v>1546</v>
      </c>
      <c r="C587" s="86">
        <v>48</v>
      </c>
    </row>
    <row r="588" spans="1:3" ht="14.5" customHeight="1">
      <c r="A588" s="1" t="s">
        <v>5269</v>
      </c>
      <c r="B588" s="1" t="s">
        <v>1550</v>
      </c>
      <c r="C588" s="86">
        <v>18.850000000000001</v>
      </c>
    </row>
    <row r="589" spans="1:3" ht="14.5" customHeight="1">
      <c r="A589" s="1" t="s">
        <v>5270</v>
      </c>
      <c r="B589" s="1" t="s">
        <v>1576</v>
      </c>
      <c r="C589" s="86">
        <v>72</v>
      </c>
    </row>
    <row r="590" spans="1:3" ht="14.5" customHeight="1">
      <c r="A590" s="1" t="s">
        <v>5271</v>
      </c>
      <c r="B590" s="1" t="s">
        <v>1594</v>
      </c>
      <c r="C590" s="86">
        <v>284</v>
      </c>
    </row>
    <row r="591" spans="1:3" ht="14.5" customHeight="1">
      <c r="A591" s="1" t="s">
        <v>5272</v>
      </c>
      <c r="B591" s="1" t="s">
        <v>1596</v>
      </c>
      <c r="C591" s="86">
        <v>13.55</v>
      </c>
    </row>
    <row r="592" spans="1:3" ht="14.5" customHeight="1">
      <c r="A592" s="1" t="s">
        <v>5273</v>
      </c>
      <c r="B592" s="1" t="s">
        <v>1610</v>
      </c>
      <c r="C592" s="86">
        <v>86.5</v>
      </c>
    </row>
    <row r="593" spans="1:3" ht="14.5" customHeight="1">
      <c r="A593" s="1" t="s">
        <v>5274</v>
      </c>
      <c r="B593" s="1" t="s">
        <v>1632</v>
      </c>
      <c r="C593" s="86">
        <v>247</v>
      </c>
    </row>
    <row r="594" spans="1:3" ht="14.5" customHeight="1">
      <c r="A594" s="1" t="s">
        <v>5275</v>
      </c>
      <c r="B594" s="1" t="s">
        <v>1676</v>
      </c>
      <c r="C594" s="86">
        <v>72.099999999999994</v>
      </c>
    </row>
    <row r="595" spans="1:3" ht="14.5" customHeight="1">
      <c r="A595" s="1" t="s">
        <v>5276</v>
      </c>
      <c r="B595" s="1" t="s">
        <v>1682</v>
      </c>
      <c r="C595" s="86">
        <v>61.2</v>
      </c>
    </row>
    <row r="596" spans="1:3" ht="14.5" customHeight="1">
      <c r="A596" s="1" t="s">
        <v>5277</v>
      </c>
      <c r="B596" s="1" t="s">
        <v>13</v>
      </c>
      <c r="C596" s="86">
        <v>635</v>
      </c>
    </row>
    <row r="597" spans="1:3" ht="14.5" customHeight="1">
      <c r="A597" s="1" t="s">
        <v>5278</v>
      </c>
      <c r="B597" s="1" t="s">
        <v>1744</v>
      </c>
      <c r="C597" s="86">
        <v>105.5</v>
      </c>
    </row>
    <row r="598" spans="1:3" ht="14.5" customHeight="1">
      <c r="A598" s="1" t="s">
        <v>5279</v>
      </c>
      <c r="B598" s="1" t="s">
        <v>1750</v>
      </c>
      <c r="C598" s="86">
        <v>44.05</v>
      </c>
    </row>
    <row r="599" spans="1:3" ht="14.5" customHeight="1">
      <c r="A599" s="1" t="s">
        <v>5280</v>
      </c>
      <c r="B599" s="1" t="s">
        <v>1754</v>
      </c>
      <c r="C599" s="86">
        <v>84.2</v>
      </c>
    </row>
    <row r="600" spans="1:3" ht="14.5" customHeight="1">
      <c r="A600" s="1" t="s">
        <v>5281</v>
      </c>
      <c r="B600" s="1" t="s">
        <v>1868</v>
      </c>
      <c r="C600" s="86">
        <v>8.51</v>
      </c>
    </row>
    <row r="601" spans="1:3" ht="14.5" customHeight="1">
      <c r="A601" s="1" t="s">
        <v>5282</v>
      </c>
      <c r="B601" s="1" t="s">
        <v>559</v>
      </c>
      <c r="C601" s="86">
        <v>9.57</v>
      </c>
    </row>
    <row r="602" spans="1:3" ht="14.5" customHeight="1">
      <c r="A602" s="1" t="s">
        <v>5283</v>
      </c>
      <c r="B602" s="1" t="s">
        <v>578</v>
      </c>
      <c r="C602" s="86">
        <v>25.75</v>
      </c>
    </row>
    <row r="603" spans="1:3" ht="14.5" customHeight="1">
      <c r="A603" s="1" t="s">
        <v>5284</v>
      </c>
      <c r="B603" s="1" t="s">
        <v>590</v>
      </c>
      <c r="C603" s="86">
        <v>7.12</v>
      </c>
    </row>
    <row r="604" spans="1:3" ht="14.5" customHeight="1">
      <c r="A604" s="1" t="s">
        <v>5285</v>
      </c>
      <c r="B604" s="1" t="s">
        <v>629</v>
      </c>
      <c r="C604" s="86">
        <v>16.649999999999999</v>
      </c>
    </row>
    <row r="605" spans="1:3" ht="14.5" customHeight="1">
      <c r="A605" s="1" t="s">
        <v>5286</v>
      </c>
      <c r="B605" s="1" t="s">
        <v>653</v>
      </c>
      <c r="C605" s="86">
        <v>34.75</v>
      </c>
    </row>
    <row r="606" spans="1:3" ht="14.5" customHeight="1">
      <c r="A606" s="1" t="s">
        <v>5287</v>
      </c>
      <c r="B606" s="1" t="s">
        <v>669</v>
      </c>
      <c r="C606" s="86">
        <v>12.75</v>
      </c>
    </row>
    <row r="607" spans="1:3" ht="14.5" customHeight="1">
      <c r="A607" s="1" t="s">
        <v>5288</v>
      </c>
      <c r="B607" s="1" t="s">
        <v>673</v>
      </c>
      <c r="C607" s="86">
        <v>10.050000000000001</v>
      </c>
    </row>
    <row r="608" spans="1:3" ht="14.5" customHeight="1">
      <c r="A608" s="1" t="s">
        <v>5289</v>
      </c>
      <c r="B608" s="1" t="s">
        <v>697</v>
      </c>
      <c r="C608" s="86">
        <v>15.55</v>
      </c>
    </row>
    <row r="609" spans="1:3" ht="14.5" customHeight="1">
      <c r="A609" s="1" t="s">
        <v>5290</v>
      </c>
      <c r="B609" s="1" t="s">
        <v>715</v>
      </c>
      <c r="C609" s="86">
        <v>8.5</v>
      </c>
    </row>
    <row r="610" spans="1:3" ht="14.5" customHeight="1">
      <c r="A610" s="1" t="s">
        <v>5291</v>
      </c>
      <c r="B610" s="1" t="s">
        <v>729</v>
      </c>
      <c r="C610" s="86">
        <v>32.35</v>
      </c>
    </row>
    <row r="611" spans="1:3" ht="14.5" customHeight="1">
      <c r="A611" s="1" t="s">
        <v>5292</v>
      </c>
      <c r="B611" s="1" t="s">
        <v>761</v>
      </c>
      <c r="C611" s="86">
        <v>34.15</v>
      </c>
    </row>
    <row r="612" spans="1:3" ht="14.5" customHeight="1">
      <c r="A612" s="1" t="s">
        <v>5293</v>
      </c>
      <c r="B612" s="1" t="s">
        <v>791</v>
      </c>
      <c r="C612" s="86">
        <v>9.15</v>
      </c>
    </row>
    <row r="613" spans="1:3" ht="14.5" customHeight="1">
      <c r="A613" s="1" t="s">
        <v>5294</v>
      </c>
      <c r="B613" s="1" t="s">
        <v>795</v>
      </c>
      <c r="C613" s="86">
        <v>10.65</v>
      </c>
    </row>
    <row r="614" spans="1:3" ht="14.5" customHeight="1">
      <c r="A614" s="1" t="s">
        <v>5295</v>
      </c>
      <c r="B614" s="1" t="s">
        <v>797</v>
      </c>
      <c r="C614" s="86">
        <v>9.41</v>
      </c>
    </row>
    <row r="615" spans="1:3" ht="14.5" customHeight="1">
      <c r="A615" s="1" t="s">
        <v>5296</v>
      </c>
      <c r="B615" s="1" t="s">
        <v>811</v>
      </c>
      <c r="C615" s="86">
        <v>7.26</v>
      </c>
    </row>
    <row r="616" spans="1:3" ht="14.5" customHeight="1">
      <c r="A616" s="1" t="s">
        <v>5297</v>
      </c>
      <c r="B616" s="1" t="s">
        <v>1043</v>
      </c>
      <c r="C616" s="86">
        <v>5000</v>
      </c>
    </row>
    <row r="617" spans="1:3" ht="14.5" customHeight="1">
      <c r="A617" s="1" t="s">
        <v>5298</v>
      </c>
      <c r="B617" s="1" t="s">
        <v>1061</v>
      </c>
      <c r="C617" s="86">
        <v>108</v>
      </c>
    </row>
    <row r="618" spans="1:3" ht="14.5" customHeight="1">
      <c r="A618" s="1" t="s">
        <v>5299</v>
      </c>
      <c r="B618" s="1" t="s">
        <v>1069</v>
      </c>
      <c r="C618" s="86">
        <v>8.07</v>
      </c>
    </row>
    <row r="619" spans="1:3" ht="14.5" customHeight="1">
      <c r="A619" s="1" t="s">
        <v>5300</v>
      </c>
      <c r="B619" s="1" t="s">
        <v>1083</v>
      </c>
      <c r="C619" s="86">
        <v>16.7</v>
      </c>
    </row>
    <row r="620" spans="1:3" ht="14.5" customHeight="1">
      <c r="A620" s="1" t="s">
        <v>5301</v>
      </c>
      <c r="B620" s="1" t="s">
        <v>1097</v>
      </c>
      <c r="C620" s="86">
        <v>17.600000000000001</v>
      </c>
    </row>
    <row r="621" spans="1:3" ht="14.5" customHeight="1">
      <c r="A621" s="1" t="s">
        <v>5302</v>
      </c>
      <c r="B621" s="1" t="s">
        <v>1117</v>
      </c>
      <c r="C621" s="86">
        <v>13.6</v>
      </c>
    </row>
    <row r="622" spans="1:3" ht="14.5" customHeight="1">
      <c r="A622" s="1" t="s">
        <v>5303</v>
      </c>
      <c r="B622" s="1" t="s">
        <v>1119</v>
      </c>
      <c r="C622" s="86">
        <v>11.65</v>
      </c>
    </row>
    <row r="623" spans="1:3" ht="14.5" customHeight="1">
      <c r="A623" s="1" t="s">
        <v>5304</v>
      </c>
      <c r="B623" s="1" t="s">
        <v>1135</v>
      </c>
      <c r="C623" s="86">
        <v>24.1</v>
      </c>
    </row>
    <row r="624" spans="1:3" ht="14.5" customHeight="1">
      <c r="A624" s="1" t="s">
        <v>5305</v>
      </c>
      <c r="B624" s="1" t="s">
        <v>1147</v>
      </c>
      <c r="C624" s="86">
        <v>9.33</v>
      </c>
    </row>
    <row r="625" spans="1:3" ht="14.5" customHeight="1">
      <c r="A625" s="1" t="s">
        <v>5306</v>
      </c>
      <c r="B625" s="1" t="s">
        <v>1178</v>
      </c>
      <c r="C625" s="86">
        <v>30</v>
      </c>
    </row>
    <row r="626" spans="1:3" ht="14.5" customHeight="1">
      <c r="A626" s="1" t="s">
        <v>5307</v>
      </c>
      <c r="B626" s="1" t="s">
        <v>1186</v>
      </c>
      <c r="C626" s="86">
        <v>587</v>
      </c>
    </row>
    <row r="627" spans="1:3" ht="14.5" customHeight="1">
      <c r="A627" s="1" t="s">
        <v>5308</v>
      </c>
      <c r="B627" s="1" t="s">
        <v>1196</v>
      </c>
      <c r="C627" s="86">
        <v>18</v>
      </c>
    </row>
    <row r="628" spans="1:3" ht="14.5" customHeight="1">
      <c r="A628" s="1" t="s">
        <v>5309</v>
      </c>
      <c r="B628" s="1" t="s">
        <v>1202</v>
      </c>
      <c r="C628" s="86">
        <v>91.7</v>
      </c>
    </row>
    <row r="629" spans="1:3" ht="14.5" customHeight="1">
      <c r="A629" s="1" t="s">
        <v>5310</v>
      </c>
      <c r="B629" s="1" t="s">
        <v>1204</v>
      </c>
      <c r="C629" s="86">
        <v>8.33</v>
      </c>
    </row>
    <row r="630" spans="1:3" ht="14.5" customHeight="1">
      <c r="A630" s="1" t="s">
        <v>5311</v>
      </c>
      <c r="B630" s="1" t="s">
        <v>1210</v>
      </c>
      <c r="C630" s="86">
        <v>83.6</v>
      </c>
    </row>
    <row r="631" spans="1:3" ht="14.5" customHeight="1">
      <c r="A631" s="1" t="s">
        <v>5312</v>
      </c>
      <c r="B631" s="1" t="s">
        <v>1223</v>
      </c>
      <c r="C631" s="86">
        <v>22.65</v>
      </c>
    </row>
    <row r="632" spans="1:3" ht="14.5" customHeight="1">
      <c r="A632" s="1" t="s">
        <v>5313</v>
      </c>
      <c r="B632" s="1" t="s">
        <v>1231</v>
      </c>
      <c r="C632" s="86">
        <v>37.700000000000003</v>
      </c>
    </row>
    <row r="633" spans="1:3" ht="14.5" customHeight="1">
      <c r="A633" s="1" t="s">
        <v>5314</v>
      </c>
      <c r="B633" s="1" t="s">
        <v>1233</v>
      </c>
      <c r="C633" s="86">
        <v>360.5</v>
      </c>
    </row>
    <row r="634" spans="1:3" ht="14.5" customHeight="1">
      <c r="A634" s="1" t="s">
        <v>5315</v>
      </c>
      <c r="B634" s="1" t="s">
        <v>1235</v>
      </c>
      <c r="C634" s="86">
        <v>7.66</v>
      </c>
    </row>
    <row r="635" spans="1:3" ht="14.5" customHeight="1">
      <c r="A635" s="1" t="s">
        <v>5316</v>
      </c>
      <c r="B635" s="1" t="s">
        <v>1241</v>
      </c>
      <c r="C635" s="86">
        <v>13.25</v>
      </c>
    </row>
    <row r="636" spans="1:3" ht="14.5" customHeight="1">
      <c r="A636" s="1" t="s">
        <v>5317</v>
      </c>
      <c r="B636" s="1" t="s">
        <v>1253</v>
      </c>
      <c r="C636" s="86">
        <v>22.2</v>
      </c>
    </row>
    <row r="637" spans="1:3" ht="14.5" customHeight="1">
      <c r="A637" s="1" t="s">
        <v>5318</v>
      </c>
      <c r="B637" s="1" t="s">
        <v>1263</v>
      </c>
      <c r="C637" s="86">
        <v>16.399999999999999</v>
      </c>
    </row>
    <row r="638" spans="1:3" ht="14.5" customHeight="1">
      <c r="A638" s="1" t="s">
        <v>5319</v>
      </c>
      <c r="B638" s="1" t="s">
        <v>1265</v>
      </c>
      <c r="C638" s="86">
        <v>56.8</v>
      </c>
    </row>
    <row r="639" spans="1:3" ht="14.5" customHeight="1">
      <c r="A639" s="1" t="s">
        <v>5320</v>
      </c>
      <c r="B639" s="1" t="s">
        <v>1273</v>
      </c>
      <c r="C639" s="86">
        <v>18.149999999999999</v>
      </c>
    </row>
    <row r="640" spans="1:3" ht="14.5" customHeight="1">
      <c r="A640" s="1" t="s">
        <v>5321</v>
      </c>
      <c r="B640" s="1" t="s">
        <v>1401</v>
      </c>
      <c r="C640" s="86">
        <v>6.5</v>
      </c>
    </row>
    <row r="641" spans="1:3" ht="14.5" customHeight="1">
      <c r="A641" s="1" t="s">
        <v>5322</v>
      </c>
      <c r="B641" s="1" t="s">
        <v>1403</v>
      </c>
      <c r="C641" s="86">
        <v>121</v>
      </c>
    </row>
    <row r="642" spans="1:3" ht="14.5" customHeight="1">
      <c r="A642" s="1" t="s">
        <v>5323</v>
      </c>
      <c r="B642" s="1" t="s">
        <v>1406</v>
      </c>
      <c r="C642" s="86">
        <v>41.35</v>
      </c>
    </row>
    <row r="643" spans="1:3" ht="14.5" customHeight="1">
      <c r="A643" s="1" t="s">
        <v>5324</v>
      </c>
      <c r="B643" s="1" t="s">
        <v>1412</v>
      </c>
      <c r="C643" s="86">
        <v>14.2</v>
      </c>
    </row>
    <row r="644" spans="1:3" ht="14.5" customHeight="1">
      <c r="A644" s="1" t="s">
        <v>5325</v>
      </c>
      <c r="B644" s="1" t="s">
        <v>1424</v>
      </c>
      <c r="C644" s="86">
        <v>28.4</v>
      </c>
    </row>
    <row r="645" spans="1:3" ht="14.5" customHeight="1">
      <c r="A645" s="1" t="s">
        <v>5326</v>
      </c>
      <c r="B645" s="1" t="s">
        <v>1442</v>
      </c>
      <c r="C645" s="86">
        <v>90.6</v>
      </c>
    </row>
    <row r="646" spans="1:3" ht="14.5" customHeight="1">
      <c r="A646" s="1" t="s">
        <v>5327</v>
      </c>
      <c r="B646" s="1" t="s">
        <v>1444</v>
      </c>
      <c r="C646" s="86">
        <v>37</v>
      </c>
    </row>
    <row r="647" spans="1:3" ht="14.5" customHeight="1">
      <c r="A647" s="1" t="s">
        <v>5328</v>
      </c>
      <c r="B647" s="1" t="s">
        <v>1470</v>
      </c>
      <c r="C647" s="86">
        <v>8.75</v>
      </c>
    </row>
    <row r="648" spans="1:3" ht="14.5" customHeight="1">
      <c r="A648" s="1" t="s">
        <v>5329</v>
      </c>
      <c r="B648" s="1" t="s">
        <v>1516</v>
      </c>
      <c r="C648" s="86">
        <v>8.09</v>
      </c>
    </row>
    <row r="649" spans="1:3" ht="14.5" customHeight="1">
      <c r="A649" s="1" t="s">
        <v>5330</v>
      </c>
      <c r="B649" s="1" t="s">
        <v>1520</v>
      </c>
      <c r="C649" s="86">
        <v>15.15</v>
      </c>
    </row>
    <row r="650" spans="1:3" ht="14.5" customHeight="1">
      <c r="A650" s="1" t="s">
        <v>5331</v>
      </c>
      <c r="B650" s="1" t="s">
        <v>1542</v>
      </c>
      <c r="C650" s="86">
        <v>7.08</v>
      </c>
    </row>
    <row r="651" spans="1:3" ht="14.5" customHeight="1">
      <c r="A651" s="1" t="s">
        <v>5332</v>
      </c>
      <c r="B651" s="1" t="s">
        <v>1548</v>
      </c>
      <c r="C651" s="86">
        <v>13.6</v>
      </c>
    </row>
    <row r="652" spans="1:3" ht="14.5" customHeight="1">
      <c r="A652" s="1" t="s">
        <v>5333</v>
      </c>
      <c r="B652" s="1" t="s">
        <v>1552</v>
      </c>
      <c r="C652" s="86">
        <v>120</v>
      </c>
    </row>
    <row r="653" spans="1:3" ht="14.5" customHeight="1">
      <c r="A653" s="1" t="s">
        <v>5334</v>
      </c>
      <c r="B653" s="1" t="s">
        <v>1578</v>
      </c>
      <c r="C653" s="86">
        <v>31.55</v>
      </c>
    </row>
    <row r="654" spans="1:3" ht="14.5" customHeight="1">
      <c r="A654" s="1" t="s">
        <v>5335</v>
      </c>
      <c r="B654" s="1" t="s">
        <v>1592</v>
      </c>
      <c r="C654" s="86">
        <v>8.2799999999999994</v>
      </c>
    </row>
    <row r="655" spans="1:3" ht="14.5" customHeight="1">
      <c r="A655" s="1" t="s">
        <v>5336</v>
      </c>
      <c r="B655" s="1" t="s">
        <v>1612</v>
      </c>
      <c r="C655" s="86">
        <v>117</v>
      </c>
    </row>
    <row r="656" spans="1:3" ht="14.5" customHeight="1">
      <c r="A656" s="1" t="s">
        <v>5337</v>
      </c>
      <c r="B656" s="1" t="s">
        <v>1626</v>
      </c>
      <c r="C656" s="86">
        <v>15</v>
      </c>
    </row>
    <row r="657" spans="1:3" ht="14.5" customHeight="1">
      <c r="A657" s="1" t="s">
        <v>5338</v>
      </c>
      <c r="B657" s="1" t="s">
        <v>1638</v>
      </c>
      <c r="C657" s="86">
        <v>28.45</v>
      </c>
    </row>
    <row r="658" spans="1:3" ht="14.5" customHeight="1">
      <c r="A658" s="1" t="s">
        <v>5339</v>
      </c>
      <c r="B658" s="1" t="s">
        <v>1642</v>
      </c>
      <c r="C658" s="86">
        <v>7.6</v>
      </c>
    </row>
    <row r="659" spans="1:3" ht="14.5" customHeight="1">
      <c r="A659" s="1" t="s">
        <v>5340</v>
      </c>
      <c r="B659" s="1" t="s">
        <v>1650</v>
      </c>
      <c r="C659" s="86">
        <v>113</v>
      </c>
    </row>
    <row r="660" spans="1:3" ht="14.5" customHeight="1">
      <c r="A660" s="1" t="s">
        <v>5341</v>
      </c>
      <c r="B660" s="1" t="s">
        <v>1654</v>
      </c>
      <c r="C660" s="86">
        <v>23.9</v>
      </c>
    </row>
    <row r="661" spans="1:3" ht="14.5" customHeight="1">
      <c r="A661" s="1" t="s">
        <v>5342</v>
      </c>
      <c r="B661" s="1" t="s">
        <v>1696</v>
      </c>
      <c r="C661" s="86">
        <v>90.7</v>
      </c>
    </row>
    <row r="662" spans="1:3" ht="14.5" customHeight="1">
      <c r="A662" s="1" t="s">
        <v>5343</v>
      </c>
      <c r="B662" s="1" t="s">
        <v>1708</v>
      </c>
      <c r="C662" s="86">
        <v>118</v>
      </c>
    </row>
    <row r="663" spans="1:3" ht="14.5" customHeight="1">
      <c r="A663" s="1" t="s">
        <v>5344</v>
      </c>
      <c r="B663" s="1" t="s">
        <v>1736</v>
      </c>
      <c r="C663" s="86">
        <v>57</v>
      </c>
    </row>
    <row r="664" spans="1:3" ht="14.5" customHeight="1">
      <c r="A664" s="1" t="s">
        <v>5345</v>
      </c>
      <c r="B664" s="1" t="s">
        <v>1738</v>
      </c>
      <c r="C664" s="86">
        <v>14.15</v>
      </c>
    </row>
    <row r="665" spans="1:3" ht="14.5" customHeight="1">
      <c r="A665" s="1" t="s">
        <v>5346</v>
      </c>
      <c r="B665" s="1" t="s">
        <v>1758</v>
      </c>
      <c r="C665" s="86">
        <v>18.7</v>
      </c>
    </row>
    <row r="666" spans="1:3" ht="14.5" customHeight="1">
      <c r="A666" s="1" t="s">
        <v>5347</v>
      </c>
      <c r="B666" s="1" t="s">
        <v>552</v>
      </c>
      <c r="C666" s="86">
        <v>24.65</v>
      </c>
    </row>
    <row r="667" spans="1:3" ht="14.5" customHeight="1">
      <c r="A667" s="1" t="s">
        <v>5348</v>
      </c>
      <c r="B667" s="1" t="s">
        <v>572</v>
      </c>
      <c r="C667" s="86">
        <v>13.3</v>
      </c>
    </row>
    <row r="668" spans="1:3" ht="14.5" customHeight="1">
      <c r="A668" s="1" t="s">
        <v>5349</v>
      </c>
      <c r="B668" s="1" t="s">
        <v>584</v>
      </c>
      <c r="C668" s="86">
        <v>168</v>
      </c>
    </row>
    <row r="669" spans="1:3" ht="14.5" customHeight="1">
      <c r="A669" s="1" t="s">
        <v>5350</v>
      </c>
      <c r="B669" s="1" t="s">
        <v>675</v>
      </c>
      <c r="C669" s="86">
        <v>110</v>
      </c>
    </row>
    <row r="670" spans="1:3" ht="14.5" customHeight="1">
      <c r="A670" s="1" t="s">
        <v>5351</v>
      </c>
      <c r="B670" s="1" t="s">
        <v>685</v>
      </c>
      <c r="C670" s="86">
        <v>28</v>
      </c>
    </row>
    <row r="671" spans="1:3" ht="14.5" customHeight="1">
      <c r="A671" s="1" t="s">
        <v>5352</v>
      </c>
      <c r="B671" s="1" t="s">
        <v>717</v>
      </c>
      <c r="C671" s="86">
        <v>167.5</v>
      </c>
    </row>
    <row r="672" spans="1:3" ht="14.5" customHeight="1">
      <c r="A672" s="1" t="s">
        <v>5353</v>
      </c>
      <c r="B672" s="1" t="s">
        <v>727</v>
      </c>
      <c r="C672" s="86">
        <v>22.35</v>
      </c>
    </row>
    <row r="673" spans="1:3" ht="14.5" customHeight="1">
      <c r="A673" s="1" t="s">
        <v>5354</v>
      </c>
      <c r="B673" s="1" t="s">
        <v>733</v>
      </c>
      <c r="C673" s="86">
        <v>32.1</v>
      </c>
    </row>
    <row r="674" spans="1:3" ht="14.5" customHeight="1">
      <c r="A674" s="1" t="s">
        <v>5355</v>
      </c>
      <c r="B674" s="1" t="s">
        <v>741</v>
      </c>
      <c r="C674" s="86">
        <v>118</v>
      </c>
    </row>
    <row r="675" spans="1:3" ht="14.5" customHeight="1">
      <c r="A675" s="1" t="s">
        <v>5356</v>
      </c>
      <c r="B675" s="1" t="s">
        <v>789</v>
      </c>
      <c r="C675" s="86">
        <v>20.399999999999999</v>
      </c>
    </row>
    <row r="676" spans="1:3" ht="14.5" customHeight="1">
      <c r="A676" s="1" t="s">
        <v>5357</v>
      </c>
      <c r="B676" s="1" t="s">
        <v>809</v>
      </c>
      <c r="C676" s="86">
        <v>38.450000000000003</v>
      </c>
    </row>
    <row r="677" spans="1:3" ht="14.5" customHeight="1">
      <c r="A677" s="1" t="s">
        <v>5358</v>
      </c>
      <c r="B677" s="1" t="s">
        <v>1071</v>
      </c>
      <c r="C677" s="86">
        <v>22.8</v>
      </c>
    </row>
    <row r="678" spans="1:3" ht="14.5" customHeight="1">
      <c r="A678" s="1" t="s">
        <v>5359</v>
      </c>
      <c r="B678" s="1" t="s">
        <v>1075</v>
      </c>
      <c r="C678" s="86">
        <v>8.49</v>
      </c>
    </row>
    <row r="679" spans="1:3" ht="14.5" customHeight="1">
      <c r="A679" s="1" t="s">
        <v>5360</v>
      </c>
      <c r="B679" s="1" t="s">
        <v>1109</v>
      </c>
      <c r="C679" s="86">
        <v>112</v>
      </c>
    </row>
    <row r="680" spans="1:3" ht="14.5" customHeight="1">
      <c r="A680" s="1" t="s">
        <v>5361</v>
      </c>
      <c r="B680" s="1" t="s">
        <v>1113</v>
      </c>
      <c r="C680" s="86">
        <v>10.7</v>
      </c>
    </row>
    <row r="681" spans="1:3" ht="14.5" customHeight="1">
      <c r="A681" s="1" t="s">
        <v>5362</v>
      </c>
      <c r="B681" s="1" t="s">
        <v>1139</v>
      </c>
      <c r="C681" s="86">
        <v>18.3</v>
      </c>
    </row>
    <row r="682" spans="1:3" ht="14.5" customHeight="1">
      <c r="A682" s="1" t="s">
        <v>5363</v>
      </c>
      <c r="B682" s="1" t="s">
        <v>1168</v>
      </c>
      <c r="C682" s="86">
        <v>26.3</v>
      </c>
    </row>
    <row r="683" spans="1:3" ht="14.5" customHeight="1">
      <c r="A683" s="1" t="s">
        <v>5364</v>
      </c>
      <c r="B683" s="1" t="s">
        <v>1182</v>
      </c>
      <c r="C683" s="86">
        <v>23.55</v>
      </c>
    </row>
    <row r="684" spans="1:3" ht="14.5" customHeight="1">
      <c r="A684" s="1" t="s">
        <v>5365</v>
      </c>
      <c r="B684" s="1" t="s">
        <v>1192</v>
      </c>
      <c r="C684" s="86">
        <v>17.95</v>
      </c>
    </row>
    <row r="685" spans="1:3" ht="14.5" customHeight="1">
      <c r="A685" s="1" t="s">
        <v>5366</v>
      </c>
      <c r="B685" s="1" t="s">
        <v>1245</v>
      </c>
      <c r="C685" s="86">
        <v>94.1</v>
      </c>
    </row>
    <row r="686" spans="1:3" ht="14.5" customHeight="1">
      <c r="A686" s="1" t="s">
        <v>5367</v>
      </c>
      <c r="B686" s="1" t="s">
        <v>1268</v>
      </c>
      <c r="C686" s="86">
        <v>7.53</v>
      </c>
    </row>
    <row r="687" spans="1:3" ht="14.5" customHeight="1">
      <c r="A687" s="1" t="s">
        <v>5368</v>
      </c>
      <c r="B687" s="1" t="s">
        <v>9</v>
      </c>
      <c r="C687" s="86">
        <v>17.850000000000001</v>
      </c>
    </row>
    <row r="688" spans="1:3" ht="14.5" customHeight="1">
      <c r="A688" s="1" t="s">
        <v>5369</v>
      </c>
      <c r="B688" s="1" t="s">
        <v>1281</v>
      </c>
      <c r="C688" s="86">
        <v>20.2</v>
      </c>
    </row>
    <row r="689" spans="1:3" ht="14.5" customHeight="1">
      <c r="A689" s="1" t="s">
        <v>5370</v>
      </c>
      <c r="B689" s="1" t="s">
        <v>1385</v>
      </c>
      <c r="C689" s="86">
        <v>72.099999999999994</v>
      </c>
    </row>
    <row r="690" spans="1:3" ht="14.5" customHeight="1">
      <c r="A690" s="1" t="s">
        <v>5371</v>
      </c>
      <c r="B690" s="1" t="s">
        <v>1387</v>
      </c>
      <c r="C690" s="86">
        <v>25.8</v>
      </c>
    </row>
    <row r="691" spans="1:3" ht="14.5" customHeight="1">
      <c r="A691" s="1" t="s">
        <v>5372</v>
      </c>
      <c r="B691" s="1" t="s">
        <v>1426</v>
      </c>
      <c r="C691" s="86">
        <v>101.5</v>
      </c>
    </row>
    <row r="692" spans="1:3" ht="14.5" customHeight="1">
      <c r="A692" s="1" t="s">
        <v>5373</v>
      </c>
      <c r="B692" s="1" t="s">
        <v>1462</v>
      </c>
      <c r="C692" s="86">
        <v>77.7</v>
      </c>
    </row>
    <row r="693" spans="1:3" ht="14.5" customHeight="1">
      <c r="A693" s="1" t="s">
        <v>5374</v>
      </c>
      <c r="B693" s="1" t="s">
        <v>1528</v>
      </c>
      <c r="C693" s="86">
        <v>20</v>
      </c>
    </row>
    <row r="694" spans="1:3" ht="14.5" customHeight="1">
      <c r="A694" s="1" t="s">
        <v>5375</v>
      </c>
      <c r="B694" s="1" t="s">
        <v>1534</v>
      </c>
      <c r="C694" s="86">
        <v>7.73</v>
      </c>
    </row>
    <row r="695" spans="1:3" ht="14.5" customHeight="1">
      <c r="A695" s="1" t="s">
        <v>5376</v>
      </c>
      <c r="B695" s="1" t="s">
        <v>1536</v>
      </c>
      <c r="C695" s="86">
        <v>7.56</v>
      </c>
    </row>
    <row r="696" spans="1:3" ht="14.5" customHeight="1">
      <c r="A696" s="1" t="s">
        <v>5377</v>
      </c>
      <c r="B696" s="1" t="s">
        <v>1586</v>
      </c>
      <c r="C696" s="86">
        <v>28</v>
      </c>
    </row>
    <row r="697" spans="1:3" ht="14.5" customHeight="1">
      <c r="A697" s="1" t="s">
        <v>5378</v>
      </c>
      <c r="B697" s="1" t="s">
        <v>1620</v>
      </c>
      <c r="C697" s="86">
        <v>75.5</v>
      </c>
    </row>
    <row r="698" spans="1:3" ht="14.5" customHeight="1">
      <c r="A698" s="1" t="s">
        <v>5379</v>
      </c>
      <c r="B698" s="1" t="s">
        <v>1636</v>
      </c>
      <c r="C698" s="86">
        <v>96.1</v>
      </c>
    </row>
    <row r="699" spans="1:3" ht="14.5" customHeight="1">
      <c r="A699" s="1" t="s">
        <v>5380</v>
      </c>
      <c r="B699" s="1" t="s">
        <v>1640</v>
      </c>
      <c r="C699" s="86">
        <v>38</v>
      </c>
    </row>
    <row r="700" spans="1:3" ht="14.5" customHeight="1">
      <c r="A700" s="1" t="s">
        <v>5381</v>
      </c>
      <c r="B700" s="1" t="s">
        <v>12</v>
      </c>
      <c r="C700" s="86">
        <v>29.1</v>
      </c>
    </row>
    <row r="701" spans="1:3" ht="14.5" customHeight="1">
      <c r="A701" s="1" t="s">
        <v>5382</v>
      </c>
      <c r="B701" s="1" t="s">
        <v>1712</v>
      </c>
      <c r="C701" s="86">
        <v>18.149999999999999</v>
      </c>
    </row>
    <row r="702" spans="1:3" ht="14.5" customHeight="1">
      <c r="A702" s="1" t="s">
        <v>5383</v>
      </c>
      <c r="B702" s="1" t="s">
        <v>1732</v>
      </c>
      <c r="C702" s="86">
        <v>6.8</v>
      </c>
    </row>
    <row r="703" spans="1:3" ht="14.5" customHeight="1">
      <c r="A703" s="1" t="s">
        <v>5384</v>
      </c>
      <c r="B703" s="1" t="s">
        <v>294</v>
      </c>
      <c r="C703" s="86">
        <v>91</v>
      </c>
    </row>
    <row r="704" spans="1:3" ht="14.5" customHeight="1">
      <c r="A704" s="1" t="s">
        <v>5385</v>
      </c>
      <c r="B704" s="1" t="s">
        <v>486</v>
      </c>
      <c r="C704" s="86">
        <v>362</v>
      </c>
    </row>
    <row r="705" spans="1:3" ht="14.5" customHeight="1">
      <c r="A705" s="1" t="s">
        <v>5386</v>
      </c>
      <c r="B705" s="1" t="s">
        <v>546</v>
      </c>
      <c r="C705" s="86">
        <v>151.5</v>
      </c>
    </row>
    <row r="706" spans="1:3" ht="14.5" customHeight="1">
      <c r="A706" s="1" t="s">
        <v>5387</v>
      </c>
      <c r="B706" s="1" t="s">
        <v>550</v>
      </c>
      <c r="C706" s="86">
        <v>45.1</v>
      </c>
    </row>
    <row r="707" spans="1:3" ht="14.5" customHeight="1">
      <c r="A707" s="1" t="s">
        <v>5388</v>
      </c>
      <c r="B707" s="1" t="s">
        <v>554</v>
      </c>
      <c r="C707" s="86">
        <v>35.049999999999997</v>
      </c>
    </row>
    <row r="708" spans="1:3" ht="14.5" customHeight="1">
      <c r="A708" s="1" t="s">
        <v>5389</v>
      </c>
      <c r="B708" s="1" t="s">
        <v>562</v>
      </c>
      <c r="C708" s="86">
        <v>437</v>
      </c>
    </row>
    <row r="709" spans="1:3" ht="14.5" customHeight="1">
      <c r="A709" s="1" t="s">
        <v>5390</v>
      </c>
      <c r="B709" s="1" t="s">
        <v>564</v>
      </c>
      <c r="C709" s="86">
        <v>23.3</v>
      </c>
    </row>
    <row r="710" spans="1:3" ht="14.5" customHeight="1">
      <c r="A710" s="1" t="s">
        <v>5391</v>
      </c>
      <c r="B710" s="1" t="s">
        <v>600</v>
      </c>
      <c r="C710" s="86">
        <v>31.95</v>
      </c>
    </row>
    <row r="711" spans="1:3" ht="14.5" customHeight="1">
      <c r="A711" s="1" t="s">
        <v>5392</v>
      </c>
      <c r="B711" s="1" t="s">
        <v>619</v>
      </c>
      <c r="C711" s="86">
        <v>33.65</v>
      </c>
    </row>
    <row r="712" spans="1:3" ht="14.5" customHeight="1">
      <c r="A712" s="1" t="s">
        <v>5393</v>
      </c>
      <c r="B712" s="1" t="s">
        <v>621</v>
      </c>
      <c r="C712" s="86">
        <v>16.649999999999999</v>
      </c>
    </row>
    <row r="713" spans="1:3" ht="14.5" customHeight="1">
      <c r="A713" s="1" t="s">
        <v>5394</v>
      </c>
      <c r="B713" s="1" t="s">
        <v>631</v>
      </c>
      <c r="C713" s="86">
        <v>45.2</v>
      </c>
    </row>
    <row r="714" spans="1:3" ht="14.5" customHeight="1">
      <c r="A714" s="1" t="s">
        <v>5395</v>
      </c>
      <c r="B714" s="1" t="s">
        <v>641</v>
      </c>
      <c r="C714" s="86">
        <v>137</v>
      </c>
    </row>
    <row r="715" spans="1:3" ht="14.5" customHeight="1">
      <c r="A715" s="1" t="s">
        <v>5396</v>
      </c>
      <c r="B715" s="1" t="s">
        <v>643</v>
      </c>
      <c r="C715" s="86">
        <v>89</v>
      </c>
    </row>
    <row r="716" spans="1:3" ht="14.5" customHeight="1">
      <c r="A716" s="1" t="s">
        <v>5397</v>
      </c>
      <c r="B716" s="1" t="s">
        <v>651</v>
      </c>
      <c r="C716" s="86">
        <v>45.8</v>
      </c>
    </row>
    <row r="717" spans="1:3" ht="14.5" customHeight="1">
      <c r="A717" s="1" t="s">
        <v>5398</v>
      </c>
      <c r="B717" s="1" t="s">
        <v>663</v>
      </c>
      <c r="C717" s="86">
        <v>16.55</v>
      </c>
    </row>
    <row r="718" spans="1:3" ht="14.5" customHeight="1">
      <c r="A718" s="1" t="s">
        <v>5399</v>
      </c>
      <c r="B718" s="1" t="s">
        <v>677</v>
      </c>
      <c r="C718" s="86">
        <v>17.149999999999999</v>
      </c>
    </row>
    <row r="719" spans="1:3" ht="14.5" customHeight="1">
      <c r="A719" s="1" t="s">
        <v>5400</v>
      </c>
      <c r="B719" s="1" t="s">
        <v>681</v>
      </c>
      <c r="C719" s="86">
        <v>18.8</v>
      </c>
    </row>
    <row r="720" spans="1:3" ht="14.5" customHeight="1">
      <c r="A720" s="1" t="s">
        <v>5401</v>
      </c>
      <c r="B720" s="1" t="s">
        <v>687</v>
      </c>
      <c r="C720" s="86">
        <v>35.950000000000003</v>
      </c>
    </row>
    <row r="721" spans="1:3" ht="14.5" customHeight="1">
      <c r="A721" s="1" t="s">
        <v>5402</v>
      </c>
      <c r="B721" s="1" t="s">
        <v>689</v>
      </c>
      <c r="C721" s="86">
        <v>47.35</v>
      </c>
    </row>
    <row r="722" spans="1:3" ht="14.5" customHeight="1">
      <c r="A722" s="1" t="s">
        <v>5403</v>
      </c>
      <c r="B722" s="1" t="s">
        <v>701</v>
      </c>
      <c r="C722" s="86">
        <v>97.3</v>
      </c>
    </row>
    <row r="723" spans="1:3" ht="14.5" customHeight="1">
      <c r="A723" s="1" t="s">
        <v>5404</v>
      </c>
      <c r="B723" s="1" t="s">
        <v>707</v>
      </c>
      <c r="C723" s="86">
        <v>11.4</v>
      </c>
    </row>
    <row r="724" spans="1:3" ht="14.5" customHeight="1">
      <c r="A724" s="1" t="s">
        <v>5405</v>
      </c>
      <c r="B724" s="1" t="s">
        <v>719</v>
      </c>
      <c r="C724" s="86">
        <v>9.5</v>
      </c>
    </row>
    <row r="725" spans="1:3" ht="14.5" customHeight="1">
      <c r="A725" s="1" t="s">
        <v>5406</v>
      </c>
      <c r="B725" s="1" t="s">
        <v>743</v>
      </c>
      <c r="C725" s="86">
        <v>128</v>
      </c>
    </row>
    <row r="726" spans="1:3" ht="14.5" customHeight="1">
      <c r="A726" s="1" t="s">
        <v>5407</v>
      </c>
      <c r="B726" s="1" t="s">
        <v>745</v>
      </c>
      <c r="C726" s="86">
        <v>10.199999999999999</v>
      </c>
    </row>
    <row r="727" spans="1:3" ht="14.5" customHeight="1">
      <c r="A727" s="1" t="s">
        <v>5408</v>
      </c>
      <c r="B727" s="1" t="s">
        <v>751</v>
      </c>
      <c r="C727" s="86">
        <v>9.9</v>
      </c>
    </row>
    <row r="728" spans="1:3" ht="14.5" customHeight="1">
      <c r="A728" s="1" t="s">
        <v>5409</v>
      </c>
      <c r="B728" s="1" t="s">
        <v>755</v>
      </c>
      <c r="C728" s="86">
        <v>29.1</v>
      </c>
    </row>
    <row r="729" spans="1:3" ht="14.5" customHeight="1">
      <c r="A729" s="1" t="s">
        <v>5410</v>
      </c>
      <c r="B729" s="1" t="s">
        <v>763</v>
      </c>
      <c r="C729" s="86">
        <v>26.7</v>
      </c>
    </row>
    <row r="730" spans="1:3" ht="14.5" customHeight="1">
      <c r="A730" s="1" t="s">
        <v>5411</v>
      </c>
      <c r="B730" s="1" t="s">
        <v>769</v>
      </c>
      <c r="C730" s="86">
        <v>43.95</v>
      </c>
    </row>
    <row r="731" spans="1:3" ht="14.5" customHeight="1">
      <c r="A731" s="1" t="s">
        <v>5412</v>
      </c>
      <c r="B731" s="1" t="s">
        <v>773</v>
      </c>
      <c r="C731" s="86">
        <v>23.65</v>
      </c>
    </row>
    <row r="732" spans="1:3" ht="14.5" customHeight="1">
      <c r="A732" s="1" t="s">
        <v>5413</v>
      </c>
      <c r="B732" s="1" t="s">
        <v>777</v>
      </c>
      <c r="C732" s="86">
        <v>53</v>
      </c>
    </row>
    <row r="733" spans="1:3" ht="14.5" customHeight="1">
      <c r="A733" s="1" t="s">
        <v>5414</v>
      </c>
      <c r="B733" s="1" t="s">
        <v>785</v>
      </c>
      <c r="C733" s="86">
        <v>20.55</v>
      </c>
    </row>
    <row r="734" spans="1:3" ht="14.5" customHeight="1">
      <c r="A734" s="1" t="s">
        <v>5415</v>
      </c>
      <c r="B734" s="1" t="s">
        <v>787</v>
      </c>
      <c r="C734" s="86">
        <v>21.2</v>
      </c>
    </row>
    <row r="735" spans="1:3" ht="14.5" customHeight="1">
      <c r="A735" s="1" t="s">
        <v>5416</v>
      </c>
      <c r="B735" s="1" t="s">
        <v>799</v>
      </c>
      <c r="C735" s="86">
        <v>239</v>
      </c>
    </row>
    <row r="736" spans="1:3" ht="14.5" customHeight="1">
      <c r="A736" s="1" t="s">
        <v>5417</v>
      </c>
      <c r="B736" s="1" t="s">
        <v>801</v>
      </c>
      <c r="C736" s="86">
        <v>27.75</v>
      </c>
    </row>
    <row r="737" spans="1:3" ht="14.5" customHeight="1">
      <c r="A737" s="1" t="s">
        <v>5418</v>
      </c>
      <c r="B737" s="1" t="s">
        <v>1035</v>
      </c>
      <c r="C737" s="86">
        <v>49.5</v>
      </c>
    </row>
    <row r="738" spans="1:3" ht="14.5" customHeight="1">
      <c r="A738" s="1" t="s">
        <v>5419</v>
      </c>
      <c r="B738" s="1" t="s">
        <v>1047</v>
      </c>
      <c r="C738" s="86">
        <v>6.6</v>
      </c>
    </row>
    <row r="739" spans="1:3" ht="14.5" customHeight="1">
      <c r="A739" s="1" t="s">
        <v>5420</v>
      </c>
      <c r="B739" s="1" t="s">
        <v>1053</v>
      </c>
      <c r="C739" s="86">
        <v>22</v>
      </c>
    </row>
    <row r="740" spans="1:3" ht="14.5" customHeight="1">
      <c r="A740" s="1" t="s">
        <v>5421</v>
      </c>
      <c r="B740" s="1" t="s">
        <v>1063</v>
      </c>
      <c r="C740" s="86">
        <v>15.75</v>
      </c>
    </row>
    <row r="741" spans="1:3" ht="14.5" customHeight="1">
      <c r="A741" s="1" t="s">
        <v>5422</v>
      </c>
      <c r="B741" s="1" t="s">
        <v>1067</v>
      </c>
      <c r="C741" s="86">
        <v>124</v>
      </c>
    </row>
    <row r="742" spans="1:3" ht="14.5" customHeight="1">
      <c r="A742" s="1" t="s">
        <v>5423</v>
      </c>
      <c r="B742" s="1" t="s">
        <v>1073</v>
      </c>
      <c r="C742" s="86">
        <v>116</v>
      </c>
    </row>
    <row r="743" spans="1:3" ht="14.5" customHeight="1">
      <c r="A743" s="1" t="s">
        <v>5424</v>
      </c>
      <c r="B743" s="1" t="s">
        <v>1085</v>
      </c>
      <c r="C743" s="86">
        <v>28.25</v>
      </c>
    </row>
    <row r="744" spans="1:3" ht="14.5" customHeight="1">
      <c r="A744" s="1" t="s">
        <v>5425</v>
      </c>
      <c r="B744" s="1" t="s">
        <v>1095</v>
      </c>
      <c r="C744" s="86">
        <v>42</v>
      </c>
    </row>
    <row r="745" spans="1:3" ht="14.5" customHeight="1">
      <c r="A745" s="1" t="s">
        <v>5426</v>
      </c>
      <c r="B745" s="1" t="s">
        <v>1103</v>
      </c>
      <c r="C745" s="86">
        <v>47.3</v>
      </c>
    </row>
    <row r="746" spans="1:3" ht="14.5" customHeight="1">
      <c r="A746" s="1" t="s">
        <v>5427</v>
      </c>
      <c r="B746" s="1" t="s">
        <v>1107</v>
      </c>
      <c r="C746" s="86">
        <v>125.5</v>
      </c>
    </row>
    <row r="747" spans="1:3" ht="14.5" customHeight="1">
      <c r="A747" s="1" t="s">
        <v>5428</v>
      </c>
      <c r="B747" s="1" t="s">
        <v>1133</v>
      </c>
      <c r="C747" s="86">
        <v>7.15</v>
      </c>
    </row>
    <row r="748" spans="1:3" ht="14.5" customHeight="1">
      <c r="A748" s="1" t="s">
        <v>5429</v>
      </c>
      <c r="B748" s="1" t="s">
        <v>1141</v>
      </c>
      <c r="C748" s="86">
        <v>53.1</v>
      </c>
    </row>
    <row r="749" spans="1:3" ht="14.5" customHeight="1">
      <c r="A749" s="1" t="s">
        <v>5430</v>
      </c>
      <c r="B749" s="1" t="s">
        <v>1156</v>
      </c>
      <c r="C749" s="86">
        <v>12.65</v>
      </c>
    </row>
    <row r="750" spans="1:3" ht="14.5" customHeight="1">
      <c r="A750" s="1" t="s">
        <v>5431</v>
      </c>
      <c r="B750" s="1" t="s">
        <v>1163</v>
      </c>
      <c r="C750" s="86">
        <v>14.75</v>
      </c>
    </row>
    <row r="751" spans="1:3" ht="14.5" customHeight="1">
      <c r="A751" s="1" t="s">
        <v>5432</v>
      </c>
      <c r="B751" s="1" t="s">
        <v>1167</v>
      </c>
      <c r="C751" s="86">
        <v>5.91</v>
      </c>
    </row>
    <row r="752" spans="1:3" ht="14.5" customHeight="1">
      <c r="A752" s="1" t="s">
        <v>5433</v>
      </c>
      <c r="B752" s="1" t="s">
        <v>1172</v>
      </c>
      <c r="C752" s="86">
        <v>16.05</v>
      </c>
    </row>
    <row r="753" spans="1:3" ht="14.5" customHeight="1">
      <c r="A753" s="1" t="s">
        <v>5434</v>
      </c>
      <c r="B753" s="1" t="s">
        <v>1174</v>
      </c>
      <c r="C753" s="86">
        <v>94.7</v>
      </c>
    </row>
    <row r="754" spans="1:3" ht="14.5" customHeight="1">
      <c r="A754" s="1" t="s">
        <v>5435</v>
      </c>
      <c r="B754" s="1" t="s">
        <v>1180</v>
      </c>
      <c r="C754" s="86">
        <v>129</v>
      </c>
    </row>
    <row r="755" spans="1:3" ht="14.5" customHeight="1">
      <c r="A755" s="1" t="s">
        <v>5436</v>
      </c>
      <c r="B755" s="1" t="s">
        <v>1194</v>
      </c>
      <c r="C755" s="86">
        <v>13.4</v>
      </c>
    </row>
    <row r="756" spans="1:3" ht="14.5" customHeight="1">
      <c r="A756" s="1" t="s">
        <v>5437</v>
      </c>
      <c r="B756" s="1" t="s">
        <v>1208</v>
      </c>
      <c r="C756" s="86">
        <v>50.4</v>
      </c>
    </row>
    <row r="757" spans="1:3" ht="14.5" customHeight="1">
      <c r="A757" s="1" t="s">
        <v>5438</v>
      </c>
      <c r="B757" s="1" t="s">
        <v>1221</v>
      </c>
      <c r="C757" s="86">
        <v>322.5</v>
      </c>
    </row>
    <row r="758" spans="1:3" ht="14.5" customHeight="1">
      <c r="A758" s="1" t="s">
        <v>5439</v>
      </c>
      <c r="B758" s="1" t="s">
        <v>1229</v>
      </c>
      <c r="C758" s="86">
        <v>14.55</v>
      </c>
    </row>
    <row r="759" spans="1:3" ht="14.5" customHeight="1">
      <c r="A759" s="1" t="s">
        <v>5440</v>
      </c>
      <c r="B759" s="1" t="s">
        <v>1243</v>
      </c>
      <c r="C759" s="86">
        <v>8.68</v>
      </c>
    </row>
    <row r="760" spans="1:3" ht="14.5" customHeight="1">
      <c r="A760" s="1" t="s">
        <v>5441</v>
      </c>
      <c r="B760" s="1" t="s">
        <v>1247</v>
      </c>
      <c r="C760" s="86">
        <v>31</v>
      </c>
    </row>
    <row r="761" spans="1:3" ht="14.5" customHeight="1">
      <c r="A761" s="1" t="s">
        <v>5442</v>
      </c>
      <c r="B761" s="1" t="s">
        <v>1249</v>
      </c>
      <c r="C761" s="86">
        <v>16.899999999999999</v>
      </c>
    </row>
    <row r="762" spans="1:3" ht="14.5" customHeight="1">
      <c r="A762" s="1" t="s">
        <v>5443</v>
      </c>
      <c r="B762" s="1" t="s">
        <v>1255</v>
      </c>
      <c r="C762" s="86">
        <v>53</v>
      </c>
    </row>
    <row r="763" spans="1:3" ht="14.5" customHeight="1">
      <c r="A763" s="1" t="s">
        <v>5444</v>
      </c>
      <c r="B763" s="1" t="s">
        <v>1257</v>
      </c>
      <c r="C763" s="86">
        <v>234.5</v>
      </c>
    </row>
    <row r="764" spans="1:3" ht="14.5" customHeight="1">
      <c r="A764" s="1" t="s">
        <v>5445</v>
      </c>
      <c r="B764" s="1" t="s">
        <v>1267</v>
      </c>
      <c r="C764" s="86">
        <v>68</v>
      </c>
    </row>
    <row r="765" spans="1:3" ht="14.5" customHeight="1">
      <c r="A765" s="1" t="s">
        <v>5446</v>
      </c>
      <c r="B765" s="1" t="s">
        <v>1337</v>
      </c>
      <c r="C765" s="86">
        <v>25.3</v>
      </c>
    </row>
    <row r="766" spans="1:3" ht="14.5" customHeight="1">
      <c r="A766" s="1" t="s">
        <v>5447</v>
      </c>
      <c r="B766" s="1" t="s">
        <v>1389</v>
      </c>
      <c r="C766" s="86">
        <v>109</v>
      </c>
    </row>
    <row r="767" spans="1:3" ht="14.5" customHeight="1">
      <c r="A767" s="1" t="s">
        <v>5448</v>
      </c>
      <c r="B767" s="1" t="s">
        <v>1391</v>
      </c>
      <c r="C767" s="86">
        <v>63.4</v>
      </c>
    </row>
    <row r="768" spans="1:3" ht="14.5" customHeight="1">
      <c r="A768" s="1" t="s">
        <v>5449</v>
      </c>
      <c r="B768" s="1" t="s">
        <v>1397</v>
      </c>
      <c r="C768" s="86">
        <v>46</v>
      </c>
    </row>
    <row r="769" spans="1:3" ht="14.5" customHeight="1">
      <c r="A769" s="1" t="s">
        <v>5450</v>
      </c>
      <c r="B769" s="1" t="s">
        <v>1408</v>
      </c>
      <c r="C769" s="86">
        <v>175.5</v>
      </c>
    </row>
    <row r="770" spans="1:3" ht="14.5" customHeight="1">
      <c r="A770" s="1" t="s">
        <v>5451</v>
      </c>
      <c r="B770" s="1" t="s">
        <v>1414</v>
      </c>
      <c r="C770" s="86">
        <v>143</v>
      </c>
    </row>
    <row r="771" spans="1:3" ht="14.5" customHeight="1">
      <c r="A771" s="1" t="s">
        <v>5452</v>
      </c>
      <c r="B771" s="1" t="s">
        <v>1428</v>
      </c>
      <c r="C771" s="86">
        <v>24.35</v>
      </c>
    </row>
    <row r="772" spans="1:3" ht="14.5" customHeight="1">
      <c r="A772" s="1" t="s">
        <v>5453</v>
      </c>
      <c r="B772" s="1" t="s">
        <v>1432</v>
      </c>
      <c r="C772" s="86">
        <v>43.6</v>
      </c>
    </row>
    <row r="773" spans="1:3" ht="14.5" customHeight="1">
      <c r="A773" s="1" t="s">
        <v>5454</v>
      </c>
      <c r="B773" s="1" t="s">
        <v>1466</v>
      </c>
      <c r="C773" s="86">
        <v>43.9</v>
      </c>
    </row>
    <row r="774" spans="1:3" ht="14.5" customHeight="1">
      <c r="A774" s="1" t="s">
        <v>5455</v>
      </c>
      <c r="B774" s="1" t="s">
        <v>1510</v>
      </c>
      <c r="C774" s="86">
        <v>26</v>
      </c>
    </row>
    <row r="775" spans="1:3" ht="14.5" customHeight="1">
      <c r="A775" s="1" t="s">
        <v>5456</v>
      </c>
      <c r="B775" s="1" t="s">
        <v>1514</v>
      </c>
      <c r="C775" s="86">
        <v>43.55</v>
      </c>
    </row>
    <row r="776" spans="1:3" ht="14.5" customHeight="1">
      <c r="A776" s="1" t="s">
        <v>5457</v>
      </c>
      <c r="B776" s="1" t="s">
        <v>1526</v>
      </c>
      <c r="C776" s="86">
        <v>8.2100000000000009</v>
      </c>
    </row>
    <row r="777" spans="1:3" ht="14.5" customHeight="1">
      <c r="A777" s="1" t="s">
        <v>5458</v>
      </c>
      <c r="B777" s="1" t="s">
        <v>1532</v>
      </c>
      <c r="C777" s="86">
        <v>21.75</v>
      </c>
    </row>
    <row r="778" spans="1:3" ht="14.5" customHeight="1">
      <c r="A778" s="1" t="s">
        <v>5459</v>
      </c>
      <c r="B778" s="1" t="s">
        <v>1538</v>
      </c>
      <c r="C778" s="86">
        <v>35.75</v>
      </c>
    </row>
    <row r="779" spans="1:3" ht="14.5" customHeight="1">
      <c r="A779" s="1" t="s">
        <v>5460</v>
      </c>
      <c r="B779" s="1" t="s">
        <v>1540</v>
      </c>
      <c r="C779" s="86">
        <v>29.4</v>
      </c>
    </row>
    <row r="780" spans="1:3" ht="14.5" customHeight="1">
      <c r="A780" s="1" t="s">
        <v>5461</v>
      </c>
      <c r="B780" s="1" t="s">
        <v>1544</v>
      </c>
      <c r="C780" s="86">
        <v>18</v>
      </c>
    </row>
    <row r="781" spans="1:3" ht="14.5" customHeight="1">
      <c r="A781" s="1" t="s">
        <v>5462</v>
      </c>
      <c r="B781" s="1" t="s">
        <v>1562</v>
      </c>
      <c r="C781" s="86">
        <v>17.149999999999999</v>
      </c>
    </row>
    <row r="782" spans="1:3" ht="14.5" customHeight="1">
      <c r="A782" s="1" t="s">
        <v>5463</v>
      </c>
      <c r="B782" s="1" t="s">
        <v>1568</v>
      </c>
      <c r="C782" s="86">
        <v>32.950000000000003</v>
      </c>
    </row>
    <row r="783" spans="1:3" ht="14.5" customHeight="1">
      <c r="A783" s="1" t="s">
        <v>5464</v>
      </c>
      <c r="B783" s="1" t="s">
        <v>1574</v>
      </c>
      <c r="C783" s="86">
        <v>25.8</v>
      </c>
    </row>
    <row r="784" spans="1:3" ht="14.5" customHeight="1">
      <c r="A784" s="1" t="s">
        <v>5465</v>
      </c>
      <c r="B784" s="1" t="s">
        <v>1580</v>
      </c>
      <c r="C784" s="86">
        <v>127.5</v>
      </c>
    </row>
    <row r="785" spans="1:3" ht="14.5" customHeight="1">
      <c r="A785" s="1" t="s">
        <v>5466</v>
      </c>
      <c r="B785" s="1" t="s">
        <v>1588</v>
      </c>
      <c r="C785" s="86">
        <v>66.900000000000006</v>
      </c>
    </row>
    <row r="786" spans="1:3" ht="14.5" customHeight="1">
      <c r="A786" s="1" t="s">
        <v>5467</v>
      </c>
      <c r="B786" s="1" t="s">
        <v>1602</v>
      </c>
      <c r="C786" s="86">
        <v>17.2</v>
      </c>
    </row>
    <row r="787" spans="1:3" ht="14.5" customHeight="1">
      <c r="A787" s="1" t="s">
        <v>5468</v>
      </c>
      <c r="B787" s="1" t="s">
        <v>1606</v>
      </c>
      <c r="C787" s="86">
        <v>114.5</v>
      </c>
    </row>
    <row r="788" spans="1:3" ht="14.5" customHeight="1">
      <c r="A788" s="1" t="s">
        <v>5469</v>
      </c>
      <c r="B788" s="1" t="s">
        <v>1616</v>
      </c>
      <c r="C788" s="86">
        <v>24.15</v>
      </c>
    </row>
    <row r="789" spans="1:3" ht="14.5" customHeight="1">
      <c r="A789" s="1" t="s">
        <v>5470</v>
      </c>
      <c r="B789" s="1" t="s">
        <v>1630</v>
      </c>
      <c r="C789" s="86">
        <v>62.8</v>
      </c>
    </row>
    <row r="790" spans="1:3" ht="14.5" customHeight="1">
      <c r="A790" s="1" t="s">
        <v>5471</v>
      </c>
      <c r="B790" s="1" t="s">
        <v>1644</v>
      </c>
      <c r="C790" s="86">
        <v>39.9</v>
      </c>
    </row>
    <row r="791" spans="1:3" ht="14.5" customHeight="1">
      <c r="A791" s="1" t="s">
        <v>5472</v>
      </c>
      <c r="B791" s="1" t="s">
        <v>1703</v>
      </c>
      <c r="C791" s="86">
        <v>95.1</v>
      </c>
    </row>
    <row r="792" spans="1:3" ht="14.5" customHeight="1">
      <c r="A792" s="1" t="s">
        <v>5473</v>
      </c>
      <c r="B792" s="1" t="s">
        <v>1710</v>
      </c>
      <c r="C792" s="86">
        <v>90.9</v>
      </c>
    </row>
    <row r="793" spans="1:3" ht="14.5" customHeight="1">
      <c r="A793" s="1" t="s">
        <v>5474</v>
      </c>
      <c r="B793" s="1" t="s">
        <v>1722</v>
      </c>
      <c r="C793" s="86">
        <v>48</v>
      </c>
    </row>
    <row r="794" spans="1:3" ht="14.5" customHeight="1">
      <c r="A794" s="1" t="s">
        <v>5475</v>
      </c>
      <c r="B794" s="1" t="s">
        <v>1724</v>
      </c>
      <c r="C794" s="86">
        <v>45.95</v>
      </c>
    </row>
    <row r="795" spans="1:3" ht="14.5" customHeight="1">
      <c r="A795" s="1" t="s">
        <v>5476</v>
      </c>
      <c r="B795" s="1" t="s">
        <v>1734</v>
      </c>
      <c r="C795" s="86">
        <v>27</v>
      </c>
    </row>
    <row r="796" spans="1:3" ht="14.5" customHeight="1">
      <c r="A796" s="1" t="s">
        <v>5477</v>
      </c>
      <c r="B796" s="1" t="s">
        <v>1756</v>
      </c>
      <c r="C796" s="86">
        <v>36.549999999999997</v>
      </c>
    </row>
    <row r="797" spans="1:3" ht="14.5" customHeight="1">
      <c r="A797" s="1" t="s">
        <v>5478</v>
      </c>
      <c r="B797" s="1" t="s">
        <v>1762</v>
      </c>
      <c r="C797" s="86">
        <v>23.55</v>
      </c>
    </row>
    <row r="798" spans="1:3" ht="14.5" customHeight="1">
      <c r="A798" s="1" t="s">
        <v>5479</v>
      </c>
      <c r="B798" s="1" t="s">
        <v>586</v>
      </c>
      <c r="C798" s="86">
        <v>37.5</v>
      </c>
    </row>
    <row r="799" spans="1:3" ht="14.5" customHeight="1">
      <c r="A799" s="1" t="s">
        <v>5480</v>
      </c>
      <c r="B799" s="1" t="s">
        <v>679</v>
      </c>
      <c r="C799" s="86">
        <v>23.1</v>
      </c>
    </row>
    <row r="800" spans="1:3" ht="14.5" customHeight="1">
      <c r="A800" s="1" t="s">
        <v>5481</v>
      </c>
      <c r="B800" s="1" t="s">
        <v>705</v>
      </c>
      <c r="C800" s="86">
        <v>17.149999999999999</v>
      </c>
    </row>
    <row r="801" spans="1:3" ht="14.5" customHeight="1">
      <c r="A801" s="1" t="s">
        <v>5482</v>
      </c>
      <c r="B801" s="1" t="s">
        <v>749</v>
      </c>
      <c r="C801" s="86">
        <v>43.55</v>
      </c>
    </row>
    <row r="802" spans="1:3" ht="14.5" customHeight="1">
      <c r="A802" s="1" t="s">
        <v>5483</v>
      </c>
      <c r="B802" s="1" t="s">
        <v>1045</v>
      </c>
      <c r="C802" s="86">
        <v>56.5</v>
      </c>
    </row>
    <row r="803" spans="1:3" ht="14.5" customHeight="1">
      <c r="A803" s="1" t="s">
        <v>5484</v>
      </c>
      <c r="B803" s="1" t="s">
        <v>1077</v>
      </c>
      <c r="C803" s="86">
        <v>21.1</v>
      </c>
    </row>
    <row r="804" spans="1:3" ht="14.5" customHeight="1">
      <c r="A804" s="1" t="s">
        <v>5485</v>
      </c>
      <c r="B804" s="1" t="s">
        <v>1087</v>
      </c>
      <c r="C804" s="86">
        <v>17.8</v>
      </c>
    </row>
    <row r="805" spans="1:3" ht="14.5" customHeight="1">
      <c r="A805" s="1" t="s">
        <v>5486</v>
      </c>
      <c r="B805" s="1" t="s">
        <v>1093</v>
      </c>
      <c r="C805" s="86">
        <v>42.1</v>
      </c>
    </row>
    <row r="806" spans="1:3" ht="14.5" customHeight="1">
      <c r="A806" s="1" t="s">
        <v>5487</v>
      </c>
      <c r="B806" s="1" t="s">
        <v>1115</v>
      </c>
      <c r="C806" s="86">
        <v>19.100000000000001</v>
      </c>
    </row>
    <row r="807" spans="1:3" ht="14.5" customHeight="1">
      <c r="A807" s="1" t="s">
        <v>5488</v>
      </c>
      <c r="B807" s="1" t="s">
        <v>1127</v>
      </c>
      <c r="C807" s="86">
        <v>30.7</v>
      </c>
    </row>
    <row r="808" spans="1:3" ht="14.5" customHeight="1">
      <c r="A808" s="1" t="s">
        <v>5489</v>
      </c>
      <c r="B808" s="1" t="s">
        <v>1154</v>
      </c>
      <c r="C808" s="86">
        <v>21.15</v>
      </c>
    </row>
    <row r="809" spans="1:3" ht="14.5" customHeight="1">
      <c r="A809" s="1" t="s">
        <v>5490</v>
      </c>
      <c r="B809" s="1" t="s">
        <v>1170</v>
      </c>
      <c r="C809" s="86">
        <v>16.350000000000001</v>
      </c>
    </row>
    <row r="810" spans="1:3" ht="14.5" customHeight="1">
      <c r="A810" s="1" t="s">
        <v>5491</v>
      </c>
      <c r="B810" s="1" t="s">
        <v>1215</v>
      </c>
      <c r="C810" s="86">
        <v>38</v>
      </c>
    </row>
    <row r="811" spans="1:3" ht="14.5" customHeight="1">
      <c r="A811" s="1" t="s">
        <v>5492</v>
      </c>
      <c r="B811" s="1" t="s">
        <v>1277</v>
      </c>
      <c r="C811" s="86">
        <v>39.1</v>
      </c>
    </row>
    <row r="812" spans="1:3" ht="14.5" customHeight="1">
      <c r="A812" s="1" t="s">
        <v>5493</v>
      </c>
      <c r="B812" s="1" t="s">
        <v>5494</v>
      </c>
      <c r="C812" s="86">
        <v>51.7</v>
      </c>
    </row>
    <row r="813" spans="1:3" ht="14.5" customHeight="1">
      <c r="A813" s="1" t="s">
        <v>5495</v>
      </c>
      <c r="B813" s="1" t="s">
        <v>1464</v>
      </c>
      <c r="C813" s="86">
        <v>105.5</v>
      </c>
    </row>
    <row r="814" spans="1:3" ht="14.5" customHeight="1">
      <c r="A814" s="1" t="s">
        <v>5496</v>
      </c>
      <c r="B814" s="1" t="s">
        <v>1560</v>
      </c>
      <c r="C814" s="86">
        <v>34.85</v>
      </c>
    </row>
    <row r="815" spans="1:3" ht="14.5" customHeight="1">
      <c r="A815" s="1" t="s">
        <v>5497</v>
      </c>
      <c r="B815" s="1" t="s">
        <v>1614</v>
      </c>
      <c r="C815" s="86">
        <v>68.2</v>
      </c>
    </row>
    <row r="816" spans="1:3" ht="14.5" customHeight="1">
      <c r="A816" s="1" t="s">
        <v>5498</v>
      </c>
      <c r="B816" s="1" t="s">
        <v>1726</v>
      </c>
      <c r="C816" s="86">
        <v>178.5</v>
      </c>
    </row>
    <row r="817" spans="1:3" ht="14.5" customHeight="1">
      <c r="A817" s="1" t="s">
        <v>5499</v>
      </c>
      <c r="B817" s="1" t="s">
        <v>1728</v>
      </c>
      <c r="C817" s="86">
        <v>20.3</v>
      </c>
    </row>
    <row r="818" spans="1:3" ht="14.5" customHeight="1">
      <c r="A818" s="1" t="s">
        <v>5500</v>
      </c>
      <c r="B818" s="1" t="s">
        <v>1742</v>
      </c>
      <c r="C818" s="86">
        <v>30.15</v>
      </c>
    </row>
    <row r="819" spans="1:3" ht="14.5" customHeight="1">
      <c r="A819" s="1" t="s">
        <v>5501</v>
      </c>
      <c r="B819" s="1" t="s">
        <v>699</v>
      </c>
      <c r="C819" s="86">
        <v>10.6</v>
      </c>
    </row>
    <row r="820" spans="1:3" ht="14.5" customHeight="1">
      <c r="A820" s="1" t="s">
        <v>5502</v>
      </c>
      <c r="B820" s="1" t="s">
        <v>737</v>
      </c>
      <c r="C820" s="86">
        <v>16.850000000000001</v>
      </c>
    </row>
    <row r="821" spans="1:3" ht="14.5" customHeight="1">
      <c r="A821" s="1" t="s">
        <v>5503</v>
      </c>
      <c r="B821" s="1" t="s">
        <v>765</v>
      </c>
      <c r="C821" s="86">
        <v>12.5</v>
      </c>
    </row>
    <row r="822" spans="1:3" ht="14.5" customHeight="1">
      <c r="A822" s="1" t="s">
        <v>5504</v>
      </c>
      <c r="B822" s="1" t="s">
        <v>767</v>
      </c>
      <c r="C822" s="86">
        <v>18.7</v>
      </c>
    </row>
    <row r="823" spans="1:3" ht="14.5" customHeight="1">
      <c r="A823" s="1" t="s">
        <v>5505</v>
      </c>
      <c r="B823" s="1" t="s">
        <v>779</v>
      </c>
      <c r="C823" s="86">
        <v>53.7</v>
      </c>
    </row>
    <row r="824" spans="1:3" ht="14.5" customHeight="1">
      <c r="A824" s="1" t="s">
        <v>5506</v>
      </c>
      <c r="B824" s="1" t="s">
        <v>1079</v>
      </c>
      <c r="C824" s="86">
        <v>30.15</v>
      </c>
    </row>
    <row r="825" spans="1:3" ht="14.5" customHeight="1">
      <c r="A825" s="1" t="s">
        <v>5507</v>
      </c>
      <c r="B825" s="1" t="s">
        <v>1145</v>
      </c>
      <c r="C825" s="86">
        <v>160.5</v>
      </c>
    </row>
    <row r="826" spans="1:3" ht="14.5" customHeight="1">
      <c r="A826" s="1" t="s">
        <v>5508</v>
      </c>
      <c r="B826" s="1" t="s">
        <v>1430</v>
      </c>
      <c r="C826" s="86">
        <v>87.5</v>
      </c>
    </row>
    <row r="827" spans="1:3" ht="14.5" customHeight="1">
      <c r="A827" s="1" t="s">
        <v>5509</v>
      </c>
      <c r="B827" s="1" t="s">
        <v>1436</v>
      </c>
      <c r="C827" s="86">
        <v>112</v>
      </c>
    </row>
    <row r="828" spans="1:3" ht="14.5" customHeight="1">
      <c r="A828" s="1" t="s">
        <v>5510</v>
      </c>
      <c r="B828" s="1" t="s">
        <v>1512</v>
      </c>
      <c r="C828" s="86">
        <v>34.35</v>
      </c>
    </row>
    <row r="829" spans="1:3" ht="14.5" customHeight="1">
      <c r="A829" s="1" t="s">
        <v>5511</v>
      </c>
      <c r="B829" s="1" t="s">
        <v>1556</v>
      </c>
      <c r="C829" s="86">
        <v>36.9</v>
      </c>
    </row>
    <row r="830" spans="1:3" ht="14.5" customHeight="1">
      <c r="A830" s="1" t="s">
        <v>5512</v>
      </c>
      <c r="B830" s="1" t="s">
        <v>1582</v>
      </c>
      <c r="C830" s="86">
        <v>75.5</v>
      </c>
    </row>
    <row r="831" spans="1:3" ht="14.5" customHeight="1">
      <c r="A831" s="1" t="s">
        <v>5513</v>
      </c>
      <c r="B831" s="1" t="s">
        <v>548</v>
      </c>
      <c r="C831" s="86">
        <v>12.85</v>
      </c>
    </row>
    <row r="832" spans="1:3" ht="14.5" customHeight="1">
      <c r="A832" s="1" t="s">
        <v>5514</v>
      </c>
      <c r="B832" s="1" t="s">
        <v>1</v>
      </c>
      <c r="C832" s="86">
        <v>90.8</v>
      </c>
    </row>
    <row r="833" spans="1:3" ht="14.5" customHeight="1">
      <c r="A833" s="1" t="s">
        <v>5515</v>
      </c>
      <c r="B833" s="1" t="s">
        <v>598</v>
      </c>
      <c r="C833" s="86">
        <v>66.2</v>
      </c>
    </row>
    <row r="834" spans="1:3" ht="14.5" customHeight="1">
      <c r="A834" s="1" t="s">
        <v>5516</v>
      </c>
      <c r="B834" s="1" t="s">
        <v>607</v>
      </c>
      <c r="C834" s="86">
        <v>22.1</v>
      </c>
    </row>
    <row r="835" spans="1:3" ht="14.5" customHeight="1">
      <c r="A835" s="1" t="s">
        <v>5517</v>
      </c>
      <c r="B835" s="1" t="s">
        <v>609</v>
      </c>
      <c r="C835" s="86">
        <v>145</v>
      </c>
    </row>
    <row r="836" spans="1:3" ht="14.5" customHeight="1">
      <c r="A836" s="1" t="s">
        <v>5518</v>
      </c>
      <c r="B836" s="1" t="s">
        <v>627</v>
      </c>
      <c r="C836" s="86">
        <v>90.1</v>
      </c>
    </row>
    <row r="837" spans="1:3" ht="14.5" customHeight="1">
      <c r="A837" s="1" t="s">
        <v>5519</v>
      </c>
      <c r="B837" s="1" t="s">
        <v>649</v>
      </c>
      <c r="C837" s="86">
        <v>11.05</v>
      </c>
    </row>
    <row r="838" spans="1:3" ht="14.5" customHeight="1">
      <c r="A838" s="1" t="s">
        <v>5520</v>
      </c>
      <c r="B838" s="1" t="s">
        <v>665</v>
      </c>
      <c r="C838" s="86">
        <v>196</v>
      </c>
    </row>
    <row r="839" spans="1:3" ht="14.5" customHeight="1">
      <c r="A839" s="1" t="s">
        <v>5521</v>
      </c>
      <c r="B839" s="1" t="s">
        <v>691</v>
      </c>
      <c r="C839" s="86">
        <v>26.85</v>
      </c>
    </row>
    <row r="840" spans="1:3" ht="14.5" customHeight="1">
      <c r="A840" s="1" t="s">
        <v>5522</v>
      </c>
      <c r="B840" s="1" t="s">
        <v>709</v>
      </c>
      <c r="C840" s="86">
        <v>56.2</v>
      </c>
    </row>
    <row r="841" spans="1:3" ht="14.5" customHeight="1">
      <c r="A841" s="1" t="s">
        <v>5523</v>
      </c>
      <c r="B841" s="1" t="s">
        <v>753</v>
      </c>
      <c r="C841" s="86">
        <v>19.100000000000001</v>
      </c>
    </row>
    <row r="842" spans="1:3" ht="14.5" customHeight="1">
      <c r="A842" s="1" t="s">
        <v>5524</v>
      </c>
      <c r="B842" s="1" t="s">
        <v>757</v>
      </c>
      <c r="C842" s="86">
        <v>39.700000000000003</v>
      </c>
    </row>
    <row r="843" spans="1:3" ht="14.5" customHeight="1">
      <c r="A843" s="1" t="s">
        <v>5525</v>
      </c>
      <c r="B843" s="1" t="s">
        <v>771</v>
      </c>
      <c r="C843" s="86">
        <v>227</v>
      </c>
    </row>
    <row r="844" spans="1:3" ht="14.5" customHeight="1">
      <c r="A844" s="1" t="s">
        <v>5526</v>
      </c>
      <c r="B844" s="1" t="s">
        <v>775</v>
      </c>
      <c r="C844" s="86">
        <v>26.4</v>
      </c>
    </row>
    <row r="845" spans="1:3" ht="14.5" customHeight="1">
      <c r="A845" s="1" t="s">
        <v>5527</v>
      </c>
      <c r="B845" s="1" t="s">
        <v>783</v>
      </c>
      <c r="C845" s="86">
        <v>12.2</v>
      </c>
    </row>
    <row r="846" spans="1:3" ht="14.5" customHeight="1">
      <c r="A846" s="1" t="s">
        <v>5528</v>
      </c>
      <c r="B846" s="1" t="s">
        <v>793</v>
      </c>
      <c r="C846" s="86">
        <v>33.799999999999997</v>
      </c>
    </row>
    <row r="847" spans="1:3" ht="14.5" customHeight="1">
      <c r="A847" s="1" t="s">
        <v>5529</v>
      </c>
      <c r="B847" s="1" t="s">
        <v>803</v>
      </c>
      <c r="C847" s="86">
        <v>13.85</v>
      </c>
    </row>
    <row r="848" spans="1:3" ht="14.5" customHeight="1">
      <c r="A848" s="1" t="s">
        <v>5530</v>
      </c>
      <c r="B848" s="1" t="s">
        <v>1059</v>
      </c>
      <c r="C848" s="86">
        <v>22.6</v>
      </c>
    </row>
    <row r="849" spans="1:3" ht="14.5" customHeight="1">
      <c r="A849" s="1" t="s">
        <v>5531</v>
      </c>
      <c r="B849" s="1" t="s">
        <v>1081</v>
      </c>
      <c r="C849" s="86">
        <v>53.2</v>
      </c>
    </row>
    <row r="850" spans="1:3" ht="14.5" customHeight="1">
      <c r="A850" s="1" t="s">
        <v>5532</v>
      </c>
      <c r="B850" s="1" t="s">
        <v>1165</v>
      </c>
      <c r="C850" s="86">
        <v>24.9</v>
      </c>
    </row>
    <row r="851" spans="1:3" ht="14.5" customHeight="1">
      <c r="A851" s="1" t="s">
        <v>5533</v>
      </c>
      <c r="B851" s="1" t="s">
        <v>1200</v>
      </c>
      <c r="C851" s="86">
        <v>67.5</v>
      </c>
    </row>
    <row r="852" spans="1:3" ht="14.5" customHeight="1">
      <c r="A852" s="1" t="s">
        <v>5534</v>
      </c>
      <c r="B852" s="1" t="s">
        <v>1213</v>
      </c>
      <c r="C852" s="86">
        <v>38.65</v>
      </c>
    </row>
    <row r="853" spans="1:3" ht="14.5" customHeight="1">
      <c r="A853" s="1" t="s">
        <v>5535</v>
      </c>
      <c r="B853" s="1" t="s">
        <v>1251</v>
      </c>
      <c r="C853" s="86">
        <v>109</v>
      </c>
    </row>
    <row r="854" spans="1:3" ht="14.5" customHeight="1">
      <c r="A854" s="1" t="s">
        <v>5536</v>
      </c>
      <c r="B854" s="1" t="s">
        <v>1261</v>
      </c>
      <c r="C854" s="86">
        <v>225.5</v>
      </c>
    </row>
    <row r="855" spans="1:3" ht="14.5" customHeight="1">
      <c r="A855" s="1" t="s">
        <v>5537</v>
      </c>
      <c r="B855" s="1" t="s">
        <v>1440</v>
      </c>
      <c r="C855" s="86">
        <v>56</v>
      </c>
    </row>
    <row r="856" spans="1:3" ht="14.5" customHeight="1">
      <c r="A856" s="1" t="s">
        <v>5538</v>
      </c>
      <c r="B856" s="1" t="s">
        <v>1530</v>
      </c>
      <c r="C856" s="86">
        <v>31.45</v>
      </c>
    </row>
    <row r="857" spans="1:3" ht="14.5" customHeight="1">
      <c r="A857" s="1" t="s">
        <v>5539</v>
      </c>
      <c r="B857" s="1" t="s">
        <v>1564</v>
      </c>
      <c r="C857" s="86">
        <v>80.2</v>
      </c>
    </row>
    <row r="858" spans="1:3" ht="14.5" customHeight="1">
      <c r="A858" s="1" t="s">
        <v>5540</v>
      </c>
      <c r="B858" s="1" t="s">
        <v>1566</v>
      </c>
      <c r="C858" s="86">
        <v>85.6</v>
      </c>
    </row>
    <row r="859" spans="1:3" ht="14.5" customHeight="1">
      <c r="A859" s="1" t="s">
        <v>5541</v>
      </c>
      <c r="B859" s="1" t="s">
        <v>1570</v>
      </c>
      <c r="C859" s="86">
        <v>35.4</v>
      </c>
    </row>
    <row r="860" spans="1:3" ht="14.5" customHeight="1">
      <c r="A860" s="1" t="s">
        <v>5542</v>
      </c>
      <c r="B860" s="1" t="s">
        <v>1584</v>
      </c>
      <c r="C860" s="86">
        <v>15.55</v>
      </c>
    </row>
    <row r="861" spans="1:3" ht="14.5" customHeight="1">
      <c r="A861" s="1" t="s">
        <v>5543</v>
      </c>
      <c r="B861" s="1" t="s">
        <v>1618</v>
      </c>
      <c r="C861" s="86">
        <v>30.9</v>
      </c>
    </row>
    <row r="862" spans="1:3" ht="14.5" customHeight="1">
      <c r="A862" s="1" t="s">
        <v>5544</v>
      </c>
      <c r="B862" s="1" t="s">
        <v>1628</v>
      </c>
      <c r="C862" s="86">
        <v>715</v>
      </c>
    </row>
    <row r="863" spans="1:3" ht="14.5" customHeight="1">
      <c r="A863" s="1" t="s">
        <v>5545</v>
      </c>
      <c r="B863" s="1" t="s">
        <v>1672</v>
      </c>
      <c r="C863" s="86">
        <v>72.8</v>
      </c>
    </row>
    <row r="864" spans="1:3" ht="14.5" customHeight="1">
      <c r="A864" s="1" t="s">
        <v>5546</v>
      </c>
      <c r="B864" s="1" t="s">
        <v>1706</v>
      </c>
      <c r="C864" s="86">
        <v>91.3</v>
      </c>
    </row>
    <row r="865" spans="1:3" ht="14.5" customHeight="1">
      <c r="A865" s="1" t="s">
        <v>5547</v>
      </c>
      <c r="B865" s="1" t="s">
        <v>1716</v>
      </c>
      <c r="C865" s="86">
        <v>22.55</v>
      </c>
    </row>
    <row r="866" spans="1:3" ht="14.5" customHeight="1">
      <c r="A866" s="1" t="s">
        <v>5548</v>
      </c>
      <c r="B866" s="1" t="s">
        <v>1752</v>
      </c>
      <c r="C866" s="86">
        <v>10.95</v>
      </c>
    </row>
    <row r="867" spans="1:3" ht="14.5" customHeight="1">
      <c r="A867" s="1" t="s">
        <v>5549</v>
      </c>
      <c r="B867" s="1" t="s">
        <v>5550</v>
      </c>
      <c r="C867" s="86">
        <v>39.85</v>
      </c>
    </row>
    <row r="868" spans="1:3" ht="14.5" customHeight="1">
      <c r="A868" s="1" t="s">
        <v>5551</v>
      </c>
      <c r="B868" s="1" t="s">
        <v>154</v>
      </c>
      <c r="C868" s="86">
        <v>7.3</v>
      </c>
    </row>
    <row r="869" spans="1:3" ht="14.5" customHeight="1">
      <c r="A869" s="1" t="s">
        <v>5552</v>
      </c>
      <c r="B869" s="1" t="s">
        <v>158</v>
      </c>
      <c r="C869" s="86">
        <v>25.2</v>
      </c>
    </row>
    <row r="870" spans="1:3" ht="14.5" customHeight="1">
      <c r="A870" s="1" t="s">
        <v>5553</v>
      </c>
      <c r="B870" s="1" t="s">
        <v>244</v>
      </c>
      <c r="C870" s="86">
        <v>15.4</v>
      </c>
    </row>
    <row r="871" spans="1:3" ht="14.5" customHeight="1">
      <c r="A871" s="1" t="s">
        <v>5554</v>
      </c>
      <c r="B871" s="1" t="s">
        <v>488</v>
      </c>
      <c r="C871" s="86">
        <v>27.7</v>
      </c>
    </row>
    <row r="872" spans="1:3" ht="14.5" customHeight="1">
      <c r="A872" s="1" t="s">
        <v>5555</v>
      </c>
      <c r="B872" s="1" t="s">
        <v>588</v>
      </c>
      <c r="C872" s="86">
        <v>55.9</v>
      </c>
    </row>
    <row r="873" spans="1:3" ht="14.5" customHeight="1">
      <c r="A873" s="1" t="s">
        <v>5556</v>
      </c>
      <c r="B873" s="1" t="s">
        <v>605</v>
      </c>
      <c r="C873" s="86">
        <v>16.850000000000001</v>
      </c>
    </row>
    <row r="874" spans="1:3" ht="14.5" customHeight="1">
      <c r="A874" s="1" t="s">
        <v>5557</v>
      </c>
      <c r="B874" s="1" t="s">
        <v>725</v>
      </c>
      <c r="C874" s="86">
        <v>4.12</v>
      </c>
    </row>
    <row r="875" spans="1:3" ht="14.5" customHeight="1">
      <c r="A875" s="1" t="s">
        <v>5558</v>
      </c>
      <c r="B875" s="1" t="s">
        <v>805</v>
      </c>
      <c r="C875" s="86">
        <v>62</v>
      </c>
    </row>
    <row r="876" spans="1:3" ht="14.5" customHeight="1">
      <c r="A876" s="1" t="s">
        <v>5559</v>
      </c>
      <c r="B876" s="1" t="s">
        <v>825</v>
      </c>
      <c r="C876" s="86">
        <v>15.4</v>
      </c>
    </row>
    <row r="877" spans="1:3" ht="14.5" customHeight="1">
      <c r="A877" s="1" t="s">
        <v>5560</v>
      </c>
      <c r="B877" s="1" t="s">
        <v>1007</v>
      </c>
      <c r="C877" s="86">
        <v>23.85</v>
      </c>
    </row>
    <row r="878" spans="1:3" ht="14.5" customHeight="1">
      <c r="A878" s="1" t="s">
        <v>5561</v>
      </c>
      <c r="B878" s="1" t="s">
        <v>1099</v>
      </c>
      <c r="C878" s="86">
        <v>29.15</v>
      </c>
    </row>
    <row r="879" spans="1:3" ht="14.5" customHeight="1">
      <c r="A879" s="1" t="s">
        <v>5562</v>
      </c>
      <c r="B879" s="1" t="s">
        <v>1333</v>
      </c>
      <c r="C879" s="86">
        <v>139.5</v>
      </c>
    </row>
    <row r="880" spans="1:3" ht="14.5" customHeight="1">
      <c r="A880" s="1" t="s">
        <v>5563</v>
      </c>
      <c r="B880" s="1" t="s">
        <v>1454</v>
      </c>
      <c r="C880" s="86">
        <v>48.4</v>
      </c>
    </row>
    <row r="881" spans="1:3" ht="14.5" customHeight="1">
      <c r="A881" s="1" t="s">
        <v>5564</v>
      </c>
      <c r="B881" s="1" t="s">
        <v>1496</v>
      </c>
      <c r="C881" s="86">
        <v>138</v>
      </c>
    </row>
    <row r="882" spans="1:3" ht="14.5" customHeight="1">
      <c r="A882" s="1" t="s">
        <v>5565</v>
      </c>
      <c r="B882" s="1" t="s">
        <v>1558</v>
      </c>
      <c r="C882" s="86">
        <v>40.200000000000003</v>
      </c>
    </row>
    <row r="883" spans="1:3" ht="14.5" customHeight="1">
      <c r="A883" s="1" t="s">
        <v>5566</v>
      </c>
      <c r="B883" s="1" t="s">
        <v>1652</v>
      </c>
      <c r="C883" s="86">
        <v>114</v>
      </c>
    </row>
    <row r="884" spans="1:3" ht="14.5" customHeight="1">
      <c r="A884" s="1" t="s">
        <v>5567</v>
      </c>
      <c r="B884" s="1" t="s">
        <v>1658</v>
      </c>
      <c r="C884" s="86">
        <v>137.5</v>
      </c>
    </row>
    <row r="885" spans="1:3" ht="14.5" customHeight="1">
      <c r="A885" s="1" t="s">
        <v>5568</v>
      </c>
      <c r="B885" s="1" t="s">
        <v>1678</v>
      </c>
      <c r="C885" s="86">
        <v>83.2</v>
      </c>
    </row>
    <row r="886" spans="1:3" ht="14.5" customHeight="1">
      <c r="A886" s="1" t="s">
        <v>5569</v>
      </c>
      <c r="B886" s="1" t="s">
        <v>1684</v>
      </c>
      <c r="C886" s="86">
        <v>88.9</v>
      </c>
    </row>
    <row r="887" spans="1:3" ht="14.5" customHeight="1">
      <c r="A887" s="1" t="s">
        <v>5570</v>
      </c>
      <c r="B887" s="1" t="s">
        <v>1688</v>
      </c>
      <c r="C887" s="86">
        <v>48.95</v>
      </c>
    </row>
    <row r="888" spans="1:3" ht="14.5" customHeight="1">
      <c r="A888" s="1" t="s">
        <v>5571</v>
      </c>
      <c r="B888" s="1" t="s">
        <v>1690</v>
      </c>
      <c r="C888" s="86">
        <v>68.5</v>
      </c>
    </row>
    <row r="889" spans="1:3" ht="14.5" customHeight="1">
      <c r="A889" s="1" t="s">
        <v>5572</v>
      </c>
      <c r="B889" s="1" t="s">
        <v>1692</v>
      </c>
      <c r="C889" s="86">
        <v>41.2</v>
      </c>
    </row>
    <row r="890" spans="1:3" ht="14.5" customHeight="1">
      <c r="A890" s="1" t="s">
        <v>5573</v>
      </c>
      <c r="B890" s="1" t="s">
        <v>1699</v>
      </c>
      <c r="C890" s="86">
        <v>179.5</v>
      </c>
    </row>
    <row r="891" spans="1:3" ht="14.5" customHeight="1">
      <c r="A891" s="1" t="s">
        <v>5574</v>
      </c>
      <c r="B891" s="1" t="s">
        <v>1701</v>
      </c>
      <c r="C891" s="86">
        <v>36.6</v>
      </c>
    </row>
    <row r="892" spans="1:3" ht="14.5" customHeight="1">
      <c r="A892" s="1" t="s">
        <v>5575</v>
      </c>
      <c r="B892" s="1" t="s">
        <v>1720</v>
      </c>
      <c r="C892" s="86">
        <v>10.199999999999999</v>
      </c>
    </row>
    <row r="893" spans="1:3" ht="14.5" customHeight="1">
      <c r="A893" s="1" t="s">
        <v>5576</v>
      </c>
      <c r="B893" s="1" t="s">
        <v>1768</v>
      </c>
      <c r="C893" s="86">
        <v>234</v>
      </c>
    </row>
    <row r="894" spans="1:3" ht="14.5" customHeight="1">
      <c r="A894" s="1" t="s">
        <v>5577</v>
      </c>
      <c r="B894" s="1" t="s">
        <v>1774</v>
      </c>
      <c r="C894" s="86">
        <v>44.45</v>
      </c>
    </row>
    <row r="895" spans="1:3" ht="14.5" customHeight="1">
      <c r="A895" s="1" t="s">
        <v>5578</v>
      </c>
      <c r="B895" s="1" t="s">
        <v>1776</v>
      </c>
      <c r="C895" s="86">
        <v>15.95</v>
      </c>
    </row>
    <row r="896" spans="1:3" ht="14.5" customHeight="1">
      <c r="A896" s="1" t="s">
        <v>5579</v>
      </c>
      <c r="B896" s="1" t="s">
        <v>1778</v>
      </c>
      <c r="C896" s="86">
        <v>156</v>
      </c>
    </row>
    <row r="897" spans="1:3" ht="14.5" customHeight="1">
      <c r="A897" s="1" t="s">
        <v>5580</v>
      </c>
      <c r="B897" s="1" t="s">
        <v>1780</v>
      </c>
      <c r="C897" s="86">
        <v>48.5</v>
      </c>
    </row>
    <row r="898" spans="1:3" ht="14.5" customHeight="1">
      <c r="A898" s="1" t="s">
        <v>5581</v>
      </c>
      <c r="B898" s="1" t="s">
        <v>1784</v>
      </c>
      <c r="C898" s="86">
        <v>54.4</v>
      </c>
    </row>
    <row r="899" spans="1:3" ht="14.5" customHeight="1">
      <c r="A899" s="1" t="s">
        <v>5582</v>
      </c>
      <c r="B899" s="1" t="s">
        <v>1792</v>
      </c>
      <c r="C899" s="86">
        <v>44.2</v>
      </c>
    </row>
    <row r="900" spans="1:3" ht="14.5" customHeight="1">
      <c r="A900" s="1" t="s">
        <v>5583</v>
      </c>
      <c r="B900" s="1" t="s">
        <v>1794</v>
      </c>
      <c r="C900" s="86">
        <v>277</v>
      </c>
    </row>
    <row r="901" spans="1:3" ht="14.5" customHeight="1">
      <c r="A901" s="1" t="s">
        <v>5584</v>
      </c>
      <c r="B901" s="1" t="s">
        <v>5585</v>
      </c>
      <c r="C901" s="86">
        <v>69.7</v>
      </c>
    </row>
    <row r="902" spans="1:3" ht="14.5" customHeight="1">
      <c r="A902" s="1" t="s">
        <v>5586</v>
      </c>
      <c r="B902" s="1" t="s">
        <v>1798</v>
      </c>
      <c r="C902" s="86">
        <v>66.5</v>
      </c>
    </row>
    <row r="903" spans="1:3" ht="14.5" customHeight="1">
      <c r="A903" s="1" t="s">
        <v>5587</v>
      </c>
      <c r="B903" s="1" t="s">
        <v>1800</v>
      </c>
      <c r="C903" s="86">
        <v>49.4</v>
      </c>
    </row>
    <row r="904" spans="1:3" ht="14.5" customHeight="1">
      <c r="A904" s="1" t="s">
        <v>5588</v>
      </c>
      <c r="B904" s="1" t="s">
        <v>1802</v>
      </c>
      <c r="C904" s="86">
        <v>44.05</v>
      </c>
    </row>
    <row r="905" spans="1:3" ht="14.5" customHeight="1">
      <c r="A905" s="1" t="s">
        <v>5589</v>
      </c>
      <c r="B905" s="1" t="s">
        <v>1804</v>
      </c>
      <c r="C905" s="86">
        <v>137</v>
      </c>
    </row>
    <row r="906" spans="1:3" ht="14.5" customHeight="1">
      <c r="A906" s="1" t="s">
        <v>5590</v>
      </c>
      <c r="B906" s="1" t="s">
        <v>1806</v>
      </c>
      <c r="C906" s="86">
        <v>59</v>
      </c>
    </row>
    <row r="907" spans="1:3" ht="14.5" customHeight="1">
      <c r="A907" s="1" t="s">
        <v>5591</v>
      </c>
      <c r="B907" s="1" t="s">
        <v>1808</v>
      </c>
      <c r="C907" s="86">
        <v>139</v>
      </c>
    </row>
    <row r="908" spans="1:3" ht="14.5" customHeight="1">
      <c r="A908" s="1" t="s">
        <v>5592</v>
      </c>
      <c r="B908" s="1" t="s">
        <v>1810</v>
      </c>
      <c r="C908" s="86">
        <v>16.8</v>
      </c>
    </row>
    <row r="909" spans="1:3" ht="14.5" customHeight="1">
      <c r="A909" s="1" t="s">
        <v>5593</v>
      </c>
      <c r="B909" s="1" t="s">
        <v>1812</v>
      </c>
      <c r="C909" s="86">
        <v>52.2</v>
      </c>
    </row>
    <row r="910" spans="1:3" ht="14.5" customHeight="1">
      <c r="A910" s="1" t="s">
        <v>5594</v>
      </c>
      <c r="B910" s="1" t="s">
        <v>1814</v>
      </c>
      <c r="C910" s="86">
        <v>108</v>
      </c>
    </row>
    <row r="911" spans="1:3" ht="14.5" customHeight="1">
      <c r="A911" s="1" t="s">
        <v>5595</v>
      </c>
      <c r="B911" s="1" t="s">
        <v>1850</v>
      </c>
      <c r="C911" s="86">
        <v>134</v>
      </c>
    </row>
    <row r="912" spans="1:3" ht="14.5" customHeight="1">
      <c r="A912" s="1" t="s">
        <v>5596</v>
      </c>
      <c r="B912" s="1" t="s">
        <v>1852</v>
      </c>
      <c r="C912" s="86">
        <v>10.5</v>
      </c>
    </row>
    <row r="913" spans="1:3" ht="14.5" customHeight="1">
      <c r="A913" s="1" t="s">
        <v>5597</v>
      </c>
      <c r="B913" s="1" t="s">
        <v>1854</v>
      </c>
      <c r="C913" s="86">
        <v>39.200000000000003</v>
      </c>
    </row>
    <row r="914" spans="1:3" ht="14.5" customHeight="1">
      <c r="A914" s="1" t="s">
        <v>5598</v>
      </c>
      <c r="B914" s="1" t="s">
        <v>1856</v>
      </c>
      <c r="C914" s="86">
        <v>24.5</v>
      </c>
    </row>
    <row r="915" spans="1:3" ht="14.5" customHeight="1">
      <c r="A915" s="1" t="s">
        <v>5599</v>
      </c>
      <c r="B915" s="1" t="s">
        <v>1860</v>
      </c>
      <c r="C915" s="86">
        <v>11.65</v>
      </c>
    </row>
    <row r="916" spans="1:3" ht="14.5" customHeight="1">
      <c r="A916" s="1" t="s">
        <v>5600</v>
      </c>
      <c r="B916" s="1" t="s">
        <v>1864</v>
      </c>
      <c r="C916" s="86">
        <v>195</v>
      </c>
    </row>
    <row r="917" spans="1:3" ht="14.5" customHeight="1">
      <c r="A917" s="1" t="s">
        <v>5601</v>
      </c>
      <c r="B917" s="1" t="s">
        <v>1866</v>
      </c>
      <c r="C917" s="86">
        <v>47.15</v>
      </c>
    </row>
    <row r="918" spans="1:3" ht="14.5" customHeight="1">
      <c r="A918" s="1" t="s">
        <v>5602</v>
      </c>
      <c r="B918" s="1" t="s">
        <v>1870</v>
      </c>
      <c r="C918" s="86">
        <v>176.5</v>
      </c>
    </row>
    <row r="919" spans="1:3" ht="14.5" customHeight="1">
      <c r="A919" s="1" t="s">
        <v>5603</v>
      </c>
      <c r="B919" s="1" t="s">
        <v>1872</v>
      </c>
      <c r="C919" s="86">
        <v>88.8</v>
      </c>
    </row>
    <row r="920" spans="1:3" ht="14.5" customHeight="1">
      <c r="A920" s="1" t="s">
        <v>5604</v>
      </c>
      <c r="B920" s="1" t="s">
        <v>1876</v>
      </c>
      <c r="C920" s="86">
        <v>11.05</v>
      </c>
    </row>
    <row r="921" spans="1:3" ht="14.5" customHeight="1">
      <c r="A921" s="1" t="s">
        <v>5605</v>
      </c>
      <c r="B921" s="1" t="s">
        <v>1878</v>
      </c>
      <c r="C921" s="86">
        <v>213</v>
      </c>
    </row>
    <row r="922" spans="1:3" ht="14.5" customHeight="1">
      <c r="A922" s="1" t="s">
        <v>5606</v>
      </c>
      <c r="B922" s="1" t="s">
        <v>1880</v>
      </c>
      <c r="C922" s="86">
        <v>43.9</v>
      </c>
    </row>
    <row r="923" spans="1:3" ht="14.5" customHeight="1">
      <c r="A923" s="1" t="s">
        <v>5607</v>
      </c>
      <c r="B923" s="1" t="s">
        <v>1882</v>
      </c>
      <c r="C923" s="86">
        <v>37.299999999999997</v>
      </c>
    </row>
    <row r="924" spans="1:3" ht="14.5" customHeight="1">
      <c r="A924" s="1" t="s">
        <v>5608</v>
      </c>
      <c r="B924" s="1" t="s">
        <v>1886</v>
      </c>
      <c r="C924" s="86">
        <v>32.450000000000003</v>
      </c>
    </row>
    <row r="925" spans="1:3" ht="14.5" customHeight="1">
      <c r="A925" s="1" t="s">
        <v>5609</v>
      </c>
      <c r="B925" s="1" t="s">
        <v>1890</v>
      </c>
      <c r="C925" s="86">
        <v>12.75</v>
      </c>
    </row>
    <row r="926" spans="1:3" ht="14.5" customHeight="1">
      <c r="A926" s="1" t="s">
        <v>5610</v>
      </c>
      <c r="B926" s="1" t="s">
        <v>1892</v>
      </c>
      <c r="C926" s="86">
        <v>50.3</v>
      </c>
    </row>
    <row r="927" spans="1:3" ht="14.5" customHeight="1">
      <c r="A927" s="1" t="s">
        <v>5611</v>
      </c>
      <c r="B927" s="1" t="s">
        <v>1896</v>
      </c>
      <c r="C927" s="86">
        <v>38.1</v>
      </c>
    </row>
    <row r="928" spans="1:3" ht="14.5" customHeight="1">
      <c r="A928" s="1" t="s">
        <v>5612</v>
      </c>
      <c r="B928" s="1" t="s">
        <v>1898</v>
      </c>
      <c r="C928" s="86">
        <v>17.45</v>
      </c>
    </row>
    <row r="929" spans="1:3" ht="14.5" customHeight="1">
      <c r="A929" s="1" t="s">
        <v>5613</v>
      </c>
      <c r="B929" s="1" t="s">
        <v>1900</v>
      </c>
      <c r="C929" s="86">
        <v>40</v>
      </c>
    </row>
    <row r="930" spans="1:3" ht="14.5" customHeight="1">
      <c r="A930" s="1" t="s">
        <v>5614</v>
      </c>
      <c r="B930" s="1" t="s">
        <v>1904</v>
      </c>
      <c r="C930" s="86">
        <v>84.3</v>
      </c>
    </row>
    <row r="931" spans="1:3" ht="14.5" customHeight="1">
      <c r="A931" s="1" t="s">
        <v>5615</v>
      </c>
      <c r="B931" s="1" t="s">
        <v>1906</v>
      </c>
      <c r="C931" s="86">
        <v>62</v>
      </c>
    </row>
    <row r="932" spans="1:3" ht="14.5" customHeight="1">
      <c r="A932" s="1" t="s">
        <v>5616</v>
      </c>
      <c r="B932" s="1" t="s">
        <v>1908</v>
      </c>
      <c r="C932" s="86">
        <v>31.3</v>
      </c>
    </row>
    <row r="933" spans="1:3" ht="14.5" customHeight="1">
      <c r="A933" s="1" t="s">
        <v>5617</v>
      </c>
      <c r="B933" s="1" t="s">
        <v>1910</v>
      </c>
      <c r="C933" s="86">
        <v>114.5</v>
      </c>
    </row>
    <row r="934" spans="1:3" ht="14.5" customHeight="1">
      <c r="A934" s="1" t="s">
        <v>5618</v>
      </c>
      <c r="B934" s="1" t="s">
        <v>5619</v>
      </c>
      <c r="C934" s="86">
        <v>54</v>
      </c>
    </row>
    <row r="935" spans="1:3" ht="14.5" customHeight="1">
      <c r="A935" s="1" t="s">
        <v>5620</v>
      </c>
      <c r="B935" s="1" t="s">
        <v>1912</v>
      </c>
      <c r="C935" s="86">
        <v>70.099999999999994</v>
      </c>
    </row>
    <row r="936" spans="1:3" ht="14.5" customHeight="1">
      <c r="A936" s="1" t="s">
        <v>5621</v>
      </c>
      <c r="B936" s="1" t="s">
        <v>1916</v>
      </c>
      <c r="C936" s="86">
        <v>17.399999999999999</v>
      </c>
    </row>
    <row r="937" spans="1:3" ht="14.5" customHeight="1">
      <c r="A937" s="1" t="s">
        <v>5622</v>
      </c>
      <c r="B937" s="1" t="s">
        <v>1918</v>
      </c>
      <c r="C937" s="86">
        <v>45.2</v>
      </c>
    </row>
    <row r="938" spans="1:3" ht="14.5" customHeight="1">
      <c r="A938" s="1" t="s">
        <v>5623</v>
      </c>
      <c r="B938" s="1" t="s">
        <v>1922</v>
      </c>
      <c r="C938" s="86">
        <v>18.899999999999999</v>
      </c>
    </row>
    <row r="939" spans="1:3" ht="14.5" customHeight="1">
      <c r="A939" s="1" t="s">
        <v>5624</v>
      </c>
      <c r="B939" s="1" t="s">
        <v>48</v>
      </c>
      <c r="C939" s="86">
        <v>6.26</v>
      </c>
    </row>
    <row r="940" spans="1:3" ht="14.5" customHeight="1">
      <c r="A940" s="1" t="s">
        <v>5625</v>
      </c>
      <c r="B940" s="1" t="s">
        <v>144</v>
      </c>
      <c r="C940" s="86">
        <v>6.05</v>
      </c>
    </row>
    <row r="941" spans="1:3" ht="14.5" customHeight="1">
      <c r="A941" s="1" t="s">
        <v>5626</v>
      </c>
      <c r="B941" s="1" t="s">
        <v>214</v>
      </c>
      <c r="C941" s="86">
        <v>2.64</v>
      </c>
    </row>
    <row r="942" spans="1:3" ht="14.5" customHeight="1">
      <c r="A942" s="1" t="s">
        <v>5627</v>
      </c>
      <c r="B942" s="1" t="s">
        <v>222</v>
      </c>
      <c r="C942" s="86">
        <v>4.18</v>
      </c>
    </row>
    <row r="943" spans="1:3" ht="14.5" customHeight="1">
      <c r="A943" s="1" t="s">
        <v>5628</v>
      </c>
      <c r="B943" s="1" t="s">
        <v>236</v>
      </c>
      <c r="C943" s="86">
        <v>3.83</v>
      </c>
    </row>
    <row r="944" spans="1:3" ht="14.5" customHeight="1">
      <c r="A944" s="1" t="s">
        <v>5629</v>
      </c>
      <c r="B944" s="1" t="s">
        <v>280</v>
      </c>
      <c r="C944" s="86">
        <v>4.9000000000000004</v>
      </c>
    </row>
    <row r="945" spans="1:3" ht="14.5" customHeight="1">
      <c r="A945" s="1" t="s">
        <v>5630</v>
      </c>
      <c r="B945" s="1" t="s">
        <v>464</v>
      </c>
      <c r="C945" s="86">
        <v>2.0299999999999998</v>
      </c>
    </row>
    <row r="946" spans="1:3" ht="14.5" customHeight="1">
      <c r="A946" s="1" t="s">
        <v>5631</v>
      </c>
      <c r="B946" s="1" t="s">
        <v>557</v>
      </c>
      <c r="C946" s="86">
        <v>1.28</v>
      </c>
    </row>
    <row r="947" spans="1:3" ht="14.5" customHeight="1">
      <c r="A947" s="1" t="s">
        <v>5632</v>
      </c>
      <c r="B947" s="1" t="s">
        <v>615</v>
      </c>
      <c r="C947" s="86">
        <v>2.15</v>
      </c>
    </row>
    <row r="948" spans="1:3" ht="14.5" customHeight="1">
      <c r="A948" s="1" t="s">
        <v>5633</v>
      </c>
      <c r="B948" s="1" t="s">
        <v>703</v>
      </c>
      <c r="C948" s="86">
        <v>26.5</v>
      </c>
    </row>
    <row r="949" spans="1:3" ht="14.5" customHeight="1">
      <c r="A949" s="1" t="s">
        <v>5634</v>
      </c>
      <c r="B949" s="1" t="s">
        <v>711</v>
      </c>
      <c r="C949" s="86">
        <v>6.7</v>
      </c>
    </row>
    <row r="950" spans="1:3" ht="14.5" customHeight="1">
      <c r="A950" s="1" t="s">
        <v>5635</v>
      </c>
      <c r="B950" s="1" t="s">
        <v>5636</v>
      </c>
      <c r="C950" s="86">
        <v>0.17</v>
      </c>
    </row>
    <row r="951" spans="1:3" ht="14.5" customHeight="1">
      <c r="A951" s="1" t="s">
        <v>5637</v>
      </c>
      <c r="B951" s="1" t="s">
        <v>1105</v>
      </c>
      <c r="C951" s="86">
        <v>1.83</v>
      </c>
    </row>
    <row r="952" spans="1:3" ht="14.5" customHeight="1">
      <c r="A952" s="1" t="s">
        <v>5638</v>
      </c>
      <c r="B952" s="1" t="s">
        <v>1121</v>
      </c>
      <c r="C952" s="86">
        <v>3.16</v>
      </c>
    </row>
    <row r="953" spans="1:3" ht="14.5" customHeight="1">
      <c r="A953" s="1" t="s">
        <v>5639</v>
      </c>
      <c r="B953" s="1" t="s">
        <v>1184</v>
      </c>
      <c r="C953" s="86">
        <v>4.4400000000000004</v>
      </c>
    </row>
    <row r="954" spans="1:3" ht="14.5" customHeight="1">
      <c r="A954" s="1" t="s">
        <v>5640</v>
      </c>
      <c r="B954" s="1" t="s">
        <v>5641</v>
      </c>
      <c r="C954" s="86">
        <v>0.32</v>
      </c>
    </row>
    <row r="955" spans="1:3" ht="14.5" customHeight="1">
      <c r="A955" s="1" t="s">
        <v>5642</v>
      </c>
      <c r="B955" s="1" t="s">
        <v>1225</v>
      </c>
      <c r="C955" s="86">
        <v>3.85</v>
      </c>
    </row>
    <row r="956" spans="1:3" ht="14.5" customHeight="1">
      <c r="A956" s="1" t="s">
        <v>5643</v>
      </c>
      <c r="B956" s="1" t="s">
        <v>5644</v>
      </c>
      <c r="C956" s="86">
        <v>1.57</v>
      </c>
    </row>
    <row r="957" spans="1:3" ht="14.5" customHeight="1">
      <c r="A957" s="1" t="s">
        <v>5645</v>
      </c>
      <c r="B957" s="1" t="s">
        <v>1270</v>
      </c>
      <c r="C957" s="86">
        <v>4.16</v>
      </c>
    </row>
    <row r="958" spans="1:3" ht="14.5" customHeight="1">
      <c r="A958" s="1" t="s">
        <v>5646</v>
      </c>
      <c r="B958" s="1" t="s">
        <v>1416</v>
      </c>
      <c r="C958" s="86">
        <v>7.3</v>
      </c>
    </row>
    <row r="959" spans="1:3" ht="14.5" customHeight="1">
      <c r="A959" s="1" t="s">
        <v>5647</v>
      </c>
      <c r="B959" s="1" t="s">
        <v>4308</v>
      </c>
      <c r="C959" s="86">
        <v>6.1</v>
      </c>
    </row>
    <row r="960" spans="1:3" ht="14.5" customHeight="1">
      <c r="A960" s="1" t="s">
        <v>5648</v>
      </c>
      <c r="B960" s="1" t="s">
        <v>1502</v>
      </c>
      <c r="C960" s="86">
        <v>25.45</v>
      </c>
    </row>
    <row r="961" spans="1:3" ht="14.5" customHeight="1">
      <c r="A961" s="1" t="s">
        <v>5649</v>
      </c>
      <c r="B961" s="1" t="s">
        <v>1524</v>
      </c>
      <c r="C961" s="86">
        <v>3.62</v>
      </c>
    </row>
    <row r="962" spans="1:3" ht="14.5" customHeight="1">
      <c r="A962" s="1" t="s">
        <v>5650</v>
      </c>
      <c r="B962" s="1" t="s">
        <v>1590</v>
      </c>
      <c r="C962" s="86">
        <v>1.95</v>
      </c>
    </row>
    <row r="963" spans="1:3" ht="14.5" customHeight="1">
      <c r="A963" s="1" t="s">
        <v>5651</v>
      </c>
      <c r="B963" s="1" t="s">
        <v>1624</v>
      </c>
      <c r="C963" s="86">
        <v>0.84</v>
      </c>
    </row>
    <row r="964" spans="1:3" ht="14.5" customHeight="1">
      <c r="A964" s="1" t="s">
        <v>5652</v>
      </c>
      <c r="B964" s="1" t="s">
        <v>1888</v>
      </c>
      <c r="C964" s="86">
        <v>5</v>
      </c>
    </row>
    <row r="965" spans="1:3" ht="14.5" customHeight="1">
      <c r="A965" s="1" t="s">
        <v>5653</v>
      </c>
      <c r="B965" s="1" t="s">
        <v>5654</v>
      </c>
      <c r="C965" s="86">
        <v>5.68</v>
      </c>
    </row>
    <row r="966" spans="1:3" ht="14.5" customHeight="1">
      <c r="A966" s="1" t="s">
        <v>5655</v>
      </c>
      <c r="B966" s="1" t="s">
        <v>5656</v>
      </c>
      <c r="C966" s="86">
        <v>14.8</v>
      </c>
    </row>
    <row r="967" spans="1:3" ht="14.5" customHeight="1">
      <c r="A967" s="1" t="s">
        <v>5657</v>
      </c>
      <c r="B967" s="1" t="s">
        <v>5658</v>
      </c>
      <c r="C967" s="86">
        <v>23.43</v>
      </c>
    </row>
    <row r="968" spans="1:3" ht="14.5" customHeight="1">
      <c r="A968" s="1" t="s">
        <v>5659</v>
      </c>
      <c r="B968" s="1" t="s">
        <v>5660</v>
      </c>
      <c r="C968" s="86">
        <v>22.93</v>
      </c>
    </row>
    <row r="969" spans="1:3" ht="14.5" customHeight="1">
      <c r="A969" s="1" t="s">
        <v>5661</v>
      </c>
      <c r="B969" s="1" t="s">
        <v>5662</v>
      </c>
      <c r="C969" s="86">
        <v>22.08</v>
      </c>
    </row>
    <row r="970" spans="1:3" ht="14.5" customHeight="1">
      <c r="A970" s="1" t="s">
        <v>5663</v>
      </c>
      <c r="B970" s="1" t="s">
        <v>5664</v>
      </c>
      <c r="C970" s="86">
        <v>22.7</v>
      </c>
    </row>
    <row r="971" spans="1:3" ht="14.5" customHeight="1">
      <c r="A971" s="1" t="s">
        <v>5665</v>
      </c>
      <c r="B971" s="1" t="s">
        <v>5666</v>
      </c>
      <c r="C971" s="86">
        <v>10.56</v>
      </c>
    </row>
    <row r="972" spans="1:3" ht="14.5" customHeight="1">
      <c r="A972" s="1" t="s">
        <v>5667</v>
      </c>
      <c r="B972" s="1" t="s">
        <v>5668</v>
      </c>
      <c r="C972" s="86">
        <v>5.14</v>
      </c>
    </row>
    <row r="973" spans="1:3" ht="14.5" customHeight="1">
      <c r="A973" s="1" t="s">
        <v>5669</v>
      </c>
      <c r="B973" s="1" t="s">
        <v>5670</v>
      </c>
      <c r="C973" s="86">
        <v>5.08</v>
      </c>
    </row>
    <row r="974" spans="1:3" ht="14.5" customHeight="1">
      <c r="A974" s="1" t="s">
        <v>5671</v>
      </c>
      <c r="B974" s="1" t="s">
        <v>5672</v>
      </c>
      <c r="C974" s="86">
        <v>96.95</v>
      </c>
    </row>
    <row r="975" spans="1:3" ht="14.5" customHeight="1">
      <c r="A975" s="1" t="s">
        <v>5673</v>
      </c>
      <c r="B975" s="1" t="s">
        <v>5674</v>
      </c>
      <c r="C975" s="86">
        <v>35.159999999999997</v>
      </c>
    </row>
    <row r="976" spans="1:3" ht="14.5" customHeight="1">
      <c r="A976" s="1" t="s">
        <v>5675</v>
      </c>
      <c r="B976" s="1" t="s">
        <v>5676</v>
      </c>
      <c r="C976" s="86">
        <v>72.2</v>
      </c>
    </row>
    <row r="977" spans="1:3" ht="14.5" customHeight="1">
      <c r="A977" s="1" t="s">
        <v>5677</v>
      </c>
      <c r="B977" s="1" t="s">
        <v>5678</v>
      </c>
      <c r="C977" s="86">
        <v>42.17</v>
      </c>
    </row>
    <row r="978" spans="1:3" ht="14.5" customHeight="1">
      <c r="A978" s="1" t="s">
        <v>5679</v>
      </c>
      <c r="B978" s="1" t="s">
        <v>5680</v>
      </c>
      <c r="C978" s="86">
        <v>24.57</v>
      </c>
    </row>
    <row r="979" spans="1:3" ht="14.5" customHeight="1">
      <c r="A979" s="1" t="s">
        <v>5681</v>
      </c>
      <c r="B979" s="1" t="s">
        <v>5682</v>
      </c>
      <c r="C979" s="86">
        <v>19</v>
      </c>
    </row>
    <row r="980" spans="1:3" ht="14.5" customHeight="1">
      <c r="A980" s="1" t="s">
        <v>5683</v>
      </c>
      <c r="B980" s="1" t="s">
        <v>5684</v>
      </c>
      <c r="C980" s="86">
        <v>28.97</v>
      </c>
    </row>
    <row r="981" spans="1:3" ht="14.5" customHeight="1">
      <c r="A981" s="1" t="s">
        <v>5685</v>
      </c>
      <c r="B981" s="1" t="s">
        <v>5686</v>
      </c>
      <c r="C981" s="86">
        <v>61.55</v>
      </c>
    </row>
    <row r="982" spans="1:3" ht="14.5" customHeight="1">
      <c r="A982" s="1" t="s">
        <v>5687</v>
      </c>
      <c r="B982" s="1" t="s">
        <v>5688</v>
      </c>
      <c r="C982" s="86">
        <v>49</v>
      </c>
    </row>
    <row r="983" spans="1:3" ht="14.5" customHeight="1">
      <c r="A983" s="1" t="s">
        <v>5689</v>
      </c>
      <c r="B983" s="1" t="s">
        <v>5690</v>
      </c>
      <c r="C983" s="86">
        <v>49.55</v>
      </c>
    </row>
    <row r="984" spans="1:3" ht="14.5" customHeight="1">
      <c r="A984" s="1" t="s">
        <v>5691</v>
      </c>
      <c r="B984" s="1" t="s">
        <v>5692</v>
      </c>
      <c r="C984" s="86">
        <v>18.329999999999998</v>
      </c>
    </row>
    <row r="985" spans="1:3" ht="14.5" customHeight="1">
      <c r="A985" s="1" t="s">
        <v>5693</v>
      </c>
      <c r="B985" s="1" t="s">
        <v>5694</v>
      </c>
      <c r="C985" s="86">
        <v>45.4</v>
      </c>
    </row>
    <row r="986" spans="1:3" ht="14.5" customHeight="1">
      <c r="A986" s="1" t="s">
        <v>5695</v>
      </c>
      <c r="B986" s="1" t="s">
        <v>5696</v>
      </c>
      <c r="C986" s="86">
        <v>59.95</v>
      </c>
    </row>
    <row r="987" spans="1:3" ht="14.5" customHeight="1">
      <c r="A987" s="1" t="s">
        <v>5697</v>
      </c>
      <c r="B987" s="1" t="s">
        <v>5698</v>
      </c>
      <c r="C987" s="86">
        <v>31.59</v>
      </c>
    </row>
    <row r="988" spans="1:3" ht="14.5" customHeight="1">
      <c r="A988" s="1" t="s">
        <v>5699</v>
      </c>
      <c r="B988" s="1" t="s">
        <v>5700</v>
      </c>
      <c r="C988" s="86">
        <v>33.299999999999997</v>
      </c>
    </row>
    <row r="989" spans="1:3" ht="14.5" customHeight="1">
      <c r="A989" s="1" t="s">
        <v>5701</v>
      </c>
      <c r="B989" s="1" t="s">
        <v>5702</v>
      </c>
      <c r="C989" s="86">
        <v>24.24</v>
      </c>
    </row>
    <row r="990" spans="1:3" ht="14.5" customHeight="1">
      <c r="A990" s="1" t="s">
        <v>5703</v>
      </c>
      <c r="B990" s="1" t="s">
        <v>5704</v>
      </c>
      <c r="C990" s="86">
        <v>53.6</v>
      </c>
    </row>
    <row r="991" spans="1:3" ht="14.5" customHeight="1">
      <c r="A991" s="1" t="s">
        <v>5705</v>
      </c>
      <c r="B991" s="1" t="s">
        <v>5706</v>
      </c>
      <c r="C991" s="86">
        <v>7.37</v>
      </c>
    </row>
    <row r="992" spans="1:3" ht="14.5" customHeight="1">
      <c r="A992" s="1" t="s">
        <v>5707</v>
      </c>
      <c r="B992" s="1" t="s">
        <v>5708</v>
      </c>
      <c r="C992" s="86">
        <v>53.55</v>
      </c>
    </row>
    <row r="993" spans="1:3" ht="14.5" customHeight="1">
      <c r="A993" s="1" t="s">
        <v>5709</v>
      </c>
      <c r="B993" s="1" t="s">
        <v>5710</v>
      </c>
      <c r="C993" s="86">
        <v>9.99</v>
      </c>
    </row>
    <row r="994" spans="1:3" ht="14.5" customHeight="1">
      <c r="A994" s="1" t="s">
        <v>5711</v>
      </c>
      <c r="B994" s="1" t="s">
        <v>5712</v>
      </c>
      <c r="C994" s="86">
        <v>49.56</v>
      </c>
    </row>
    <row r="995" spans="1:3" ht="14.5" customHeight="1">
      <c r="A995" s="1" t="s">
        <v>5713</v>
      </c>
      <c r="B995" s="1" t="s">
        <v>5714</v>
      </c>
      <c r="C995" s="86">
        <v>5.7</v>
      </c>
    </row>
    <row r="996" spans="1:3" ht="14.5" customHeight="1">
      <c r="A996" s="1" t="s">
        <v>5715</v>
      </c>
      <c r="B996" s="1" t="s">
        <v>5716</v>
      </c>
      <c r="C996" s="86">
        <v>21.84</v>
      </c>
    </row>
    <row r="997" spans="1:3" ht="14.5" customHeight="1">
      <c r="A997" s="1" t="s">
        <v>5717</v>
      </c>
      <c r="B997" s="1" t="s">
        <v>5718</v>
      </c>
      <c r="C997" s="86">
        <v>22.03</v>
      </c>
    </row>
    <row r="998" spans="1:3" ht="14.5" customHeight="1">
      <c r="A998" s="1" t="s">
        <v>5719</v>
      </c>
      <c r="B998" s="1" t="s">
        <v>5720</v>
      </c>
      <c r="C998" s="86">
        <v>7.37</v>
      </c>
    </row>
    <row r="999" spans="1:3" ht="14.5" customHeight="1">
      <c r="A999" s="1" t="s">
        <v>5721</v>
      </c>
      <c r="B999" s="1" t="s">
        <v>5722</v>
      </c>
      <c r="C999" s="86">
        <v>19.079999999999998</v>
      </c>
    </row>
    <row r="1000" spans="1:3" ht="14.5" customHeight="1">
      <c r="A1000" s="1" t="s">
        <v>5723</v>
      </c>
      <c r="B1000" s="1" t="s">
        <v>5724</v>
      </c>
      <c r="C1000" s="86">
        <v>11.45</v>
      </c>
    </row>
    <row r="1001" spans="1:3" ht="14.5" customHeight="1">
      <c r="A1001" s="1" t="s">
        <v>5725</v>
      </c>
      <c r="B1001" s="1" t="s">
        <v>5726</v>
      </c>
      <c r="C1001" s="86">
        <v>11.16</v>
      </c>
    </row>
    <row r="1002" spans="1:3" ht="14.5" customHeight="1">
      <c r="A1002" s="1" t="s">
        <v>5727</v>
      </c>
      <c r="B1002" s="1" t="s">
        <v>5728</v>
      </c>
      <c r="C1002" s="86">
        <v>22.44</v>
      </c>
    </row>
    <row r="1003" spans="1:3" ht="14.5" customHeight="1">
      <c r="A1003" s="1" t="s">
        <v>5729</v>
      </c>
      <c r="B1003" s="1" t="s">
        <v>5730</v>
      </c>
      <c r="C1003" s="86">
        <v>13.67</v>
      </c>
    </row>
    <row r="1004" spans="1:3" ht="14.5" customHeight="1">
      <c r="A1004" s="1" t="s">
        <v>5731</v>
      </c>
      <c r="B1004" s="1" t="s">
        <v>5732</v>
      </c>
      <c r="C1004" s="86">
        <v>17.940000000000001</v>
      </c>
    </row>
    <row r="1005" spans="1:3" ht="14.5" customHeight="1">
      <c r="A1005" s="1" t="s">
        <v>5733</v>
      </c>
      <c r="B1005" s="1" t="s">
        <v>5734</v>
      </c>
      <c r="C1005" s="86">
        <v>12.84</v>
      </c>
    </row>
    <row r="1006" spans="1:3" ht="14.5" customHeight="1">
      <c r="A1006" s="1" t="s">
        <v>5735</v>
      </c>
      <c r="B1006" s="1" t="s">
        <v>5736</v>
      </c>
      <c r="C1006" s="86">
        <v>2.88</v>
      </c>
    </row>
    <row r="1007" spans="1:3" ht="14.5" customHeight="1">
      <c r="A1007" s="1" t="s">
        <v>5737</v>
      </c>
      <c r="B1007" s="1" t="s">
        <v>5738</v>
      </c>
      <c r="C1007" s="86">
        <v>21.9</v>
      </c>
    </row>
    <row r="1008" spans="1:3" ht="14.5" customHeight="1">
      <c r="A1008" s="1" t="s">
        <v>5739</v>
      </c>
      <c r="B1008" s="1" t="s">
        <v>5740</v>
      </c>
      <c r="C1008" s="86">
        <v>29.46</v>
      </c>
    </row>
    <row r="1009" spans="1:3" ht="14.5" customHeight="1">
      <c r="A1009" s="1" t="s">
        <v>5741</v>
      </c>
      <c r="B1009" s="1" t="s">
        <v>5742</v>
      </c>
      <c r="C1009" s="86">
        <v>42.03</v>
      </c>
    </row>
    <row r="1010" spans="1:3" ht="14.5" customHeight="1">
      <c r="A1010" s="1" t="s">
        <v>5743</v>
      </c>
      <c r="B1010" s="1" t="s">
        <v>5744</v>
      </c>
      <c r="C1010" s="86">
        <v>11.01</v>
      </c>
    </row>
    <row r="1011" spans="1:3" ht="14.5" customHeight="1">
      <c r="A1011" s="1" t="s">
        <v>5745</v>
      </c>
      <c r="B1011" s="1" t="s">
        <v>5746</v>
      </c>
      <c r="C1011" s="86">
        <v>21.05</v>
      </c>
    </row>
    <row r="1012" spans="1:3" ht="14.5" customHeight="1">
      <c r="A1012" s="1" t="s">
        <v>5747</v>
      </c>
      <c r="B1012" s="1" t="s">
        <v>5748</v>
      </c>
      <c r="C1012" s="86">
        <v>30.85</v>
      </c>
    </row>
    <row r="1013" spans="1:3" ht="14.5" customHeight="1">
      <c r="A1013" s="1" t="s">
        <v>5749</v>
      </c>
      <c r="B1013" s="1" t="s">
        <v>5750</v>
      </c>
      <c r="C1013" s="86">
        <v>7.99</v>
      </c>
    </row>
    <row r="1014" spans="1:3" ht="14.5" customHeight="1">
      <c r="A1014" s="1" t="s">
        <v>5751</v>
      </c>
      <c r="B1014" s="1" t="s">
        <v>5752</v>
      </c>
      <c r="C1014" s="86">
        <v>24.02</v>
      </c>
    </row>
    <row r="1015" spans="1:3" ht="14.5" customHeight="1">
      <c r="A1015" s="1" t="s">
        <v>5753</v>
      </c>
      <c r="B1015" s="1" t="s">
        <v>5754</v>
      </c>
      <c r="C1015" s="86">
        <v>30.31</v>
      </c>
    </row>
    <row r="1016" spans="1:3" ht="14.5" customHeight="1">
      <c r="A1016" s="1" t="s">
        <v>5755</v>
      </c>
      <c r="B1016" s="1" t="s">
        <v>5756</v>
      </c>
      <c r="C1016" s="86">
        <v>13.07</v>
      </c>
    </row>
    <row r="1017" spans="1:3" ht="14.5" customHeight="1">
      <c r="A1017" s="1" t="s">
        <v>5757</v>
      </c>
      <c r="B1017" s="1" t="s">
        <v>5758</v>
      </c>
      <c r="C1017" s="86">
        <v>36.17</v>
      </c>
    </row>
    <row r="1018" spans="1:3" ht="14.5" customHeight="1">
      <c r="A1018" s="1" t="s">
        <v>5759</v>
      </c>
      <c r="B1018" s="1" t="s">
        <v>5760</v>
      </c>
      <c r="C1018" s="86">
        <v>10.43</v>
      </c>
    </row>
    <row r="1019" spans="1:3" ht="14.5" customHeight="1">
      <c r="A1019" s="1" t="s">
        <v>5761</v>
      </c>
      <c r="B1019" s="1" t="s">
        <v>5762</v>
      </c>
      <c r="C1019" s="86">
        <v>28.97</v>
      </c>
    </row>
    <row r="1020" spans="1:3" ht="14.5" customHeight="1">
      <c r="A1020" s="1" t="s">
        <v>5763</v>
      </c>
      <c r="B1020" s="1" t="s">
        <v>5764</v>
      </c>
      <c r="C1020" s="86">
        <v>9.7100000000000009</v>
      </c>
    </row>
    <row r="1021" spans="1:3" ht="14.5" customHeight="1">
      <c r="A1021" s="1" t="s">
        <v>5765</v>
      </c>
      <c r="B1021" s="1" t="s">
        <v>5766</v>
      </c>
      <c r="C1021" s="86">
        <v>38.28</v>
      </c>
    </row>
    <row r="1022" spans="1:3" ht="14.5" customHeight="1">
      <c r="A1022" s="1" t="s">
        <v>5767</v>
      </c>
      <c r="B1022" s="1" t="s">
        <v>5768</v>
      </c>
      <c r="C1022" s="86">
        <v>11.05</v>
      </c>
    </row>
    <row r="1023" spans="1:3" ht="14.5" customHeight="1">
      <c r="A1023" s="1" t="s">
        <v>5769</v>
      </c>
      <c r="B1023" s="1" t="s">
        <v>5770</v>
      </c>
      <c r="C1023" s="86">
        <v>26.42</v>
      </c>
    </row>
    <row r="1024" spans="1:3" ht="14.5" customHeight="1">
      <c r="A1024" s="1" t="s">
        <v>5771</v>
      </c>
      <c r="B1024" s="1" t="s">
        <v>5772</v>
      </c>
      <c r="C1024" s="86">
        <v>29.72</v>
      </c>
    </row>
    <row r="1025" spans="1:3" ht="14.5" customHeight="1">
      <c r="A1025" s="1" t="s">
        <v>5773</v>
      </c>
      <c r="B1025" s="1" t="s">
        <v>5774</v>
      </c>
      <c r="C1025" s="86">
        <v>33.61</v>
      </c>
    </row>
    <row r="1026" spans="1:3" ht="14.5" customHeight="1">
      <c r="A1026" s="1" t="s">
        <v>5775</v>
      </c>
      <c r="B1026" s="1" t="s">
        <v>5776</v>
      </c>
      <c r="C1026" s="86">
        <v>47.8</v>
      </c>
    </row>
    <row r="1027" spans="1:3" ht="14.5" customHeight="1">
      <c r="A1027" s="1" t="s">
        <v>5777</v>
      </c>
      <c r="B1027" s="1" t="s">
        <v>5778</v>
      </c>
      <c r="C1027" s="86">
        <v>11.38</v>
      </c>
    </row>
    <row r="1028" spans="1:3" ht="14.5" customHeight="1">
      <c r="A1028" s="1" t="s">
        <v>5779</v>
      </c>
      <c r="B1028" s="1" t="s">
        <v>5780</v>
      </c>
      <c r="C1028" s="86">
        <v>28.14</v>
      </c>
    </row>
    <row r="1029" spans="1:3" ht="14.5" customHeight="1">
      <c r="A1029" s="1" t="s">
        <v>5781</v>
      </c>
      <c r="B1029" s="1" t="s">
        <v>5782</v>
      </c>
      <c r="C1029" s="86">
        <v>12.5</v>
      </c>
    </row>
    <row r="1030" spans="1:3" ht="14.5" customHeight="1">
      <c r="A1030" s="1" t="s">
        <v>5783</v>
      </c>
      <c r="B1030" s="1" t="s">
        <v>5784</v>
      </c>
      <c r="C1030" s="86">
        <v>30.63</v>
      </c>
    </row>
    <row r="1031" spans="1:3" ht="14.5" customHeight="1">
      <c r="A1031" s="1" t="s">
        <v>5785</v>
      </c>
      <c r="B1031" s="1" t="s">
        <v>5786</v>
      </c>
      <c r="C1031" s="86">
        <v>10.23</v>
      </c>
    </row>
    <row r="1032" spans="1:3" ht="14.5" customHeight="1">
      <c r="A1032" s="1" t="s">
        <v>5787</v>
      </c>
      <c r="B1032" s="1" t="s">
        <v>5788</v>
      </c>
      <c r="C1032" s="86">
        <v>11.43</v>
      </c>
    </row>
    <row r="1033" spans="1:3" ht="14.5" customHeight="1">
      <c r="A1033" s="1" t="s">
        <v>5789</v>
      </c>
      <c r="B1033" s="1" t="s">
        <v>5790</v>
      </c>
      <c r="C1033" s="86">
        <v>43.43</v>
      </c>
    </row>
    <row r="1034" spans="1:3" ht="14.5" customHeight="1">
      <c r="A1034" s="1" t="s">
        <v>5791</v>
      </c>
      <c r="B1034" s="1" t="s">
        <v>5792</v>
      </c>
      <c r="C1034" s="86">
        <v>10.92</v>
      </c>
    </row>
    <row r="1035" spans="1:3" ht="14.5" customHeight="1">
      <c r="A1035" s="1" t="s">
        <v>5793</v>
      </c>
      <c r="B1035" s="1" t="s">
        <v>5794</v>
      </c>
      <c r="C1035" s="86">
        <v>17.28</v>
      </c>
    </row>
    <row r="1036" spans="1:3" ht="14.5" customHeight="1">
      <c r="A1036" s="1" t="s">
        <v>5795</v>
      </c>
      <c r="B1036" s="1" t="s">
        <v>5796</v>
      </c>
      <c r="C1036" s="86">
        <v>13.16</v>
      </c>
    </row>
    <row r="1037" spans="1:3" ht="14.5" customHeight="1">
      <c r="A1037" s="1" t="s">
        <v>5797</v>
      </c>
      <c r="B1037" s="1" t="s">
        <v>5798</v>
      </c>
      <c r="C1037" s="86">
        <v>16.5</v>
      </c>
    </row>
    <row r="1038" spans="1:3" ht="14.5" customHeight="1">
      <c r="A1038" s="1" t="s">
        <v>5799</v>
      </c>
      <c r="B1038" s="1" t="s">
        <v>5800</v>
      </c>
      <c r="C1038" s="86">
        <v>20.65</v>
      </c>
    </row>
    <row r="1039" spans="1:3" ht="14.5" customHeight="1">
      <c r="A1039" s="1" t="s">
        <v>5801</v>
      </c>
      <c r="B1039" s="1" t="s">
        <v>5802</v>
      </c>
      <c r="C1039" s="86">
        <v>6.17</v>
      </c>
    </row>
    <row r="1040" spans="1:3" ht="14.5" customHeight="1">
      <c r="A1040" s="1" t="s">
        <v>5803</v>
      </c>
      <c r="B1040" s="1" t="s">
        <v>5804</v>
      </c>
      <c r="C1040" s="86">
        <v>2.97</v>
      </c>
    </row>
    <row r="1041" spans="1:3" ht="14.5" customHeight="1">
      <c r="A1041" s="1" t="s">
        <v>5805</v>
      </c>
      <c r="B1041" s="1" t="s">
        <v>5806</v>
      </c>
      <c r="C1041" s="86">
        <v>23.34</v>
      </c>
    </row>
    <row r="1042" spans="1:3" ht="14.5" customHeight="1">
      <c r="A1042" s="1" t="s">
        <v>5807</v>
      </c>
      <c r="B1042" s="1" t="s">
        <v>5808</v>
      </c>
      <c r="C1042" s="86">
        <v>23.6</v>
      </c>
    </row>
    <row r="1043" spans="1:3" ht="14.5" customHeight="1">
      <c r="A1043" s="1" t="s">
        <v>5809</v>
      </c>
      <c r="B1043" s="1" t="s">
        <v>5810</v>
      </c>
      <c r="C1043" s="86">
        <v>15.95</v>
      </c>
    </row>
    <row r="1044" spans="1:3" ht="14.5" customHeight="1">
      <c r="A1044" s="1" t="s">
        <v>5811</v>
      </c>
      <c r="B1044" s="1" t="s">
        <v>5812</v>
      </c>
      <c r="C1044" s="86">
        <v>19.28</v>
      </c>
    </row>
    <row r="1045" spans="1:3" ht="14.5" customHeight="1">
      <c r="A1045" s="1" t="s">
        <v>5813</v>
      </c>
      <c r="B1045" s="1" t="s">
        <v>5814</v>
      </c>
      <c r="C1045" s="86">
        <v>19.100000000000001</v>
      </c>
    </row>
    <row r="1046" spans="1:3" ht="14.5" customHeight="1">
      <c r="A1046" s="1" t="s">
        <v>5815</v>
      </c>
      <c r="B1046" s="1" t="s">
        <v>5816</v>
      </c>
      <c r="C1046" s="86">
        <v>18.71</v>
      </c>
    </row>
    <row r="1047" spans="1:3" ht="14.5" customHeight="1">
      <c r="A1047" s="1" t="s">
        <v>5817</v>
      </c>
      <c r="B1047" s="1" t="s">
        <v>5818</v>
      </c>
      <c r="C1047" s="86">
        <v>18.34</v>
      </c>
    </row>
    <row r="1048" spans="1:3" ht="14.5" customHeight="1">
      <c r="A1048" s="1" t="s">
        <v>5819</v>
      </c>
      <c r="B1048" s="1" t="s">
        <v>5820</v>
      </c>
      <c r="C1048" s="86">
        <v>6.72</v>
      </c>
    </row>
    <row r="1049" spans="1:3" ht="14.5" customHeight="1">
      <c r="A1049" s="1" t="s">
        <v>5821</v>
      </c>
      <c r="B1049" s="1" t="s">
        <v>5822</v>
      </c>
      <c r="C1049" s="86">
        <v>23.85</v>
      </c>
    </row>
    <row r="1050" spans="1:3" ht="14.5" customHeight="1">
      <c r="A1050" s="1" t="s">
        <v>5823</v>
      </c>
      <c r="B1050" s="1" t="s">
        <v>5824</v>
      </c>
      <c r="C1050" s="86">
        <v>16.3</v>
      </c>
    </row>
    <row r="1051" spans="1:3" ht="14.5" customHeight="1">
      <c r="A1051" s="1" t="s">
        <v>5825</v>
      </c>
      <c r="B1051" s="1" t="s">
        <v>5826</v>
      </c>
      <c r="C1051" s="86">
        <v>24.23</v>
      </c>
    </row>
    <row r="1052" spans="1:3" ht="14.5" customHeight="1">
      <c r="A1052" s="1" t="s">
        <v>5827</v>
      </c>
      <c r="B1052" s="1" t="s">
        <v>5828</v>
      </c>
      <c r="C1052" s="86">
        <v>13.67</v>
      </c>
    </row>
    <row r="1053" spans="1:3" ht="14.5" customHeight="1">
      <c r="A1053" s="1" t="s">
        <v>5829</v>
      </c>
      <c r="B1053" s="1" t="s">
        <v>5830</v>
      </c>
      <c r="C1053" s="86">
        <v>24.06</v>
      </c>
    </row>
    <row r="1054" spans="1:3" ht="14.5" customHeight="1">
      <c r="A1054" s="1" t="s">
        <v>5831</v>
      </c>
      <c r="B1054" s="1" t="s">
        <v>5832</v>
      </c>
      <c r="C1054" s="86">
        <v>15.55</v>
      </c>
    </row>
    <row r="1055" spans="1:3" ht="14.5" customHeight="1">
      <c r="A1055" s="1" t="s">
        <v>5833</v>
      </c>
      <c r="B1055" s="1" t="s">
        <v>5834</v>
      </c>
      <c r="C1055" s="86">
        <v>20.88</v>
      </c>
    </row>
    <row r="1056" spans="1:3" ht="14.5" customHeight="1">
      <c r="A1056" s="1" t="s">
        <v>5835</v>
      </c>
      <c r="B1056" s="1" t="s">
        <v>5836</v>
      </c>
      <c r="C1056" s="86">
        <v>23.72</v>
      </c>
    </row>
    <row r="1057" spans="1:3" ht="14.5" customHeight="1">
      <c r="A1057" s="1" t="s">
        <v>5837</v>
      </c>
      <c r="B1057" s="1" t="s">
        <v>5838</v>
      </c>
      <c r="C1057" s="86">
        <v>21.56</v>
      </c>
    </row>
    <row r="1058" spans="1:3" ht="14.5" customHeight="1">
      <c r="A1058" s="1" t="s">
        <v>5839</v>
      </c>
      <c r="B1058" s="1" t="s">
        <v>5840</v>
      </c>
      <c r="C1058" s="86">
        <v>21.25</v>
      </c>
    </row>
    <row r="1059" spans="1:3" ht="14.5" customHeight="1">
      <c r="A1059" s="1" t="s">
        <v>5841</v>
      </c>
      <c r="B1059" s="1" t="s">
        <v>5842</v>
      </c>
      <c r="C1059" s="86">
        <v>17.57</v>
      </c>
    </row>
    <row r="1060" spans="1:3" ht="14.5" customHeight="1">
      <c r="A1060" s="1" t="s">
        <v>5843</v>
      </c>
      <c r="B1060" s="1" t="s">
        <v>5844</v>
      </c>
      <c r="C1060" s="86">
        <v>19.89</v>
      </c>
    </row>
    <row r="1061" spans="1:3" ht="14.5" customHeight="1">
      <c r="A1061" s="1" t="s">
        <v>5845</v>
      </c>
      <c r="B1061" s="1" t="s">
        <v>5846</v>
      </c>
      <c r="C1061" s="86">
        <v>22.64</v>
      </c>
    </row>
    <row r="1062" spans="1:3" ht="14.5" customHeight="1">
      <c r="A1062" s="1" t="s">
        <v>5847</v>
      </c>
      <c r="B1062" s="1" t="s">
        <v>5848</v>
      </c>
      <c r="C1062" s="86">
        <v>21.49</v>
      </c>
    </row>
    <row r="1063" spans="1:3" ht="14.5" customHeight="1">
      <c r="A1063" s="1" t="s">
        <v>5849</v>
      </c>
      <c r="B1063" s="1" t="s">
        <v>5850</v>
      </c>
      <c r="C1063" s="86">
        <v>20.22</v>
      </c>
    </row>
    <row r="1064" spans="1:3" ht="14.5" customHeight="1">
      <c r="A1064" s="1" t="s">
        <v>5851</v>
      </c>
      <c r="B1064" s="1" t="s">
        <v>5852</v>
      </c>
      <c r="C1064" s="86">
        <v>22.05</v>
      </c>
    </row>
    <row r="1065" spans="1:3" ht="14.5" customHeight="1">
      <c r="A1065" s="1" t="s">
        <v>5853</v>
      </c>
      <c r="B1065" s="1" t="s">
        <v>5854</v>
      </c>
      <c r="C1065" s="86">
        <v>18.18</v>
      </c>
    </row>
    <row r="1066" spans="1:3" ht="14.5" customHeight="1">
      <c r="A1066" s="1" t="s">
        <v>5855</v>
      </c>
      <c r="B1066" s="1" t="s">
        <v>5856</v>
      </c>
      <c r="C1066" s="86">
        <v>32.229999999999997</v>
      </c>
    </row>
    <row r="1067" spans="1:3" ht="14.5" customHeight="1">
      <c r="A1067" s="1" t="s">
        <v>5857</v>
      </c>
      <c r="B1067" s="1" t="s">
        <v>5858</v>
      </c>
      <c r="C1067" s="86">
        <v>22</v>
      </c>
    </row>
    <row r="1068" spans="1:3" ht="14.5" customHeight="1">
      <c r="A1068" s="1" t="s">
        <v>5859</v>
      </c>
      <c r="B1068" s="1" t="s">
        <v>5860</v>
      </c>
      <c r="C1068" s="86">
        <v>24.7</v>
      </c>
    </row>
    <row r="1069" spans="1:3" ht="14.5" customHeight="1">
      <c r="A1069" s="1" t="s">
        <v>5861</v>
      </c>
      <c r="B1069" s="1" t="s">
        <v>5862</v>
      </c>
      <c r="C1069" s="86">
        <v>16.489999999999998</v>
      </c>
    </row>
    <row r="1070" spans="1:3" ht="14.5" customHeight="1">
      <c r="A1070" s="1" t="s">
        <v>5863</v>
      </c>
      <c r="B1070" s="1" t="s">
        <v>5864</v>
      </c>
      <c r="C1070" s="86">
        <v>19.579999999999998</v>
      </c>
    </row>
    <row r="1071" spans="1:3" ht="14.5" customHeight="1">
      <c r="A1071" s="1" t="s">
        <v>5865</v>
      </c>
      <c r="B1071" s="1" t="s">
        <v>5866</v>
      </c>
      <c r="C1071" s="86">
        <v>21.86</v>
      </c>
    </row>
    <row r="1072" spans="1:3" ht="14.5" customHeight="1">
      <c r="A1072" s="1" t="s">
        <v>5867</v>
      </c>
      <c r="B1072" s="1" t="s">
        <v>5868</v>
      </c>
      <c r="C1072" s="86">
        <v>18.18</v>
      </c>
    </row>
    <row r="1073" spans="1:3" ht="14.5" customHeight="1">
      <c r="A1073" s="1" t="s">
        <v>5869</v>
      </c>
      <c r="B1073" s="1" t="s">
        <v>5870</v>
      </c>
      <c r="C1073" s="86">
        <v>18.43</v>
      </c>
    </row>
    <row r="1074" spans="1:3" ht="14.5" customHeight="1">
      <c r="A1074" s="1" t="s">
        <v>5871</v>
      </c>
      <c r="B1074" s="1" t="s">
        <v>5872</v>
      </c>
      <c r="C1074" s="86">
        <v>48.67</v>
      </c>
    </row>
    <row r="1075" spans="1:3" ht="14.5" customHeight="1">
      <c r="A1075" s="1" t="s">
        <v>5873</v>
      </c>
      <c r="B1075" s="1" t="s">
        <v>5874</v>
      </c>
      <c r="C1075" s="86">
        <v>38.479999999999997</v>
      </c>
    </row>
    <row r="1076" spans="1:3" ht="14.5" customHeight="1">
      <c r="A1076" s="1" t="s">
        <v>5875</v>
      </c>
      <c r="B1076" s="1" t="s">
        <v>5876</v>
      </c>
      <c r="C1076" s="86">
        <v>20.95</v>
      </c>
    </row>
    <row r="1077" spans="1:3" ht="14.5" customHeight="1">
      <c r="A1077" s="1" t="s">
        <v>5877</v>
      </c>
      <c r="B1077" s="1" t="s">
        <v>5878</v>
      </c>
      <c r="C1077" s="86">
        <v>21.66</v>
      </c>
    </row>
    <row r="1078" spans="1:3" ht="14.5" customHeight="1">
      <c r="A1078" s="1" t="s">
        <v>5879</v>
      </c>
      <c r="B1078" s="1" t="s">
        <v>5880</v>
      </c>
      <c r="C1078" s="86">
        <v>20.72</v>
      </c>
    </row>
    <row r="1079" spans="1:3" ht="14.5" customHeight="1">
      <c r="A1079" s="1" t="s">
        <v>5881</v>
      </c>
      <c r="B1079" s="1" t="s">
        <v>5882</v>
      </c>
      <c r="C1079" s="86">
        <v>22.52</v>
      </c>
    </row>
    <row r="1080" spans="1:3" ht="14.5" customHeight="1">
      <c r="A1080" s="1" t="s">
        <v>5883</v>
      </c>
      <c r="B1080" s="1" t="s">
        <v>5884</v>
      </c>
      <c r="C1080" s="86">
        <v>20.37</v>
      </c>
    </row>
    <row r="1081" spans="1:3" ht="14.5" customHeight="1">
      <c r="A1081" s="1" t="s">
        <v>5885</v>
      </c>
      <c r="B1081" s="1" t="s">
        <v>5886</v>
      </c>
      <c r="C1081" s="86">
        <v>21.53</v>
      </c>
    </row>
    <row r="1082" spans="1:3" ht="14.5" customHeight="1">
      <c r="A1082" s="1" t="s">
        <v>5887</v>
      </c>
      <c r="B1082" s="1" t="s">
        <v>5888</v>
      </c>
      <c r="C1082" s="86">
        <v>21.03</v>
      </c>
    </row>
    <row r="1083" spans="1:3" ht="14.5" customHeight="1">
      <c r="A1083" s="1" t="s">
        <v>5889</v>
      </c>
      <c r="B1083" s="1" t="s">
        <v>5890</v>
      </c>
      <c r="C1083" s="86">
        <v>21.57</v>
      </c>
    </row>
    <row r="1084" spans="1:3" ht="14.5" customHeight="1">
      <c r="A1084" s="1" t="s">
        <v>5891</v>
      </c>
      <c r="B1084" s="1" t="s">
        <v>5892</v>
      </c>
      <c r="C1084" s="86">
        <v>24.28</v>
      </c>
    </row>
    <row r="1085" spans="1:3" ht="14.5" customHeight="1">
      <c r="A1085" s="1" t="s">
        <v>5893</v>
      </c>
      <c r="B1085" s="1" t="s">
        <v>5894</v>
      </c>
      <c r="C1085" s="86">
        <v>27.83</v>
      </c>
    </row>
    <row r="1086" spans="1:3" ht="14.5" customHeight="1">
      <c r="A1086" s="1" t="s">
        <v>5895</v>
      </c>
      <c r="B1086" s="1" t="s">
        <v>5896</v>
      </c>
      <c r="C1086" s="86">
        <v>23.05</v>
      </c>
    </row>
    <row r="1087" spans="1:3" ht="14.5" customHeight="1">
      <c r="A1087" s="1" t="s">
        <v>5897</v>
      </c>
      <c r="B1087" s="1" t="s">
        <v>5898</v>
      </c>
      <c r="C1087" s="86">
        <v>25.57</v>
      </c>
    </row>
    <row r="1088" spans="1:3" ht="14.5" customHeight="1">
      <c r="A1088" s="1" t="s">
        <v>5899</v>
      </c>
      <c r="B1088" s="1" t="s">
        <v>5900</v>
      </c>
      <c r="C1088" s="86">
        <v>19.54</v>
      </c>
    </row>
    <row r="1089" spans="1:3" ht="14.5" customHeight="1">
      <c r="A1089" s="1" t="s">
        <v>5901</v>
      </c>
      <c r="B1089" s="1" t="s">
        <v>5902</v>
      </c>
      <c r="C1089" s="86">
        <v>11.22</v>
      </c>
    </row>
    <row r="1090" spans="1:3" ht="14.5" customHeight="1">
      <c r="A1090" s="1" t="s">
        <v>5903</v>
      </c>
      <c r="B1090" s="1" t="s">
        <v>5904</v>
      </c>
      <c r="C1090" s="86">
        <v>23.58</v>
      </c>
    </row>
    <row r="1091" spans="1:3" ht="14.5" customHeight="1">
      <c r="A1091" s="1" t="s">
        <v>5905</v>
      </c>
      <c r="B1091" s="1" t="s">
        <v>5906</v>
      </c>
      <c r="C1091" s="86">
        <v>25.04</v>
      </c>
    </row>
    <row r="1092" spans="1:3" ht="14.5" customHeight="1">
      <c r="A1092" s="1" t="s">
        <v>5907</v>
      </c>
      <c r="B1092" s="1" t="s">
        <v>5908</v>
      </c>
      <c r="C1092" s="86">
        <v>20.49</v>
      </c>
    </row>
    <row r="1093" spans="1:3" ht="14.5" customHeight="1">
      <c r="A1093" s="1" t="s">
        <v>5909</v>
      </c>
      <c r="B1093" s="1" t="s">
        <v>5910</v>
      </c>
      <c r="C1093" s="86">
        <v>39.15</v>
      </c>
    </row>
    <row r="1094" spans="1:3" ht="14.5" customHeight="1">
      <c r="A1094" s="1" t="s">
        <v>5911</v>
      </c>
      <c r="B1094" s="1" t="s">
        <v>5912</v>
      </c>
      <c r="C1094" s="86">
        <v>0</v>
      </c>
    </row>
    <row r="1095" spans="1:3" ht="14.5" customHeight="1">
      <c r="A1095" s="1" t="s">
        <v>5913</v>
      </c>
      <c r="B1095" s="1" t="s">
        <v>5914</v>
      </c>
      <c r="C1095" s="86">
        <v>45.03</v>
      </c>
    </row>
    <row r="1096" spans="1:3" ht="14.5" customHeight="1">
      <c r="A1096" s="1" t="s">
        <v>5915</v>
      </c>
      <c r="B1096" s="1" t="s">
        <v>5916</v>
      </c>
      <c r="C1096" s="86">
        <v>22.63</v>
      </c>
    </row>
    <row r="1097" spans="1:3" ht="14.5" customHeight="1">
      <c r="A1097" s="1" t="s">
        <v>5917</v>
      </c>
      <c r="B1097" s="1" t="s">
        <v>5918</v>
      </c>
      <c r="C1097" s="86">
        <v>18.02</v>
      </c>
    </row>
    <row r="1098" spans="1:3" ht="14.5" customHeight="1">
      <c r="A1098" s="1" t="s">
        <v>5919</v>
      </c>
      <c r="B1098" s="1" t="s">
        <v>5920</v>
      </c>
      <c r="C1098" s="86">
        <v>109</v>
      </c>
    </row>
    <row r="1099" spans="1:3" ht="14.5" customHeight="1">
      <c r="A1099" s="1" t="s">
        <v>5921</v>
      </c>
      <c r="B1099" s="1" t="s">
        <v>5922</v>
      </c>
      <c r="C1099" s="86">
        <v>17.52</v>
      </c>
    </row>
    <row r="1100" spans="1:3" ht="14.5" customHeight="1">
      <c r="A1100" s="1" t="s">
        <v>5923</v>
      </c>
      <c r="B1100" s="1" t="s">
        <v>5924</v>
      </c>
      <c r="C1100" s="86">
        <v>23.53</v>
      </c>
    </row>
    <row r="1101" spans="1:3" ht="14.5" customHeight="1">
      <c r="A1101" s="1" t="s">
        <v>5925</v>
      </c>
      <c r="B1101" s="1" t="s">
        <v>5926</v>
      </c>
      <c r="C1101" s="86">
        <v>21.17</v>
      </c>
    </row>
    <row r="1102" spans="1:3" ht="14.5" customHeight="1">
      <c r="A1102" s="1" t="s">
        <v>5927</v>
      </c>
      <c r="B1102" s="1" t="s">
        <v>5928</v>
      </c>
      <c r="C1102" s="86">
        <v>17.39</v>
      </c>
    </row>
    <row r="1103" spans="1:3" ht="14.5" customHeight="1">
      <c r="A1103" s="1" t="s">
        <v>5929</v>
      </c>
      <c r="B1103" s="1" t="s">
        <v>5930</v>
      </c>
      <c r="C1103" s="86">
        <v>20.399999999999999</v>
      </c>
    </row>
    <row r="1104" spans="1:3" ht="14.5" customHeight="1">
      <c r="A1104" s="1" t="s">
        <v>5931</v>
      </c>
      <c r="B1104" s="1" t="s">
        <v>5932</v>
      </c>
      <c r="C1104" s="86">
        <v>39.369999999999997</v>
      </c>
    </row>
    <row r="1105" spans="1:3" ht="14.5" customHeight="1">
      <c r="A1105" s="1" t="s">
        <v>5933</v>
      </c>
      <c r="B1105" s="1" t="s">
        <v>5934</v>
      </c>
      <c r="C1105" s="86">
        <v>20</v>
      </c>
    </row>
    <row r="1106" spans="1:3" ht="14.5" customHeight="1">
      <c r="A1106" s="1" t="s">
        <v>5935</v>
      </c>
      <c r="B1106" s="1" t="s">
        <v>5936</v>
      </c>
      <c r="C1106" s="86">
        <v>16</v>
      </c>
    </row>
    <row r="1107" spans="1:3" ht="14.5" customHeight="1">
      <c r="A1107" s="1" t="s">
        <v>5937</v>
      </c>
      <c r="B1107" s="1" t="s">
        <v>5938</v>
      </c>
      <c r="C1107" s="86">
        <v>17.7</v>
      </c>
    </row>
    <row r="1108" spans="1:3" ht="14.5" customHeight="1">
      <c r="A1108" s="1" t="s">
        <v>5939</v>
      </c>
      <c r="B1108" s="1" t="s">
        <v>5940</v>
      </c>
      <c r="C1108" s="86">
        <v>17.8</v>
      </c>
    </row>
    <row r="1109" spans="1:3" ht="14.5" customHeight="1">
      <c r="A1109" s="1" t="s">
        <v>5941</v>
      </c>
      <c r="B1109" s="1" t="s">
        <v>5942</v>
      </c>
      <c r="C1109" s="86">
        <v>13.81</v>
      </c>
    </row>
    <row r="1110" spans="1:3" ht="14.5" customHeight="1">
      <c r="A1110" s="1" t="s">
        <v>5943</v>
      </c>
      <c r="B1110" s="1" t="s">
        <v>5944</v>
      </c>
      <c r="C1110" s="86">
        <v>17.100000000000001</v>
      </c>
    </row>
    <row r="1111" spans="1:3" ht="14.5" customHeight="1">
      <c r="A1111" s="1" t="s">
        <v>5945</v>
      </c>
      <c r="B1111" s="1" t="s">
        <v>5946</v>
      </c>
      <c r="C1111" s="86">
        <v>9.8000000000000007</v>
      </c>
    </row>
    <row r="1112" spans="1:3" ht="14.5" customHeight="1">
      <c r="A1112" s="1" t="s">
        <v>5947</v>
      </c>
      <c r="B1112" s="1" t="s">
        <v>5948</v>
      </c>
      <c r="C1112" s="86">
        <v>10.25</v>
      </c>
    </row>
    <row r="1113" spans="1:3" ht="14.5" customHeight="1">
      <c r="A1113" s="1" t="s">
        <v>5949</v>
      </c>
      <c r="B1113" s="1" t="s">
        <v>1822</v>
      </c>
      <c r="C1113" s="86">
        <v>1.22</v>
      </c>
    </row>
    <row r="1114" spans="1:3" ht="14.5" customHeight="1">
      <c r="A1114" s="1" t="s">
        <v>5950</v>
      </c>
      <c r="B1114" s="1" t="s">
        <v>1824</v>
      </c>
      <c r="C1114" s="86">
        <v>26</v>
      </c>
    </row>
    <row r="1115" spans="1:3" ht="14.5" customHeight="1">
      <c r="A1115" s="1" t="s">
        <v>5951</v>
      </c>
      <c r="B1115" s="1" t="s">
        <v>1826</v>
      </c>
      <c r="C1115" s="86">
        <v>0.28000000000000003</v>
      </c>
    </row>
    <row r="1116" spans="1:3" ht="14.5" customHeight="1">
      <c r="A1116" s="1" t="s">
        <v>5952</v>
      </c>
      <c r="B1116" s="1" t="s">
        <v>1828</v>
      </c>
      <c r="C1116" s="86">
        <v>2.98</v>
      </c>
    </row>
    <row r="1117" spans="1:3" ht="14.5" customHeight="1">
      <c r="A1117" s="1" t="s">
        <v>5953</v>
      </c>
      <c r="B1117" s="1" t="s">
        <v>5954</v>
      </c>
      <c r="C1117" s="86">
        <v>1530</v>
      </c>
    </row>
    <row r="1118" spans="1:3" ht="14.5" customHeight="1">
      <c r="A1118" s="1" t="s">
        <v>5955</v>
      </c>
      <c r="B1118" s="1" t="s">
        <v>1830</v>
      </c>
      <c r="C1118" s="86">
        <v>7.59</v>
      </c>
    </row>
    <row r="1119" spans="1:3" ht="14.5" customHeight="1">
      <c r="A1119" s="1" t="s">
        <v>5956</v>
      </c>
      <c r="B1119" s="1" t="s">
        <v>1832</v>
      </c>
      <c r="C1119" s="86">
        <v>1.88</v>
      </c>
    </row>
    <row r="1120" spans="1:3" ht="14.5" customHeight="1">
      <c r="A1120" s="1" t="s">
        <v>5957</v>
      </c>
      <c r="B1120" s="1" t="s">
        <v>1834</v>
      </c>
      <c r="C1120" s="86">
        <v>1.02</v>
      </c>
    </row>
    <row r="1121" spans="1:3" ht="14.5" customHeight="1">
      <c r="A1121" s="1" t="s">
        <v>5958</v>
      </c>
      <c r="B1121" s="1" t="s">
        <v>1836</v>
      </c>
      <c r="C1121" s="86">
        <v>1.25</v>
      </c>
    </row>
    <row r="1122" spans="1:3" ht="14.5" customHeight="1">
      <c r="A1122" s="1" t="s">
        <v>5959</v>
      </c>
      <c r="B1122" s="1" t="s">
        <v>5960</v>
      </c>
      <c r="C1122" s="86">
        <v>0.11</v>
      </c>
    </row>
    <row r="1123" spans="1:3" ht="14.5" customHeight="1">
      <c r="A1123" s="1" t="s">
        <v>5961</v>
      </c>
      <c r="B1123" s="1" t="s">
        <v>1838</v>
      </c>
      <c r="C1123" s="86">
        <v>10.85</v>
      </c>
    </row>
    <row r="1124" spans="1:3" ht="14.5" customHeight="1">
      <c r="A1124" s="1" t="s">
        <v>5962</v>
      </c>
      <c r="B1124" s="1" t="s">
        <v>1840</v>
      </c>
      <c r="C1124" s="86">
        <v>1.0900000000000001</v>
      </c>
    </row>
    <row r="1125" spans="1:3" ht="14.5" customHeight="1">
      <c r="A1125" s="1" t="s">
        <v>5963</v>
      </c>
      <c r="B1125" s="1" t="s">
        <v>1842</v>
      </c>
      <c r="C1125" s="86">
        <v>2.0499999999999998</v>
      </c>
    </row>
    <row r="1126" spans="1:3" ht="14.5" customHeight="1">
      <c r="A1126" s="1" t="s">
        <v>5964</v>
      </c>
      <c r="B1126" s="1" t="s">
        <v>1844</v>
      </c>
      <c r="C1126" s="86">
        <v>3.65</v>
      </c>
    </row>
    <row r="1127" spans="1:3" ht="14.5" customHeight="1">
      <c r="A1127" s="1" t="s">
        <v>5965</v>
      </c>
      <c r="B1127" s="1" t="s">
        <v>1846</v>
      </c>
      <c r="C1127" s="86">
        <v>7.78</v>
      </c>
    </row>
    <row r="1128" spans="1:3" ht="14.5" customHeight="1">
      <c r="A1128" s="1" t="s">
        <v>5966</v>
      </c>
      <c r="B1128" s="1" t="s">
        <v>5967</v>
      </c>
      <c r="C1128" s="86">
        <v>0.72</v>
      </c>
    </row>
    <row r="1129" spans="1:3" ht="14.5" customHeight="1">
      <c r="A1129" s="1" t="s">
        <v>5968</v>
      </c>
      <c r="B1129" s="1" t="s">
        <v>1848</v>
      </c>
      <c r="C1129" s="86">
        <v>3.24</v>
      </c>
    </row>
    <row r="1130" spans="1:3" ht="14.5" customHeight="1">
      <c r="A1130" s="4">
        <v>6201</v>
      </c>
      <c r="B1130" s="4" t="s">
        <v>5969</v>
      </c>
      <c r="C1130" s="87">
        <v>14.18</v>
      </c>
    </row>
    <row r="1131" spans="1:3" ht="14.5" customHeight="1">
      <c r="A1131" s="4">
        <v>1240</v>
      </c>
      <c r="B1131" s="4" t="s">
        <v>1927</v>
      </c>
      <c r="C1131" s="87">
        <v>52.8</v>
      </c>
    </row>
    <row r="1132" spans="1:3" ht="14.5" customHeight="1">
      <c r="A1132" s="4">
        <v>1258</v>
      </c>
      <c r="B1132" s="4" t="s">
        <v>1929</v>
      </c>
      <c r="C1132" s="87">
        <v>17.899999999999999</v>
      </c>
    </row>
    <row r="1133" spans="1:3" ht="14.5" customHeight="1">
      <c r="A1133" s="4">
        <v>1259</v>
      </c>
      <c r="B1133" s="4" t="s">
        <v>1931</v>
      </c>
      <c r="C1133" s="87">
        <v>77</v>
      </c>
    </row>
    <row r="1134" spans="1:3" ht="14.5" customHeight="1">
      <c r="A1134" s="4">
        <v>1264</v>
      </c>
      <c r="B1134" s="4" t="s">
        <v>1933</v>
      </c>
      <c r="C1134" s="87">
        <v>222</v>
      </c>
    </row>
    <row r="1135" spans="1:3" ht="14.5" customHeight="1">
      <c r="A1135" s="4">
        <v>1268</v>
      </c>
      <c r="B1135" s="4" t="s">
        <v>1935</v>
      </c>
      <c r="C1135" s="87">
        <v>140.5</v>
      </c>
    </row>
    <row r="1136" spans="1:3" ht="14.5" customHeight="1">
      <c r="A1136" s="4">
        <v>1333</v>
      </c>
      <c r="B1136" s="4" t="s">
        <v>1937</v>
      </c>
      <c r="C1136" s="87">
        <v>1.76</v>
      </c>
    </row>
    <row r="1137" spans="1:3" ht="14.5" customHeight="1">
      <c r="A1137" s="4">
        <v>1336</v>
      </c>
      <c r="B1137" s="4" t="s">
        <v>1939</v>
      </c>
      <c r="C1137" s="87">
        <v>15.35</v>
      </c>
    </row>
    <row r="1138" spans="1:3" ht="14.5" customHeight="1">
      <c r="A1138" s="4">
        <v>1565</v>
      </c>
      <c r="B1138" s="4" t="s">
        <v>1941</v>
      </c>
      <c r="C1138" s="87">
        <v>454.5</v>
      </c>
    </row>
    <row r="1139" spans="1:3" ht="14.5" customHeight="1">
      <c r="A1139" s="4">
        <v>1569</v>
      </c>
      <c r="B1139" s="4" t="s">
        <v>1943</v>
      </c>
      <c r="C1139" s="87">
        <v>25.75</v>
      </c>
    </row>
    <row r="1140" spans="1:3" ht="14.5" customHeight="1">
      <c r="A1140" s="4">
        <v>1570</v>
      </c>
      <c r="B1140" s="4" t="s">
        <v>1945</v>
      </c>
      <c r="C1140" s="87">
        <v>14.15</v>
      </c>
    </row>
    <row r="1141" spans="1:3" ht="14.5" customHeight="1">
      <c r="A1141" s="4">
        <v>1580</v>
      </c>
      <c r="B1141" s="4" t="s">
        <v>1947</v>
      </c>
      <c r="C1141" s="87">
        <v>116.5</v>
      </c>
    </row>
    <row r="1142" spans="1:3" ht="14.5" customHeight="1">
      <c r="A1142" s="4">
        <v>1584</v>
      </c>
      <c r="B1142" s="4" t="s">
        <v>1949</v>
      </c>
      <c r="C1142" s="87">
        <v>9.1999999999999993</v>
      </c>
    </row>
    <row r="1143" spans="1:3" ht="14.5" customHeight="1">
      <c r="A1143" s="4">
        <v>1586</v>
      </c>
      <c r="B1143" s="4" t="s">
        <v>1951</v>
      </c>
      <c r="C1143" s="87">
        <v>34.9</v>
      </c>
    </row>
    <row r="1144" spans="1:3" ht="14.5" customHeight="1">
      <c r="A1144" s="4">
        <v>1591</v>
      </c>
      <c r="B1144" s="4" t="s">
        <v>1953</v>
      </c>
      <c r="C1144" s="87">
        <v>22.85</v>
      </c>
    </row>
    <row r="1145" spans="1:3" ht="14.5" customHeight="1">
      <c r="A1145" s="4">
        <v>1593</v>
      </c>
      <c r="B1145" s="4" t="s">
        <v>1955</v>
      </c>
      <c r="C1145" s="87">
        <v>50.8</v>
      </c>
    </row>
    <row r="1146" spans="1:3" ht="14.5" customHeight="1">
      <c r="A1146" s="4">
        <v>1595</v>
      </c>
      <c r="B1146" s="4" t="s">
        <v>1957</v>
      </c>
      <c r="C1146" s="87">
        <v>39.6</v>
      </c>
    </row>
    <row r="1147" spans="1:3" ht="14.5" customHeight="1">
      <c r="A1147" s="4">
        <v>1597</v>
      </c>
      <c r="B1147" s="4" t="s">
        <v>1959</v>
      </c>
      <c r="C1147" s="87">
        <v>93.9</v>
      </c>
    </row>
    <row r="1148" spans="1:3" ht="14.5" customHeight="1">
      <c r="A1148" s="4">
        <v>1599</v>
      </c>
      <c r="B1148" s="4" t="s">
        <v>1961</v>
      </c>
      <c r="C1148" s="87">
        <v>36.950000000000003</v>
      </c>
    </row>
    <row r="1149" spans="1:3" ht="14.5" customHeight="1">
      <c r="A1149" s="4">
        <v>1742</v>
      </c>
      <c r="B1149" s="4" t="s">
        <v>1963</v>
      </c>
      <c r="C1149" s="87">
        <v>20.25</v>
      </c>
    </row>
    <row r="1150" spans="1:3" ht="14.5" customHeight="1">
      <c r="A1150" s="4">
        <v>1752</v>
      </c>
      <c r="B1150" s="4" t="s">
        <v>1965</v>
      </c>
      <c r="C1150" s="87">
        <v>41.95</v>
      </c>
    </row>
    <row r="1151" spans="1:3" ht="14.5" customHeight="1">
      <c r="A1151" s="4">
        <v>1777</v>
      </c>
      <c r="B1151" s="4" t="s">
        <v>1967</v>
      </c>
      <c r="C1151" s="87">
        <v>82.9</v>
      </c>
    </row>
    <row r="1152" spans="1:3" ht="14.5" customHeight="1">
      <c r="A1152" s="4">
        <v>1781</v>
      </c>
      <c r="B1152" s="4" t="s">
        <v>1969</v>
      </c>
      <c r="C1152" s="87">
        <v>8.7899999999999991</v>
      </c>
    </row>
    <row r="1153" spans="1:3" ht="14.5" customHeight="1">
      <c r="A1153" s="4">
        <v>1784</v>
      </c>
      <c r="B1153" s="4" t="s">
        <v>1971</v>
      </c>
      <c r="C1153" s="87">
        <v>40.549999999999997</v>
      </c>
    </row>
    <row r="1154" spans="1:3" ht="14.5" customHeight="1">
      <c r="A1154" s="4">
        <v>1785</v>
      </c>
      <c r="B1154" s="4" t="s">
        <v>1973</v>
      </c>
      <c r="C1154" s="87">
        <v>22.45</v>
      </c>
    </row>
    <row r="1155" spans="1:3" ht="14.5" customHeight="1">
      <c r="A1155" s="4">
        <v>1788</v>
      </c>
      <c r="B1155" s="4" t="s">
        <v>1975</v>
      </c>
      <c r="C1155" s="87">
        <v>105</v>
      </c>
    </row>
    <row r="1156" spans="1:3" ht="14.5" customHeight="1">
      <c r="A1156" s="4">
        <v>1796</v>
      </c>
      <c r="B1156" s="4" t="s">
        <v>1977</v>
      </c>
      <c r="C1156" s="87">
        <v>30.6</v>
      </c>
    </row>
    <row r="1157" spans="1:3" ht="14.5" customHeight="1">
      <c r="A1157" s="4">
        <v>1799</v>
      </c>
      <c r="B1157" s="4" t="s">
        <v>1979</v>
      </c>
      <c r="C1157" s="87">
        <v>9.8800000000000008</v>
      </c>
    </row>
    <row r="1158" spans="1:3" ht="14.5" customHeight="1">
      <c r="A1158" s="4">
        <v>1813</v>
      </c>
      <c r="B1158" s="4" t="s">
        <v>1981</v>
      </c>
      <c r="C1158" s="87">
        <v>27.1</v>
      </c>
    </row>
    <row r="1159" spans="1:3" ht="14.5" customHeight="1">
      <c r="A1159" s="4">
        <v>1815</v>
      </c>
      <c r="B1159" s="4" t="s">
        <v>1983</v>
      </c>
      <c r="C1159" s="87">
        <v>12.95</v>
      </c>
    </row>
    <row r="1160" spans="1:3" ht="14.5" customHeight="1">
      <c r="A1160" s="4">
        <v>2035</v>
      </c>
      <c r="B1160" s="4" t="s">
        <v>5970</v>
      </c>
      <c r="C1160" s="87">
        <v>42.9</v>
      </c>
    </row>
    <row r="1161" spans="1:3" ht="14.5" customHeight="1">
      <c r="A1161" s="4">
        <v>2061</v>
      </c>
      <c r="B1161" s="4" t="s">
        <v>1987</v>
      </c>
      <c r="C1161" s="87">
        <v>11.15</v>
      </c>
    </row>
    <row r="1162" spans="1:3" ht="14.5" customHeight="1">
      <c r="A1162" s="4">
        <v>2063</v>
      </c>
      <c r="B1162" s="4" t="s">
        <v>1989</v>
      </c>
      <c r="C1162" s="87">
        <v>40</v>
      </c>
    </row>
    <row r="1163" spans="1:3" ht="14.5" customHeight="1">
      <c r="A1163" s="4">
        <v>2064</v>
      </c>
      <c r="B1163" s="4" t="s">
        <v>1991</v>
      </c>
      <c r="C1163" s="87" t="s">
        <v>5971</v>
      </c>
    </row>
    <row r="1164" spans="1:3" ht="14.5" customHeight="1">
      <c r="A1164" s="4">
        <v>2065</v>
      </c>
      <c r="B1164" s="4" t="s">
        <v>1993</v>
      </c>
      <c r="C1164" s="87">
        <v>41.35</v>
      </c>
    </row>
    <row r="1165" spans="1:3" ht="14.5" customHeight="1">
      <c r="A1165" s="4">
        <v>2066</v>
      </c>
      <c r="B1165" s="4" t="s">
        <v>1995</v>
      </c>
      <c r="C1165" s="87">
        <v>70.2</v>
      </c>
    </row>
    <row r="1166" spans="1:3" ht="14.5" customHeight="1">
      <c r="A1166" s="4">
        <v>2067</v>
      </c>
      <c r="B1166" s="4" t="s">
        <v>1997</v>
      </c>
      <c r="C1166" s="87">
        <v>11.45</v>
      </c>
    </row>
    <row r="1167" spans="1:3" ht="14.5" customHeight="1">
      <c r="A1167" s="4">
        <v>2070</v>
      </c>
      <c r="B1167" s="4" t="s">
        <v>1999</v>
      </c>
      <c r="C1167" s="87">
        <v>33</v>
      </c>
    </row>
    <row r="1168" spans="1:3" ht="14.5" customHeight="1">
      <c r="A1168" s="4">
        <v>2221</v>
      </c>
      <c r="B1168" s="4" t="s">
        <v>2001</v>
      </c>
      <c r="C1168" s="87">
        <v>30.05</v>
      </c>
    </row>
    <row r="1169" spans="1:3" ht="14.5" customHeight="1">
      <c r="A1169" s="4">
        <v>2230</v>
      </c>
      <c r="B1169" s="4" t="s">
        <v>2003</v>
      </c>
      <c r="C1169" s="87">
        <v>12.75</v>
      </c>
    </row>
    <row r="1170" spans="1:3" ht="14.5" customHeight="1">
      <c r="A1170" s="4">
        <v>2235</v>
      </c>
      <c r="B1170" s="4" t="s">
        <v>2005</v>
      </c>
      <c r="C1170" s="87">
        <v>60.1</v>
      </c>
    </row>
    <row r="1171" spans="1:3" ht="14.5" customHeight="1">
      <c r="A1171" s="4">
        <v>2596</v>
      </c>
      <c r="B1171" s="4" t="s">
        <v>2007</v>
      </c>
      <c r="C1171" s="87">
        <v>22.15</v>
      </c>
    </row>
    <row r="1172" spans="1:3" ht="14.5" customHeight="1">
      <c r="A1172" s="4">
        <v>2640</v>
      </c>
      <c r="B1172" s="4" t="s">
        <v>2009</v>
      </c>
      <c r="C1172" s="87">
        <v>76.400000000000006</v>
      </c>
    </row>
    <row r="1173" spans="1:3" ht="14.5" customHeight="1">
      <c r="A1173" s="4">
        <v>2641</v>
      </c>
      <c r="B1173" s="4" t="s">
        <v>2011</v>
      </c>
      <c r="C1173" s="87">
        <v>7.11</v>
      </c>
    </row>
    <row r="1174" spans="1:3" ht="14.5" customHeight="1">
      <c r="A1174" s="4">
        <v>2643</v>
      </c>
      <c r="B1174" s="4" t="s">
        <v>2013</v>
      </c>
      <c r="C1174" s="87">
        <v>40.299999999999997</v>
      </c>
    </row>
    <row r="1175" spans="1:3" ht="14.5" customHeight="1">
      <c r="A1175" s="4">
        <v>2718</v>
      </c>
      <c r="B1175" s="4" t="s">
        <v>2015</v>
      </c>
      <c r="C1175" s="87">
        <v>20</v>
      </c>
    </row>
    <row r="1176" spans="1:3" ht="14.5" customHeight="1">
      <c r="A1176" s="4">
        <v>2719</v>
      </c>
      <c r="B1176" s="4" t="s">
        <v>2017</v>
      </c>
      <c r="C1176" s="87">
        <v>5.54</v>
      </c>
    </row>
    <row r="1177" spans="1:3" ht="14.5" customHeight="1">
      <c r="A1177" s="4">
        <v>2724</v>
      </c>
      <c r="B1177" s="4" t="s">
        <v>2019</v>
      </c>
      <c r="C1177" s="87">
        <v>3.01</v>
      </c>
    </row>
    <row r="1178" spans="1:3" ht="14.5" customHeight="1">
      <c r="A1178" s="4">
        <v>2726</v>
      </c>
      <c r="B1178" s="4" t="s">
        <v>2021</v>
      </c>
      <c r="C1178" s="87">
        <v>64</v>
      </c>
    </row>
    <row r="1179" spans="1:3" ht="14.5" customHeight="1">
      <c r="A1179" s="4">
        <v>2729</v>
      </c>
      <c r="B1179" s="4" t="s">
        <v>2023</v>
      </c>
      <c r="C1179" s="87">
        <v>273.5</v>
      </c>
    </row>
    <row r="1180" spans="1:3" ht="14.5" customHeight="1">
      <c r="A1180" s="4">
        <v>2732</v>
      </c>
      <c r="B1180" s="4" t="s">
        <v>2025</v>
      </c>
      <c r="C1180" s="87">
        <v>169.5</v>
      </c>
    </row>
    <row r="1181" spans="1:3" ht="14.5" customHeight="1">
      <c r="A1181" s="4">
        <v>2734</v>
      </c>
      <c r="B1181" s="4" t="s">
        <v>2027</v>
      </c>
      <c r="C1181" s="87">
        <v>11.3</v>
      </c>
    </row>
    <row r="1182" spans="1:3" ht="14.5" customHeight="1">
      <c r="A1182" s="4">
        <v>2736</v>
      </c>
      <c r="B1182" s="4" t="s">
        <v>2029</v>
      </c>
      <c r="C1182" s="87">
        <v>16.399999999999999</v>
      </c>
    </row>
    <row r="1183" spans="1:3" ht="14.5" customHeight="1">
      <c r="A1183" s="4">
        <v>2740</v>
      </c>
      <c r="B1183" s="4" t="s">
        <v>2031</v>
      </c>
      <c r="C1183" s="87">
        <v>8</v>
      </c>
    </row>
    <row r="1184" spans="1:3" ht="14.5" customHeight="1">
      <c r="A1184" s="4">
        <v>2745</v>
      </c>
      <c r="B1184" s="4" t="s">
        <v>2035</v>
      </c>
      <c r="C1184" s="87">
        <v>23.05</v>
      </c>
    </row>
    <row r="1185" spans="1:3" ht="14.5" customHeight="1">
      <c r="A1185" s="4">
        <v>2752</v>
      </c>
      <c r="B1185" s="4" t="s">
        <v>2037</v>
      </c>
      <c r="C1185" s="87">
        <v>113.5</v>
      </c>
    </row>
    <row r="1186" spans="1:3" ht="14.5" customHeight="1">
      <c r="A1186" s="4">
        <v>2916</v>
      </c>
      <c r="B1186" s="4" t="s">
        <v>2039</v>
      </c>
      <c r="C1186" s="87">
        <v>18.350000000000001</v>
      </c>
    </row>
    <row r="1187" spans="1:3" ht="14.5" customHeight="1">
      <c r="A1187" s="4">
        <v>2924</v>
      </c>
      <c r="B1187" s="4" t="s">
        <v>2041</v>
      </c>
      <c r="C1187" s="87" t="s">
        <v>5971</v>
      </c>
    </row>
    <row r="1188" spans="1:3" ht="14.5" customHeight="1">
      <c r="A1188" s="4">
        <v>2926</v>
      </c>
      <c r="B1188" s="4" t="s">
        <v>2043</v>
      </c>
      <c r="C1188" s="87">
        <v>115</v>
      </c>
    </row>
    <row r="1189" spans="1:3" ht="14.5" customHeight="1">
      <c r="A1189" s="4">
        <v>2928</v>
      </c>
      <c r="B1189" s="4" t="s">
        <v>2045</v>
      </c>
      <c r="C1189" s="87">
        <v>33.75</v>
      </c>
    </row>
    <row r="1190" spans="1:3" ht="14.5" customHeight="1">
      <c r="A1190" s="4">
        <v>2937</v>
      </c>
      <c r="B1190" s="4" t="s">
        <v>2047</v>
      </c>
      <c r="C1190" s="87">
        <v>23.4</v>
      </c>
    </row>
    <row r="1191" spans="1:3" ht="14.5" customHeight="1">
      <c r="A1191" s="4">
        <v>3064</v>
      </c>
      <c r="B1191" s="4" t="s">
        <v>2049</v>
      </c>
      <c r="C1191" s="87">
        <v>13.4</v>
      </c>
    </row>
    <row r="1192" spans="1:3" ht="14.5" customHeight="1">
      <c r="A1192" s="4">
        <v>3066</v>
      </c>
      <c r="B1192" s="4" t="s">
        <v>2051</v>
      </c>
      <c r="C1192" s="87">
        <v>7.82</v>
      </c>
    </row>
    <row r="1193" spans="1:3" ht="14.5" customHeight="1">
      <c r="A1193" s="4">
        <v>3067</v>
      </c>
      <c r="B1193" s="4" t="s">
        <v>2053</v>
      </c>
      <c r="C1193" s="87">
        <v>21.75</v>
      </c>
    </row>
    <row r="1194" spans="1:3" ht="14.5" customHeight="1">
      <c r="A1194" s="4">
        <v>3071</v>
      </c>
      <c r="B1194" s="4" t="s">
        <v>2055</v>
      </c>
      <c r="C1194" s="87">
        <v>20.149999999999999</v>
      </c>
    </row>
    <row r="1195" spans="1:3" ht="14.5" customHeight="1">
      <c r="A1195" s="4">
        <v>3073</v>
      </c>
      <c r="B1195" s="4" t="s">
        <v>2057</v>
      </c>
      <c r="C1195" s="87">
        <v>5.2</v>
      </c>
    </row>
    <row r="1196" spans="1:3" ht="14.5" customHeight="1">
      <c r="A1196" s="4">
        <v>3078</v>
      </c>
      <c r="B1196" s="4" t="s">
        <v>2059</v>
      </c>
      <c r="C1196" s="87">
        <v>26.65</v>
      </c>
    </row>
    <row r="1197" spans="1:3" ht="14.5" customHeight="1">
      <c r="A1197" s="4">
        <v>3081</v>
      </c>
      <c r="B1197" s="4" t="s">
        <v>2061</v>
      </c>
      <c r="C1197" s="87">
        <v>309</v>
      </c>
    </row>
    <row r="1198" spans="1:3" ht="14.5" customHeight="1">
      <c r="A1198" s="4">
        <v>3083</v>
      </c>
      <c r="B1198" s="4" t="s">
        <v>2063</v>
      </c>
      <c r="C1198" s="87">
        <v>88.7</v>
      </c>
    </row>
    <row r="1199" spans="1:3" ht="14.5" customHeight="1">
      <c r="A1199" s="4">
        <v>3085</v>
      </c>
      <c r="B1199" s="4" t="s">
        <v>2065</v>
      </c>
      <c r="C1199" s="87">
        <v>3.27</v>
      </c>
    </row>
    <row r="1200" spans="1:3" ht="14.5" customHeight="1">
      <c r="A1200" s="4">
        <v>3086</v>
      </c>
      <c r="B1200" s="4" t="s">
        <v>2067</v>
      </c>
      <c r="C1200" s="87">
        <v>7.06</v>
      </c>
    </row>
    <row r="1201" spans="1:3" ht="14.5" customHeight="1">
      <c r="A1201" s="4">
        <v>3088</v>
      </c>
      <c r="B1201" s="4" t="s">
        <v>2069</v>
      </c>
      <c r="C1201" s="87">
        <v>57.3</v>
      </c>
    </row>
    <row r="1202" spans="1:3" ht="14.5" customHeight="1">
      <c r="A1202" s="4">
        <v>3089</v>
      </c>
      <c r="B1202" s="4" t="s">
        <v>2071</v>
      </c>
      <c r="C1202" s="87">
        <v>22</v>
      </c>
    </row>
    <row r="1203" spans="1:3" ht="14.5" customHeight="1">
      <c r="A1203" s="4">
        <v>3092</v>
      </c>
      <c r="B1203" s="4" t="s">
        <v>2073</v>
      </c>
      <c r="C1203" s="87">
        <v>42.8</v>
      </c>
    </row>
    <row r="1204" spans="1:3" ht="14.5" customHeight="1">
      <c r="A1204" s="4">
        <v>3093</v>
      </c>
      <c r="B1204" s="4" t="s">
        <v>2075</v>
      </c>
      <c r="C1204" s="87" t="s">
        <v>5971</v>
      </c>
    </row>
    <row r="1205" spans="1:3" ht="14.5" customHeight="1">
      <c r="A1205" s="4">
        <v>3095</v>
      </c>
      <c r="B1205" s="4" t="s">
        <v>2077</v>
      </c>
      <c r="C1205" s="87">
        <v>1.97</v>
      </c>
    </row>
    <row r="1206" spans="1:3" ht="14.5" customHeight="1">
      <c r="A1206" s="4">
        <v>3105</v>
      </c>
      <c r="B1206" s="4" t="s">
        <v>2079</v>
      </c>
      <c r="C1206" s="87">
        <v>294</v>
      </c>
    </row>
    <row r="1207" spans="1:3" ht="14.5" customHeight="1">
      <c r="A1207" s="4">
        <v>3114</v>
      </c>
      <c r="B1207" s="4" t="s">
        <v>2081</v>
      </c>
      <c r="C1207" s="87">
        <v>30.2</v>
      </c>
    </row>
    <row r="1208" spans="1:3" ht="14.5" customHeight="1">
      <c r="A1208" s="4">
        <v>3115</v>
      </c>
      <c r="B1208" s="4" t="s">
        <v>2083</v>
      </c>
      <c r="C1208" s="87">
        <v>12.3</v>
      </c>
    </row>
    <row r="1209" spans="1:3" ht="14.5" customHeight="1">
      <c r="A1209" s="4">
        <v>3118</v>
      </c>
      <c r="B1209" s="4" t="s">
        <v>2085</v>
      </c>
      <c r="C1209" s="87">
        <v>27</v>
      </c>
    </row>
    <row r="1210" spans="1:3" ht="14.5" customHeight="1">
      <c r="A1210" s="4">
        <v>3122</v>
      </c>
      <c r="B1210" s="4" t="s">
        <v>2087</v>
      </c>
      <c r="C1210" s="87">
        <v>12.05</v>
      </c>
    </row>
    <row r="1211" spans="1:3" ht="14.5" customHeight="1">
      <c r="A1211" s="4">
        <v>3128</v>
      </c>
      <c r="B1211" s="4" t="s">
        <v>2089</v>
      </c>
      <c r="C1211" s="87">
        <v>13.2</v>
      </c>
    </row>
    <row r="1212" spans="1:3" ht="14.5" customHeight="1">
      <c r="A1212" s="4">
        <v>3131</v>
      </c>
      <c r="B1212" s="4" t="s">
        <v>2091</v>
      </c>
      <c r="C1212" s="87">
        <v>278.5</v>
      </c>
    </row>
    <row r="1213" spans="1:3" ht="14.5" customHeight="1">
      <c r="A1213" s="4">
        <v>3141</v>
      </c>
      <c r="B1213" s="4" t="s">
        <v>2093</v>
      </c>
      <c r="C1213" s="87">
        <v>30.5</v>
      </c>
    </row>
    <row r="1214" spans="1:3" ht="14.5" customHeight="1">
      <c r="A1214" s="4">
        <v>3144</v>
      </c>
      <c r="B1214" s="4" t="s">
        <v>2095</v>
      </c>
      <c r="C1214" s="87">
        <v>36.299999999999997</v>
      </c>
    </row>
    <row r="1215" spans="1:3" ht="14.5" customHeight="1">
      <c r="A1215" s="4">
        <v>3147</v>
      </c>
      <c r="B1215" s="4" t="s">
        <v>2097</v>
      </c>
      <c r="C1215" s="87">
        <v>40.65</v>
      </c>
    </row>
    <row r="1216" spans="1:3" ht="14.5" customHeight="1">
      <c r="A1216" s="4">
        <v>3152</v>
      </c>
      <c r="B1216" s="4" t="s">
        <v>2099</v>
      </c>
      <c r="C1216" s="87">
        <v>352</v>
      </c>
    </row>
    <row r="1217" spans="1:3" ht="14.5" customHeight="1">
      <c r="A1217" s="4">
        <v>3162</v>
      </c>
      <c r="B1217" s="4" t="s">
        <v>2101</v>
      </c>
      <c r="C1217" s="87">
        <v>11.7</v>
      </c>
    </row>
    <row r="1218" spans="1:3" ht="14.5" customHeight="1">
      <c r="A1218" s="4">
        <v>3163</v>
      </c>
      <c r="B1218" s="4" t="s">
        <v>2103</v>
      </c>
      <c r="C1218" s="87">
        <v>51.2</v>
      </c>
    </row>
    <row r="1219" spans="1:3" ht="14.5" customHeight="1">
      <c r="A1219" s="4">
        <v>3169</v>
      </c>
      <c r="B1219" s="4" t="s">
        <v>2105</v>
      </c>
      <c r="C1219" s="87">
        <v>37.950000000000003</v>
      </c>
    </row>
    <row r="1220" spans="1:3" ht="14.5" customHeight="1">
      <c r="A1220" s="4">
        <v>3171</v>
      </c>
      <c r="B1220" s="4" t="s">
        <v>2107</v>
      </c>
      <c r="C1220" s="87">
        <v>14.05</v>
      </c>
    </row>
    <row r="1221" spans="1:3" ht="14.5" customHeight="1">
      <c r="A1221" s="4">
        <v>3176</v>
      </c>
      <c r="B1221" s="4" t="s">
        <v>2109</v>
      </c>
      <c r="C1221" s="87">
        <v>62.1</v>
      </c>
    </row>
    <row r="1222" spans="1:3" ht="14.5" customHeight="1">
      <c r="A1222" s="4">
        <v>3178</v>
      </c>
      <c r="B1222" s="4" t="s">
        <v>2111</v>
      </c>
      <c r="C1222" s="87">
        <v>39.299999999999997</v>
      </c>
    </row>
    <row r="1223" spans="1:3" ht="14.5" customHeight="1">
      <c r="A1223" s="4">
        <v>3188</v>
      </c>
      <c r="B1223" s="4" t="s">
        <v>2113</v>
      </c>
      <c r="C1223" s="87">
        <v>17.95</v>
      </c>
    </row>
    <row r="1224" spans="1:3" ht="14.5" customHeight="1">
      <c r="A1224" s="4">
        <v>3191</v>
      </c>
      <c r="B1224" s="4" t="s">
        <v>2115</v>
      </c>
      <c r="C1224" s="87">
        <v>45.3</v>
      </c>
    </row>
    <row r="1225" spans="1:3" ht="14.5" customHeight="1">
      <c r="A1225" s="4">
        <v>3202</v>
      </c>
      <c r="B1225" s="4" t="s">
        <v>2117</v>
      </c>
      <c r="C1225" s="87">
        <v>18.55</v>
      </c>
    </row>
    <row r="1226" spans="1:3" ht="14.5" customHeight="1">
      <c r="A1226" s="4">
        <v>3205</v>
      </c>
      <c r="B1226" s="4" t="s">
        <v>2119</v>
      </c>
      <c r="C1226" s="87">
        <v>51.8</v>
      </c>
    </row>
    <row r="1227" spans="1:3" ht="14.5" customHeight="1">
      <c r="A1227" s="4">
        <v>3206</v>
      </c>
      <c r="B1227" s="4" t="s">
        <v>2121</v>
      </c>
      <c r="C1227" s="87">
        <v>33.65</v>
      </c>
    </row>
    <row r="1228" spans="1:3" ht="14.5" customHeight="1">
      <c r="A1228" s="4">
        <v>3207</v>
      </c>
      <c r="B1228" s="4" t="s">
        <v>2123</v>
      </c>
      <c r="C1228" s="87">
        <v>13.1</v>
      </c>
    </row>
    <row r="1229" spans="1:3" ht="14.5" customHeight="1">
      <c r="A1229" s="4">
        <v>3211</v>
      </c>
      <c r="B1229" s="4" t="s">
        <v>2125</v>
      </c>
      <c r="C1229" s="87">
        <v>60.9</v>
      </c>
    </row>
    <row r="1230" spans="1:3" ht="14.5" customHeight="1">
      <c r="A1230" s="4">
        <v>3213</v>
      </c>
      <c r="B1230" s="4" t="s">
        <v>2127</v>
      </c>
      <c r="C1230" s="87">
        <v>47.4</v>
      </c>
    </row>
    <row r="1231" spans="1:3" ht="14.5" customHeight="1">
      <c r="A1231" s="4">
        <v>3217</v>
      </c>
      <c r="B1231" s="4" t="s">
        <v>2129</v>
      </c>
      <c r="C1231" s="87">
        <v>67.599999999999994</v>
      </c>
    </row>
    <row r="1232" spans="1:3" ht="14.5" customHeight="1">
      <c r="A1232" s="4">
        <v>3218</v>
      </c>
      <c r="B1232" s="4" t="s">
        <v>2131</v>
      </c>
      <c r="C1232" s="87">
        <v>67.5</v>
      </c>
    </row>
    <row r="1233" spans="1:3" ht="14.5" customHeight="1">
      <c r="A1233" s="4">
        <v>3219</v>
      </c>
      <c r="B1233" s="4" t="s">
        <v>5972</v>
      </c>
      <c r="C1233" s="87">
        <v>16.95</v>
      </c>
    </row>
    <row r="1234" spans="1:3" ht="14.5" customHeight="1">
      <c r="A1234" s="4">
        <v>3221</v>
      </c>
      <c r="B1234" s="4" t="s">
        <v>2135</v>
      </c>
      <c r="C1234" s="87">
        <v>26</v>
      </c>
    </row>
    <row r="1235" spans="1:3" ht="14.5" customHeight="1">
      <c r="A1235" s="4">
        <v>3224</v>
      </c>
      <c r="B1235" s="4" t="s">
        <v>2137</v>
      </c>
      <c r="C1235" s="87">
        <v>55.5</v>
      </c>
    </row>
    <row r="1236" spans="1:3" ht="14.5" customHeight="1">
      <c r="A1236" s="4">
        <v>3226</v>
      </c>
      <c r="B1236" s="4" t="s">
        <v>2139</v>
      </c>
      <c r="C1236" s="87">
        <v>58</v>
      </c>
    </row>
    <row r="1237" spans="1:3" ht="14.5" customHeight="1">
      <c r="A1237" s="4">
        <v>3227</v>
      </c>
      <c r="B1237" s="4" t="s">
        <v>2141</v>
      </c>
      <c r="C1237" s="87">
        <v>148</v>
      </c>
    </row>
    <row r="1238" spans="1:3" ht="14.5" customHeight="1">
      <c r="A1238" s="4">
        <v>3228</v>
      </c>
      <c r="B1238" s="4" t="s">
        <v>2143</v>
      </c>
      <c r="C1238" s="87">
        <v>35.5</v>
      </c>
    </row>
    <row r="1239" spans="1:3" ht="14.5" customHeight="1">
      <c r="A1239" s="4">
        <v>3230</v>
      </c>
      <c r="B1239" s="4" t="s">
        <v>2145</v>
      </c>
      <c r="C1239" s="87">
        <v>6.09</v>
      </c>
    </row>
    <row r="1240" spans="1:3" ht="14.5" customHeight="1">
      <c r="A1240" s="4">
        <v>3232</v>
      </c>
      <c r="B1240" s="4" t="s">
        <v>2147</v>
      </c>
      <c r="C1240" s="87">
        <v>15.65</v>
      </c>
    </row>
    <row r="1241" spans="1:3" ht="14.5" customHeight="1">
      <c r="A1241" s="4">
        <v>3234</v>
      </c>
      <c r="B1241" s="4" t="s">
        <v>2149</v>
      </c>
      <c r="C1241" s="87">
        <v>37.049999999999997</v>
      </c>
    </row>
    <row r="1242" spans="1:3" ht="14.5" customHeight="1">
      <c r="A1242" s="4">
        <v>3236</v>
      </c>
      <c r="B1242" s="4" t="s">
        <v>2151</v>
      </c>
      <c r="C1242" s="87">
        <v>21.85</v>
      </c>
    </row>
    <row r="1243" spans="1:3" ht="14.5" customHeight="1">
      <c r="A1243" s="4">
        <v>3252</v>
      </c>
      <c r="B1243" s="4" t="s">
        <v>2153</v>
      </c>
      <c r="C1243" s="87">
        <v>16.45</v>
      </c>
    </row>
    <row r="1244" spans="1:3" ht="14.5" customHeight="1">
      <c r="A1244" s="4">
        <v>3259</v>
      </c>
      <c r="B1244" s="4" t="s">
        <v>2155</v>
      </c>
      <c r="C1244" s="87">
        <v>17.95</v>
      </c>
    </row>
    <row r="1245" spans="1:3" ht="14.5" customHeight="1">
      <c r="A1245" s="4">
        <v>3260</v>
      </c>
      <c r="B1245" s="4" t="s">
        <v>2157</v>
      </c>
      <c r="C1245" s="87">
        <v>68.7</v>
      </c>
    </row>
    <row r="1246" spans="1:3" ht="14.5" customHeight="1">
      <c r="A1246" s="4">
        <v>3264</v>
      </c>
      <c r="B1246" s="4" t="s">
        <v>2159</v>
      </c>
      <c r="C1246" s="87">
        <v>30.85</v>
      </c>
    </row>
    <row r="1247" spans="1:3" ht="14.5" customHeight="1">
      <c r="A1247" s="4">
        <v>3265</v>
      </c>
      <c r="B1247" s="4" t="s">
        <v>2161</v>
      </c>
      <c r="C1247" s="87">
        <v>27.55</v>
      </c>
    </row>
    <row r="1248" spans="1:3" ht="14.5" customHeight="1">
      <c r="A1248" s="4">
        <v>3268</v>
      </c>
      <c r="B1248" s="4" t="s">
        <v>2163</v>
      </c>
      <c r="C1248" s="87">
        <v>12.75</v>
      </c>
    </row>
    <row r="1249" spans="1:3" ht="14.5" customHeight="1">
      <c r="A1249" s="4">
        <v>3272</v>
      </c>
      <c r="B1249" s="4" t="s">
        <v>2165</v>
      </c>
      <c r="C1249" s="87">
        <v>32.200000000000003</v>
      </c>
    </row>
    <row r="1250" spans="1:3" ht="14.5" customHeight="1">
      <c r="A1250" s="4">
        <v>3276</v>
      </c>
      <c r="B1250" s="4" t="s">
        <v>2167</v>
      </c>
      <c r="C1250" s="87">
        <v>8.4600000000000009</v>
      </c>
    </row>
    <row r="1251" spans="1:3" ht="14.5" customHeight="1">
      <c r="A1251" s="4">
        <v>3284</v>
      </c>
      <c r="B1251" s="4" t="s">
        <v>2169</v>
      </c>
      <c r="C1251" s="87">
        <v>14.25</v>
      </c>
    </row>
    <row r="1252" spans="1:3" ht="14.5" customHeight="1">
      <c r="A1252" s="4">
        <v>3285</v>
      </c>
      <c r="B1252" s="4" t="s">
        <v>2171</v>
      </c>
      <c r="C1252" s="87">
        <v>16.45</v>
      </c>
    </row>
    <row r="1253" spans="1:3" ht="14.5" customHeight="1">
      <c r="A1253" s="4">
        <v>3287</v>
      </c>
      <c r="B1253" s="4" t="s">
        <v>2173</v>
      </c>
      <c r="C1253" s="87">
        <v>9.16</v>
      </c>
    </row>
    <row r="1254" spans="1:3" ht="14.5" customHeight="1">
      <c r="A1254" s="4">
        <v>3288</v>
      </c>
      <c r="B1254" s="4" t="s">
        <v>2175</v>
      </c>
      <c r="C1254" s="87">
        <v>10.65</v>
      </c>
    </row>
    <row r="1255" spans="1:3" ht="14.5" customHeight="1">
      <c r="A1255" s="4">
        <v>3289</v>
      </c>
      <c r="B1255" s="4" t="s">
        <v>2177</v>
      </c>
      <c r="C1255" s="87">
        <v>48</v>
      </c>
    </row>
    <row r="1256" spans="1:3" ht="14.5" customHeight="1">
      <c r="A1256" s="4">
        <v>3290</v>
      </c>
      <c r="B1256" s="4" t="s">
        <v>2179</v>
      </c>
      <c r="C1256" s="87">
        <v>16.600000000000001</v>
      </c>
    </row>
    <row r="1257" spans="1:3" ht="14.5" customHeight="1">
      <c r="A1257" s="4">
        <v>3293</v>
      </c>
      <c r="B1257" s="4" t="s">
        <v>2181</v>
      </c>
      <c r="C1257" s="87">
        <v>390</v>
      </c>
    </row>
    <row r="1258" spans="1:3" ht="14.5" customHeight="1">
      <c r="A1258" s="4">
        <v>3294</v>
      </c>
      <c r="B1258" s="4" t="s">
        <v>2183</v>
      </c>
      <c r="C1258" s="87">
        <v>17.899999999999999</v>
      </c>
    </row>
    <row r="1259" spans="1:3" ht="14.5" customHeight="1">
      <c r="A1259" s="4">
        <v>3297</v>
      </c>
      <c r="B1259" s="4" t="s">
        <v>2185</v>
      </c>
      <c r="C1259" s="87">
        <v>12.45</v>
      </c>
    </row>
    <row r="1260" spans="1:3" ht="14.5" customHeight="1">
      <c r="A1260" s="4">
        <v>3303</v>
      </c>
      <c r="B1260" s="4" t="s">
        <v>2187</v>
      </c>
      <c r="C1260" s="87">
        <v>24.85</v>
      </c>
    </row>
    <row r="1261" spans="1:3" ht="14.5" customHeight="1">
      <c r="A1261" s="4">
        <v>3306</v>
      </c>
      <c r="B1261" s="4" t="s">
        <v>2189</v>
      </c>
      <c r="C1261" s="87">
        <v>20.75</v>
      </c>
    </row>
    <row r="1262" spans="1:3" ht="14.5" customHeight="1">
      <c r="A1262" s="4">
        <v>3310</v>
      </c>
      <c r="B1262" s="4" t="s">
        <v>2191</v>
      </c>
      <c r="C1262" s="87">
        <v>35.950000000000003</v>
      </c>
    </row>
    <row r="1263" spans="1:3" ht="14.5" customHeight="1">
      <c r="A1263" s="4">
        <v>3313</v>
      </c>
      <c r="B1263" s="4" t="s">
        <v>2193</v>
      </c>
      <c r="C1263" s="87">
        <v>18.3</v>
      </c>
    </row>
    <row r="1264" spans="1:3" ht="14.5" customHeight="1">
      <c r="A1264" s="4">
        <v>3317</v>
      </c>
      <c r="B1264" s="4" t="s">
        <v>2195</v>
      </c>
      <c r="C1264" s="87">
        <v>50.8</v>
      </c>
    </row>
    <row r="1265" spans="1:3" ht="14.5" customHeight="1">
      <c r="A1265" s="4">
        <v>3322</v>
      </c>
      <c r="B1265" s="4" t="s">
        <v>2197</v>
      </c>
      <c r="C1265" s="87">
        <v>8.19</v>
      </c>
    </row>
    <row r="1266" spans="1:3" ht="14.5" customHeight="1">
      <c r="A1266" s="4">
        <v>3323</v>
      </c>
      <c r="B1266" s="4" t="s">
        <v>2199</v>
      </c>
      <c r="C1266" s="87">
        <v>30.55</v>
      </c>
    </row>
    <row r="1267" spans="1:3" ht="14.5" customHeight="1">
      <c r="A1267" s="4">
        <v>3324</v>
      </c>
      <c r="B1267" s="4" t="s">
        <v>2201</v>
      </c>
      <c r="C1267" s="87">
        <v>220</v>
      </c>
    </row>
    <row r="1268" spans="1:3" ht="14.5" customHeight="1">
      <c r="A1268" s="4">
        <v>3325</v>
      </c>
      <c r="B1268" s="4" t="s">
        <v>2203</v>
      </c>
      <c r="C1268" s="87">
        <v>11.9</v>
      </c>
    </row>
    <row r="1269" spans="1:3" ht="14.5" customHeight="1">
      <c r="A1269" s="4">
        <v>3332</v>
      </c>
      <c r="B1269" s="4" t="s">
        <v>2205</v>
      </c>
      <c r="C1269" s="87" t="s">
        <v>5971</v>
      </c>
    </row>
    <row r="1270" spans="1:3" ht="14.5" customHeight="1">
      <c r="A1270" s="4">
        <v>3339</v>
      </c>
      <c r="B1270" s="4" t="s">
        <v>2207</v>
      </c>
      <c r="C1270" s="87">
        <v>4.9400000000000004</v>
      </c>
    </row>
    <row r="1271" spans="1:3" ht="14.5" customHeight="1">
      <c r="A1271" s="4">
        <v>3354</v>
      </c>
      <c r="B1271" s="4" t="s">
        <v>2209</v>
      </c>
      <c r="C1271" s="87">
        <v>16.2</v>
      </c>
    </row>
    <row r="1272" spans="1:3" ht="14.5" customHeight="1">
      <c r="A1272" s="4">
        <v>3360</v>
      </c>
      <c r="B1272" s="4" t="s">
        <v>2211</v>
      </c>
      <c r="C1272" s="87">
        <v>18.850000000000001</v>
      </c>
    </row>
    <row r="1273" spans="1:3" ht="14.5" customHeight="1">
      <c r="A1273" s="4">
        <v>3362</v>
      </c>
      <c r="B1273" s="4" t="s">
        <v>2213</v>
      </c>
      <c r="C1273" s="87">
        <v>48.5</v>
      </c>
    </row>
    <row r="1274" spans="1:3" ht="14.5" customHeight="1">
      <c r="A1274" s="4">
        <v>3363</v>
      </c>
      <c r="B1274" s="4" t="s">
        <v>2215</v>
      </c>
      <c r="C1274" s="87">
        <v>35</v>
      </c>
    </row>
    <row r="1275" spans="1:3" ht="14.5" customHeight="1">
      <c r="A1275" s="4">
        <v>3372</v>
      </c>
      <c r="B1275" s="4" t="s">
        <v>2217</v>
      </c>
      <c r="C1275" s="87">
        <v>10.15</v>
      </c>
    </row>
    <row r="1276" spans="1:3" ht="14.5" customHeight="1">
      <c r="A1276" s="4">
        <v>3373</v>
      </c>
      <c r="B1276" s="4" t="s">
        <v>2219</v>
      </c>
      <c r="C1276" s="87">
        <v>16.649999999999999</v>
      </c>
    </row>
    <row r="1277" spans="1:3" ht="14.5" customHeight="1">
      <c r="A1277" s="4">
        <v>3374</v>
      </c>
      <c r="B1277" s="4" t="s">
        <v>2221</v>
      </c>
      <c r="C1277" s="87">
        <v>80.5</v>
      </c>
    </row>
    <row r="1278" spans="1:3" ht="14.5" customHeight="1">
      <c r="A1278" s="4">
        <v>3379</v>
      </c>
      <c r="B1278" s="4" t="s">
        <v>2223</v>
      </c>
      <c r="C1278" s="87">
        <v>10.1</v>
      </c>
    </row>
    <row r="1279" spans="1:3" ht="14.5" customHeight="1">
      <c r="A1279" s="4">
        <v>3388</v>
      </c>
      <c r="B1279" s="4" t="s">
        <v>2225</v>
      </c>
      <c r="C1279" s="87">
        <v>69.8</v>
      </c>
    </row>
    <row r="1280" spans="1:3" ht="14.5" customHeight="1">
      <c r="A1280" s="4">
        <v>3390</v>
      </c>
      <c r="B1280" s="4" t="s">
        <v>2227</v>
      </c>
      <c r="C1280" s="87">
        <v>23.2</v>
      </c>
    </row>
    <row r="1281" spans="1:3" ht="14.5" customHeight="1">
      <c r="A1281" s="4">
        <v>3402</v>
      </c>
      <c r="B1281" s="4" t="s">
        <v>2229</v>
      </c>
      <c r="C1281" s="87">
        <v>31.15</v>
      </c>
    </row>
    <row r="1282" spans="1:3" ht="14.5" customHeight="1">
      <c r="A1282" s="4">
        <v>3426</v>
      </c>
      <c r="B1282" s="4" t="s">
        <v>2231</v>
      </c>
      <c r="C1282" s="87">
        <v>41.45</v>
      </c>
    </row>
    <row r="1283" spans="1:3" ht="14.5" customHeight="1">
      <c r="A1283" s="4">
        <v>3434</v>
      </c>
      <c r="B1283" s="4" t="s">
        <v>2233</v>
      </c>
      <c r="C1283" s="87">
        <v>13.55</v>
      </c>
    </row>
    <row r="1284" spans="1:3" ht="14.5" customHeight="1">
      <c r="A1284" s="4">
        <v>3438</v>
      </c>
      <c r="B1284" s="4" t="s">
        <v>2235</v>
      </c>
      <c r="C1284" s="87">
        <v>40.799999999999997</v>
      </c>
    </row>
    <row r="1285" spans="1:3" ht="14.5" customHeight="1">
      <c r="A1285" s="4">
        <v>3441</v>
      </c>
      <c r="B1285" s="4" t="s">
        <v>2237</v>
      </c>
      <c r="C1285" s="87">
        <v>31.85</v>
      </c>
    </row>
    <row r="1286" spans="1:3" ht="14.5" customHeight="1">
      <c r="A1286" s="4">
        <v>3444</v>
      </c>
      <c r="B1286" s="4" t="s">
        <v>2239</v>
      </c>
      <c r="C1286" s="87">
        <v>30.95</v>
      </c>
    </row>
    <row r="1287" spans="1:3" ht="14.5" customHeight="1">
      <c r="A1287" s="4">
        <v>3452</v>
      </c>
      <c r="B1287" s="4" t="s">
        <v>4236</v>
      </c>
      <c r="C1287" s="87">
        <v>1.57</v>
      </c>
    </row>
    <row r="1288" spans="1:3" ht="14.5" customHeight="1">
      <c r="A1288" s="4">
        <v>3455</v>
      </c>
      <c r="B1288" s="4" t="s">
        <v>2241</v>
      </c>
      <c r="C1288" s="87">
        <v>62.1</v>
      </c>
    </row>
    <row r="1289" spans="1:3" ht="14.5" customHeight="1">
      <c r="A1289" s="4">
        <v>3465</v>
      </c>
      <c r="B1289" s="4" t="s">
        <v>2243</v>
      </c>
      <c r="C1289" s="87">
        <v>34</v>
      </c>
    </row>
    <row r="1290" spans="1:3" ht="14.5" customHeight="1">
      <c r="A1290" s="4">
        <v>3466</v>
      </c>
      <c r="B1290" s="4" t="s">
        <v>2245</v>
      </c>
      <c r="C1290" s="87">
        <v>20.9</v>
      </c>
    </row>
    <row r="1291" spans="1:3" ht="14.5" customHeight="1">
      <c r="A1291" s="4">
        <v>3479</v>
      </c>
      <c r="B1291" s="4" t="s">
        <v>2247</v>
      </c>
      <c r="C1291" s="87">
        <v>76.400000000000006</v>
      </c>
    </row>
    <row r="1292" spans="1:3" ht="14.5" customHeight="1">
      <c r="A1292" s="4">
        <v>3483</v>
      </c>
      <c r="B1292" s="4" t="s">
        <v>2249</v>
      </c>
      <c r="C1292" s="87">
        <v>69.8</v>
      </c>
    </row>
    <row r="1293" spans="1:3" ht="14.5" customHeight="1">
      <c r="A1293" s="4">
        <v>3484</v>
      </c>
      <c r="B1293" s="4" t="s">
        <v>2251</v>
      </c>
      <c r="C1293" s="87">
        <v>30.5</v>
      </c>
    </row>
    <row r="1294" spans="1:3" ht="14.5" customHeight="1">
      <c r="A1294" s="4">
        <v>3489</v>
      </c>
      <c r="B1294" s="4" t="s">
        <v>2253</v>
      </c>
      <c r="C1294" s="87">
        <v>9.2100000000000009</v>
      </c>
    </row>
    <row r="1295" spans="1:3" ht="14.5" customHeight="1">
      <c r="A1295" s="4">
        <v>3490</v>
      </c>
      <c r="B1295" s="4" t="s">
        <v>2255</v>
      </c>
      <c r="C1295" s="87">
        <v>22.7</v>
      </c>
    </row>
    <row r="1296" spans="1:3" ht="14.5" customHeight="1">
      <c r="A1296" s="4">
        <v>3491</v>
      </c>
      <c r="B1296" s="4" t="s">
        <v>2257</v>
      </c>
      <c r="C1296" s="87">
        <v>93.8</v>
      </c>
    </row>
    <row r="1297" spans="1:3" ht="14.5" customHeight="1">
      <c r="A1297" s="4">
        <v>3492</v>
      </c>
      <c r="B1297" s="4" t="s">
        <v>2259</v>
      </c>
      <c r="C1297" s="87">
        <v>18.25</v>
      </c>
    </row>
    <row r="1298" spans="1:3" ht="14.5" customHeight="1">
      <c r="A1298" s="4">
        <v>3498</v>
      </c>
      <c r="B1298" s="4" t="s">
        <v>2261</v>
      </c>
      <c r="C1298" s="87">
        <v>26.15</v>
      </c>
    </row>
    <row r="1299" spans="1:3" ht="14.5" customHeight="1">
      <c r="A1299" s="4">
        <v>3499</v>
      </c>
      <c r="B1299" s="4" t="s">
        <v>2263</v>
      </c>
      <c r="C1299" s="87">
        <v>15.5</v>
      </c>
    </row>
    <row r="1300" spans="1:3" ht="14.5" customHeight="1">
      <c r="A1300" s="4">
        <v>3508</v>
      </c>
      <c r="B1300" s="4" t="s">
        <v>2265</v>
      </c>
      <c r="C1300" s="87">
        <v>29.7</v>
      </c>
    </row>
    <row r="1301" spans="1:3" ht="14.5" customHeight="1">
      <c r="A1301" s="4">
        <v>3511</v>
      </c>
      <c r="B1301" s="4" t="s">
        <v>2267</v>
      </c>
      <c r="C1301" s="87">
        <v>41.7</v>
      </c>
    </row>
    <row r="1302" spans="1:3" ht="14.5" customHeight="1">
      <c r="A1302" s="4">
        <v>3512</v>
      </c>
      <c r="B1302" s="4" t="s">
        <v>2269</v>
      </c>
      <c r="C1302" s="87">
        <v>31</v>
      </c>
    </row>
    <row r="1303" spans="1:3" ht="14.5" customHeight="1">
      <c r="A1303" s="4">
        <v>3516</v>
      </c>
      <c r="B1303" s="4" t="s">
        <v>2271</v>
      </c>
      <c r="C1303" s="87">
        <v>12.1</v>
      </c>
    </row>
    <row r="1304" spans="1:3" ht="14.5" customHeight="1">
      <c r="A1304" s="4">
        <v>3520</v>
      </c>
      <c r="B1304" s="4" t="s">
        <v>2273</v>
      </c>
      <c r="C1304" s="87">
        <v>12.2</v>
      </c>
    </row>
    <row r="1305" spans="1:3" ht="14.5" customHeight="1">
      <c r="A1305" s="4">
        <v>3521</v>
      </c>
      <c r="B1305" s="4" t="s">
        <v>2275</v>
      </c>
      <c r="C1305" s="87">
        <v>20.100000000000001</v>
      </c>
    </row>
    <row r="1306" spans="1:3" ht="14.5" customHeight="1">
      <c r="A1306" s="4">
        <v>3522</v>
      </c>
      <c r="B1306" s="4" t="s">
        <v>2277</v>
      </c>
      <c r="C1306" s="87">
        <v>17.8</v>
      </c>
    </row>
    <row r="1307" spans="1:3" ht="14.5" customHeight="1">
      <c r="A1307" s="4">
        <v>3523</v>
      </c>
      <c r="B1307" s="4" t="s">
        <v>2279</v>
      </c>
      <c r="C1307" s="87">
        <v>11.5</v>
      </c>
    </row>
    <row r="1308" spans="1:3" ht="14.5" customHeight="1">
      <c r="A1308" s="4">
        <v>3526</v>
      </c>
      <c r="B1308" s="4" t="s">
        <v>2281</v>
      </c>
      <c r="C1308" s="87">
        <v>80.7</v>
      </c>
    </row>
    <row r="1309" spans="1:3" ht="14.5" customHeight="1">
      <c r="A1309" s="4">
        <v>3527</v>
      </c>
      <c r="B1309" s="4" t="s">
        <v>2283</v>
      </c>
      <c r="C1309" s="87">
        <v>113.5</v>
      </c>
    </row>
    <row r="1310" spans="1:3" ht="14.5" customHeight="1">
      <c r="A1310" s="4">
        <v>3529</v>
      </c>
      <c r="B1310" s="4" t="s">
        <v>2285</v>
      </c>
      <c r="C1310" s="87">
        <v>356.5</v>
      </c>
    </row>
    <row r="1311" spans="1:3" ht="14.5" customHeight="1">
      <c r="A1311" s="4">
        <v>3531</v>
      </c>
      <c r="B1311" s="4" t="s">
        <v>2287</v>
      </c>
      <c r="C1311" s="87">
        <v>23.45</v>
      </c>
    </row>
    <row r="1312" spans="1:3" ht="14.5" customHeight="1">
      <c r="A1312" s="4">
        <v>3537</v>
      </c>
      <c r="B1312" s="4" t="s">
        <v>2289</v>
      </c>
      <c r="C1312" s="87">
        <v>33</v>
      </c>
    </row>
    <row r="1313" spans="1:3" ht="14.5" customHeight="1">
      <c r="A1313" s="4">
        <v>3540</v>
      </c>
      <c r="B1313" s="4" t="s">
        <v>2291</v>
      </c>
      <c r="C1313" s="87">
        <v>25.2</v>
      </c>
    </row>
    <row r="1314" spans="1:3" ht="14.5" customHeight="1">
      <c r="A1314" s="4">
        <v>3541</v>
      </c>
      <c r="B1314" s="4" t="s">
        <v>2293</v>
      </c>
      <c r="C1314" s="87">
        <v>83.9</v>
      </c>
    </row>
    <row r="1315" spans="1:3" ht="14.5" customHeight="1">
      <c r="A1315" s="4">
        <v>3546</v>
      </c>
      <c r="B1315" s="4" t="s">
        <v>2295</v>
      </c>
      <c r="C1315" s="87">
        <v>102.5</v>
      </c>
    </row>
    <row r="1316" spans="1:3" ht="14.5" customHeight="1">
      <c r="A1316" s="4">
        <v>3548</v>
      </c>
      <c r="B1316" s="4" t="s">
        <v>2297</v>
      </c>
      <c r="C1316" s="87">
        <v>95.3</v>
      </c>
    </row>
    <row r="1317" spans="1:3" ht="14.5" customHeight="1">
      <c r="A1317" s="4">
        <v>3551</v>
      </c>
      <c r="B1317" s="4" t="s">
        <v>2299</v>
      </c>
      <c r="C1317" s="87">
        <v>53.5</v>
      </c>
    </row>
    <row r="1318" spans="1:3" ht="14.5" customHeight="1">
      <c r="A1318" s="4">
        <v>3552</v>
      </c>
      <c r="B1318" s="4" t="s">
        <v>2301</v>
      </c>
      <c r="C1318" s="87">
        <v>72.3</v>
      </c>
    </row>
    <row r="1319" spans="1:3" ht="14.5" customHeight="1">
      <c r="A1319" s="4">
        <v>3555</v>
      </c>
      <c r="B1319" s="4" t="s">
        <v>2303</v>
      </c>
      <c r="C1319" s="87">
        <v>31.35</v>
      </c>
    </row>
    <row r="1320" spans="1:3" ht="14.5" customHeight="1">
      <c r="A1320" s="4">
        <v>3556</v>
      </c>
      <c r="B1320" s="4" t="s">
        <v>2305</v>
      </c>
      <c r="C1320" s="87">
        <v>49.25</v>
      </c>
    </row>
    <row r="1321" spans="1:3" ht="14.5" customHeight="1">
      <c r="A1321" s="4">
        <v>3558</v>
      </c>
      <c r="B1321" s="4" t="s">
        <v>2307</v>
      </c>
      <c r="C1321" s="87">
        <v>121.5</v>
      </c>
    </row>
    <row r="1322" spans="1:3" ht="14.5" customHeight="1">
      <c r="A1322" s="4">
        <v>3562</v>
      </c>
      <c r="B1322" s="4" t="s">
        <v>5973</v>
      </c>
      <c r="C1322" s="87">
        <v>9.58</v>
      </c>
    </row>
    <row r="1323" spans="1:3" ht="14.5" customHeight="1">
      <c r="A1323" s="4">
        <v>3564</v>
      </c>
      <c r="B1323" s="4" t="s">
        <v>2309</v>
      </c>
      <c r="C1323" s="87">
        <v>36.4</v>
      </c>
    </row>
    <row r="1324" spans="1:3" ht="14.5" customHeight="1">
      <c r="A1324" s="4">
        <v>3567</v>
      </c>
      <c r="B1324" s="4" t="s">
        <v>2311</v>
      </c>
      <c r="C1324" s="87">
        <v>23.25</v>
      </c>
    </row>
    <row r="1325" spans="1:3" ht="14.5" customHeight="1">
      <c r="A1325" s="4">
        <v>3570</v>
      </c>
      <c r="B1325" s="4" t="s">
        <v>2313</v>
      </c>
      <c r="C1325" s="87">
        <v>89.5</v>
      </c>
    </row>
    <row r="1326" spans="1:3" ht="14.5" customHeight="1">
      <c r="A1326" s="4">
        <v>3577</v>
      </c>
      <c r="B1326" s="4" t="s">
        <v>2315</v>
      </c>
      <c r="C1326" s="87">
        <v>34.1</v>
      </c>
    </row>
    <row r="1327" spans="1:3" ht="14.5" customHeight="1">
      <c r="A1327" s="4">
        <v>3580</v>
      </c>
      <c r="B1327" s="4" t="s">
        <v>2317</v>
      </c>
      <c r="C1327" s="87">
        <v>29.85</v>
      </c>
    </row>
    <row r="1328" spans="1:3" ht="14.5" customHeight="1">
      <c r="A1328" s="4">
        <v>3581</v>
      </c>
      <c r="B1328" s="4" t="s">
        <v>2319</v>
      </c>
      <c r="C1328" s="87">
        <v>17.5</v>
      </c>
    </row>
    <row r="1329" spans="1:3" ht="14.5" customHeight="1">
      <c r="A1329" s="4">
        <v>3587</v>
      </c>
      <c r="B1329" s="4" t="s">
        <v>2321</v>
      </c>
      <c r="C1329" s="87">
        <v>81.5</v>
      </c>
    </row>
    <row r="1330" spans="1:3" ht="14.5" customHeight="1">
      <c r="A1330" s="4">
        <v>3594</v>
      </c>
      <c r="B1330" s="4" t="s">
        <v>2323</v>
      </c>
      <c r="C1330" s="87">
        <v>22.95</v>
      </c>
    </row>
    <row r="1331" spans="1:3" ht="14.5" customHeight="1">
      <c r="A1331" s="4">
        <v>3609</v>
      </c>
      <c r="B1331" s="4" t="s">
        <v>2327</v>
      </c>
      <c r="C1331" s="87">
        <v>18.850000000000001</v>
      </c>
    </row>
    <row r="1332" spans="1:3" ht="14.5" customHeight="1">
      <c r="A1332" s="4">
        <v>3611</v>
      </c>
      <c r="B1332" s="4" t="s">
        <v>2329</v>
      </c>
      <c r="C1332" s="87">
        <v>244</v>
      </c>
    </row>
    <row r="1333" spans="1:3" ht="14.5" customHeight="1">
      <c r="A1333" s="4">
        <v>3615</v>
      </c>
      <c r="B1333" s="4" t="s">
        <v>2331</v>
      </c>
      <c r="C1333" s="87">
        <v>15.75</v>
      </c>
    </row>
    <row r="1334" spans="1:3" ht="14.5" customHeight="1">
      <c r="A1334" s="4">
        <v>3623</v>
      </c>
      <c r="B1334" s="4" t="s">
        <v>2333</v>
      </c>
      <c r="C1334" s="87">
        <v>21.5</v>
      </c>
    </row>
    <row r="1335" spans="1:3" ht="14.5" customHeight="1">
      <c r="A1335" s="4">
        <v>3624</v>
      </c>
      <c r="B1335" s="4" t="s">
        <v>2335</v>
      </c>
      <c r="C1335" s="87">
        <v>28.1</v>
      </c>
    </row>
    <row r="1336" spans="1:3" ht="14.5" customHeight="1">
      <c r="A1336" s="4">
        <v>3625</v>
      </c>
      <c r="B1336" s="4" t="s">
        <v>2337</v>
      </c>
      <c r="C1336" s="87">
        <v>23.4</v>
      </c>
    </row>
    <row r="1337" spans="1:3" ht="14.5" customHeight="1">
      <c r="A1337" s="4">
        <v>3628</v>
      </c>
      <c r="B1337" s="4" t="s">
        <v>2339</v>
      </c>
      <c r="C1337" s="87">
        <v>33.5</v>
      </c>
    </row>
    <row r="1338" spans="1:3" ht="14.5" customHeight="1">
      <c r="A1338" s="4">
        <v>3629</v>
      </c>
      <c r="B1338" s="4" t="s">
        <v>2341</v>
      </c>
      <c r="C1338" s="87">
        <v>63</v>
      </c>
    </row>
    <row r="1339" spans="1:3" ht="14.5" customHeight="1">
      <c r="A1339" s="4">
        <v>3630</v>
      </c>
      <c r="B1339" s="4" t="s">
        <v>2343</v>
      </c>
      <c r="C1339" s="87">
        <v>92</v>
      </c>
    </row>
    <row r="1340" spans="1:3" ht="14.5" customHeight="1">
      <c r="A1340" s="4">
        <v>3631</v>
      </c>
      <c r="B1340" s="4" t="s">
        <v>2345</v>
      </c>
      <c r="C1340" s="87">
        <v>53</v>
      </c>
    </row>
    <row r="1341" spans="1:3" ht="14.5" customHeight="1">
      <c r="A1341" s="4">
        <v>3632</v>
      </c>
      <c r="B1341" s="4" t="s">
        <v>2347</v>
      </c>
      <c r="C1341" s="87">
        <v>11.9</v>
      </c>
    </row>
    <row r="1342" spans="1:3" ht="14.5" customHeight="1">
      <c r="A1342" s="4">
        <v>3642</v>
      </c>
      <c r="B1342" s="4" t="s">
        <v>2349</v>
      </c>
      <c r="C1342" s="87">
        <v>20.9</v>
      </c>
    </row>
    <row r="1343" spans="1:3" ht="14.5" customHeight="1">
      <c r="A1343" s="4">
        <v>3646</v>
      </c>
      <c r="B1343" s="4" t="s">
        <v>2351</v>
      </c>
      <c r="C1343" s="87">
        <v>17.05</v>
      </c>
    </row>
    <row r="1344" spans="1:3" ht="14.5" customHeight="1">
      <c r="A1344" s="4">
        <v>3652</v>
      </c>
      <c r="B1344" s="4" t="s">
        <v>2353</v>
      </c>
      <c r="C1344" s="87">
        <v>18.149999999999999</v>
      </c>
    </row>
    <row r="1345" spans="1:3" ht="14.5" customHeight="1">
      <c r="A1345" s="4">
        <v>3663</v>
      </c>
      <c r="B1345" s="4" t="s">
        <v>2355</v>
      </c>
      <c r="C1345" s="87">
        <v>22.2</v>
      </c>
    </row>
    <row r="1346" spans="1:3" ht="14.5" customHeight="1">
      <c r="A1346" s="4">
        <v>3664</v>
      </c>
      <c r="B1346" s="4" t="s">
        <v>2357</v>
      </c>
      <c r="C1346" s="87">
        <v>12.85</v>
      </c>
    </row>
    <row r="1347" spans="1:3" ht="14.5" customHeight="1">
      <c r="A1347" s="4">
        <v>3666</v>
      </c>
      <c r="B1347" s="4" t="s">
        <v>2359</v>
      </c>
      <c r="C1347" s="87">
        <v>18.5</v>
      </c>
    </row>
    <row r="1348" spans="1:3" ht="14.5" customHeight="1">
      <c r="A1348" s="4">
        <v>3672</v>
      </c>
      <c r="B1348" s="4" t="s">
        <v>2361</v>
      </c>
      <c r="C1348" s="87">
        <v>15.65</v>
      </c>
    </row>
    <row r="1349" spans="1:3" ht="14.5" customHeight="1">
      <c r="A1349" s="4">
        <v>3675</v>
      </c>
      <c r="B1349" s="4" t="s">
        <v>2363</v>
      </c>
      <c r="C1349" s="87">
        <v>45.7</v>
      </c>
    </row>
    <row r="1350" spans="1:3" ht="14.5" customHeight="1">
      <c r="A1350" s="4">
        <v>3680</v>
      </c>
      <c r="B1350" s="4" t="s">
        <v>2365</v>
      </c>
      <c r="C1350" s="87">
        <v>174.5</v>
      </c>
    </row>
    <row r="1351" spans="1:3" ht="14.5" customHeight="1">
      <c r="A1351" s="4">
        <v>3684</v>
      </c>
      <c r="B1351" s="4" t="s">
        <v>2367</v>
      </c>
      <c r="C1351" s="87">
        <v>43.7</v>
      </c>
    </row>
    <row r="1352" spans="1:3" ht="14.5" customHeight="1">
      <c r="A1352" s="4">
        <v>3685</v>
      </c>
      <c r="B1352" s="4" t="s">
        <v>2369</v>
      </c>
      <c r="C1352" s="87">
        <v>25.3</v>
      </c>
    </row>
    <row r="1353" spans="1:3" ht="14.5" customHeight="1">
      <c r="A1353" s="4">
        <v>3687</v>
      </c>
      <c r="B1353" s="4" t="s">
        <v>2371</v>
      </c>
      <c r="C1353" s="87">
        <v>43.5</v>
      </c>
    </row>
    <row r="1354" spans="1:3" ht="14.5" customHeight="1">
      <c r="A1354" s="4">
        <v>3689</v>
      </c>
      <c r="B1354" s="4" t="s">
        <v>2373</v>
      </c>
      <c r="C1354" s="87">
        <v>26.8</v>
      </c>
    </row>
    <row r="1355" spans="1:3" ht="14.5" customHeight="1">
      <c r="A1355" s="4">
        <v>3691</v>
      </c>
      <c r="B1355" s="4" t="s">
        <v>2375</v>
      </c>
      <c r="C1355" s="87">
        <v>132.5</v>
      </c>
    </row>
    <row r="1356" spans="1:3" ht="14.5" customHeight="1">
      <c r="A1356" s="4">
        <v>3693</v>
      </c>
      <c r="B1356" s="4" t="s">
        <v>2377</v>
      </c>
      <c r="C1356" s="87">
        <v>39.15</v>
      </c>
    </row>
    <row r="1357" spans="1:3" ht="14.5" customHeight="1">
      <c r="A1357" s="4">
        <v>3707</v>
      </c>
      <c r="B1357" s="4" t="s">
        <v>2379</v>
      </c>
      <c r="C1357" s="87">
        <v>27.9</v>
      </c>
    </row>
    <row r="1358" spans="1:3" ht="14.5" customHeight="1">
      <c r="A1358" s="4">
        <v>3709</v>
      </c>
      <c r="B1358" s="4" t="s">
        <v>2381</v>
      </c>
      <c r="C1358" s="87">
        <v>22.6</v>
      </c>
    </row>
    <row r="1359" spans="1:3" ht="14.5" customHeight="1">
      <c r="A1359" s="4">
        <v>3710</v>
      </c>
      <c r="B1359" s="4" t="s">
        <v>2383</v>
      </c>
      <c r="C1359" s="87">
        <v>8.1300000000000008</v>
      </c>
    </row>
    <row r="1360" spans="1:3" ht="14.5" customHeight="1">
      <c r="A1360" s="4">
        <v>4102</v>
      </c>
      <c r="B1360" s="4" t="s">
        <v>2387</v>
      </c>
      <c r="C1360" s="87">
        <v>16.399999999999999</v>
      </c>
    </row>
    <row r="1361" spans="1:3" ht="14.5" customHeight="1">
      <c r="A1361" s="4">
        <v>4105</v>
      </c>
      <c r="B1361" s="4" t="s">
        <v>2389</v>
      </c>
      <c r="C1361" s="87">
        <v>82.4</v>
      </c>
    </row>
    <row r="1362" spans="1:3" ht="14.5" customHeight="1">
      <c r="A1362" s="4">
        <v>4107</v>
      </c>
      <c r="B1362" s="4" t="s">
        <v>2391</v>
      </c>
      <c r="C1362" s="87">
        <v>130.5</v>
      </c>
    </row>
    <row r="1363" spans="1:3" ht="14.5" customHeight="1">
      <c r="A1363" s="4">
        <v>4109</v>
      </c>
      <c r="B1363" s="4" t="s">
        <v>2393</v>
      </c>
      <c r="C1363" s="87">
        <v>20.2</v>
      </c>
    </row>
    <row r="1364" spans="1:3" ht="14.5" customHeight="1">
      <c r="A1364" s="4">
        <v>4111</v>
      </c>
      <c r="B1364" s="4" t="s">
        <v>2395</v>
      </c>
      <c r="C1364" s="87">
        <v>24.85</v>
      </c>
    </row>
    <row r="1365" spans="1:3" ht="14.5" customHeight="1">
      <c r="A1365" s="4">
        <v>4113</v>
      </c>
      <c r="B1365" s="4" t="s">
        <v>2397</v>
      </c>
      <c r="C1365" s="87">
        <v>16.7</v>
      </c>
    </row>
    <row r="1366" spans="1:3" ht="14.5" customHeight="1">
      <c r="A1366" s="4">
        <v>4114</v>
      </c>
      <c r="B1366" s="4" t="s">
        <v>2399</v>
      </c>
      <c r="C1366" s="87">
        <v>24.3</v>
      </c>
    </row>
    <row r="1367" spans="1:3" ht="14.5" customHeight="1">
      <c r="A1367" s="4">
        <v>4116</v>
      </c>
      <c r="B1367" s="4" t="s">
        <v>2401</v>
      </c>
      <c r="C1367" s="87">
        <v>37.200000000000003</v>
      </c>
    </row>
    <row r="1368" spans="1:3" ht="14.5" customHeight="1">
      <c r="A1368" s="4">
        <v>4120</v>
      </c>
      <c r="B1368" s="4" t="s">
        <v>2403</v>
      </c>
      <c r="C1368" s="87">
        <v>55.6</v>
      </c>
    </row>
    <row r="1369" spans="1:3" ht="14.5" customHeight="1">
      <c r="A1369" s="4">
        <v>4121</v>
      </c>
      <c r="B1369" s="4" t="s">
        <v>2405</v>
      </c>
      <c r="C1369" s="87">
        <v>11.9</v>
      </c>
    </row>
    <row r="1370" spans="1:3" ht="14.5" customHeight="1">
      <c r="A1370" s="4">
        <v>4123</v>
      </c>
      <c r="B1370" s="4" t="s">
        <v>2407</v>
      </c>
      <c r="C1370" s="87">
        <v>60</v>
      </c>
    </row>
    <row r="1371" spans="1:3" ht="14.5" customHeight="1">
      <c r="A1371" s="4">
        <v>4126</v>
      </c>
      <c r="B1371" s="4" t="s">
        <v>2409</v>
      </c>
      <c r="C1371" s="87">
        <v>74.3</v>
      </c>
    </row>
    <row r="1372" spans="1:3" ht="14.5" customHeight="1">
      <c r="A1372" s="4">
        <v>4127</v>
      </c>
      <c r="B1372" s="4" t="s">
        <v>2411</v>
      </c>
      <c r="C1372" s="87">
        <v>9.43</v>
      </c>
    </row>
    <row r="1373" spans="1:3" ht="14.5" customHeight="1">
      <c r="A1373" s="4">
        <v>4128</v>
      </c>
      <c r="B1373" s="4" t="s">
        <v>2413</v>
      </c>
      <c r="C1373" s="87">
        <v>14.2</v>
      </c>
    </row>
    <row r="1374" spans="1:3" ht="14.5" customHeight="1">
      <c r="A1374" s="4">
        <v>4129</v>
      </c>
      <c r="B1374" s="4" t="s">
        <v>2415</v>
      </c>
      <c r="C1374" s="87">
        <v>44.4</v>
      </c>
    </row>
    <row r="1375" spans="1:3" ht="14.5" customHeight="1">
      <c r="A1375" s="4">
        <v>4130</v>
      </c>
      <c r="B1375" s="4" t="s">
        <v>2417</v>
      </c>
      <c r="C1375" s="87">
        <v>25.05</v>
      </c>
    </row>
    <row r="1376" spans="1:3" ht="14.5" customHeight="1">
      <c r="A1376" s="4">
        <v>4131</v>
      </c>
      <c r="B1376" s="4" t="s">
        <v>2419</v>
      </c>
      <c r="C1376" s="87">
        <v>4.58</v>
      </c>
    </row>
    <row r="1377" spans="1:3" ht="14.5" customHeight="1">
      <c r="A1377" s="4">
        <v>4138</v>
      </c>
      <c r="B1377" s="4" t="s">
        <v>2421</v>
      </c>
      <c r="C1377" s="87">
        <v>50</v>
      </c>
    </row>
    <row r="1378" spans="1:3" ht="14.5" customHeight="1">
      <c r="A1378" s="4">
        <v>4139</v>
      </c>
      <c r="B1378" s="4" t="s">
        <v>2423</v>
      </c>
      <c r="C1378" s="87">
        <v>39.6</v>
      </c>
    </row>
    <row r="1379" spans="1:3" ht="14.5" customHeight="1">
      <c r="A1379" s="4">
        <v>4147</v>
      </c>
      <c r="B1379" s="4" t="s">
        <v>2425</v>
      </c>
      <c r="C1379" s="87">
        <v>99.1</v>
      </c>
    </row>
    <row r="1380" spans="1:3" ht="14.5" customHeight="1">
      <c r="A1380" s="4">
        <v>4152</v>
      </c>
      <c r="B1380" s="4" t="s">
        <v>2427</v>
      </c>
      <c r="C1380" s="87">
        <v>82</v>
      </c>
    </row>
    <row r="1381" spans="1:3" ht="14.5" customHeight="1">
      <c r="A1381" s="4">
        <v>4153</v>
      </c>
      <c r="B1381" s="4" t="s">
        <v>2429</v>
      </c>
      <c r="C1381" s="87">
        <v>29.55</v>
      </c>
    </row>
    <row r="1382" spans="1:3" ht="14.5" customHeight="1">
      <c r="A1382" s="4">
        <v>4154</v>
      </c>
      <c r="B1382" s="4" t="s">
        <v>2431</v>
      </c>
      <c r="C1382" s="87">
        <v>29.15</v>
      </c>
    </row>
    <row r="1383" spans="1:3" ht="14.5" customHeight="1">
      <c r="A1383" s="4">
        <v>4157</v>
      </c>
      <c r="B1383" s="4" t="s">
        <v>2433</v>
      </c>
      <c r="C1383" s="87">
        <v>18.399999999999999</v>
      </c>
    </row>
    <row r="1384" spans="1:3" ht="14.5" customHeight="1">
      <c r="A1384" s="4">
        <v>4160</v>
      </c>
      <c r="B1384" s="4" t="s">
        <v>2435</v>
      </c>
      <c r="C1384" s="87">
        <v>28.25</v>
      </c>
    </row>
    <row r="1385" spans="1:3" ht="14.5" customHeight="1">
      <c r="A1385" s="4">
        <v>4161</v>
      </c>
      <c r="B1385" s="4" t="s">
        <v>2437</v>
      </c>
      <c r="C1385" s="87">
        <v>34.200000000000003</v>
      </c>
    </row>
    <row r="1386" spans="1:3" ht="14.5" customHeight="1">
      <c r="A1386" s="4">
        <v>4162</v>
      </c>
      <c r="B1386" s="4" t="s">
        <v>2439</v>
      </c>
      <c r="C1386" s="87">
        <v>68.5</v>
      </c>
    </row>
    <row r="1387" spans="1:3" ht="14.5" customHeight="1">
      <c r="A1387" s="4">
        <v>4163</v>
      </c>
      <c r="B1387" s="4" t="s">
        <v>2441</v>
      </c>
      <c r="C1387" s="87">
        <v>133.5</v>
      </c>
    </row>
    <row r="1388" spans="1:3" ht="14.5" customHeight="1">
      <c r="A1388" s="4">
        <v>4167</v>
      </c>
      <c r="B1388" s="4" t="s">
        <v>2443</v>
      </c>
      <c r="C1388" s="87">
        <v>21.95</v>
      </c>
    </row>
    <row r="1389" spans="1:3" ht="14.5" customHeight="1">
      <c r="A1389" s="4">
        <v>4168</v>
      </c>
      <c r="B1389" s="4" t="s">
        <v>2445</v>
      </c>
      <c r="C1389" s="87">
        <v>20.350000000000001</v>
      </c>
    </row>
    <row r="1390" spans="1:3" ht="14.5" customHeight="1">
      <c r="A1390" s="4">
        <v>4171</v>
      </c>
      <c r="B1390" s="4" t="s">
        <v>2447</v>
      </c>
      <c r="C1390" s="87">
        <v>67.5</v>
      </c>
    </row>
    <row r="1391" spans="1:3" ht="14.5" customHeight="1">
      <c r="A1391" s="4">
        <v>4173</v>
      </c>
      <c r="B1391" s="4" t="s">
        <v>2449</v>
      </c>
      <c r="C1391" s="87">
        <v>20.05</v>
      </c>
    </row>
    <row r="1392" spans="1:3" ht="14.5" customHeight="1">
      <c r="A1392" s="4">
        <v>4174</v>
      </c>
      <c r="B1392" s="4" t="s">
        <v>2451</v>
      </c>
      <c r="C1392" s="87">
        <v>132</v>
      </c>
    </row>
    <row r="1393" spans="1:3" ht="14.5" customHeight="1">
      <c r="A1393" s="4">
        <v>4175</v>
      </c>
      <c r="B1393" s="4" t="s">
        <v>2453</v>
      </c>
      <c r="C1393" s="87">
        <v>72.3</v>
      </c>
    </row>
    <row r="1394" spans="1:3" ht="14.5" customHeight="1">
      <c r="A1394" s="4">
        <v>4183</v>
      </c>
      <c r="B1394" s="4" t="s">
        <v>2455</v>
      </c>
      <c r="C1394" s="87">
        <v>19.600000000000001</v>
      </c>
    </row>
    <row r="1395" spans="1:3" ht="14.5" customHeight="1">
      <c r="A1395" s="4">
        <v>4188</v>
      </c>
      <c r="B1395" s="4" t="s">
        <v>2457</v>
      </c>
      <c r="C1395" s="87">
        <v>24.2</v>
      </c>
    </row>
    <row r="1396" spans="1:3" ht="14.5" customHeight="1">
      <c r="A1396" s="4">
        <v>4192</v>
      </c>
      <c r="B1396" s="4" t="s">
        <v>2459</v>
      </c>
      <c r="C1396" s="87">
        <v>30</v>
      </c>
    </row>
    <row r="1397" spans="1:3" ht="14.5" customHeight="1">
      <c r="A1397" s="4">
        <v>4198</v>
      </c>
      <c r="B1397" s="4" t="s">
        <v>2461</v>
      </c>
      <c r="C1397" s="87">
        <v>3.7</v>
      </c>
    </row>
    <row r="1398" spans="1:3" ht="14.5" customHeight="1">
      <c r="A1398" s="4">
        <v>4205</v>
      </c>
      <c r="B1398" s="4" t="s">
        <v>2463</v>
      </c>
      <c r="C1398" s="87">
        <v>89.5</v>
      </c>
    </row>
    <row r="1399" spans="1:3" ht="14.5" customHeight="1">
      <c r="A1399" s="4">
        <v>4207</v>
      </c>
      <c r="B1399" s="4" t="s">
        <v>2465</v>
      </c>
      <c r="C1399" s="87">
        <v>9.99</v>
      </c>
    </row>
    <row r="1400" spans="1:3" ht="14.5" customHeight="1">
      <c r="A1400" s="4">
        <v>4303</v>
      </c>
      <c r="B1400" s="4" t="s">
        <v>2467</v>
      </c>
      <c r="C1400" s="87">
        <v>21.85</v>
      </c>
    </row>
    <row r="1401" spans="1:3" ht="14.5" customHeight="1">
      <c r="A1401" s="4">
        <v>4304</v>
      </c>
      <c r="B1401" s="4" t="s">
        <v>2469</v>
      </c>
      <c r="C1401" s="87">
        <v>7</v>
      </c>
    </row>
    <row r="1402" spans="1:3" ht="14.5" customHeight="1">
      <c r="A1402" s="4">
        <v>4305</v>
      </c>
      <c r="B1402" s="4" t="s">
        <v>2471</v>
      </c>
      <c r="C1402" s="87">
        <v>37</v>
      </c>
    </row>
    <row r="1403" spans="1:3" ht="14.5" customHeight="1">
      <c r="A1403" s="4">
        <v>4401</v>
      </c>
      <c r="B1403" s="4" t="s">
        <v>2473</v>
      </c>
      <c r="C1403" s="87">
        <v>40.700000000000003</v>
      </c>
    </row>
    <row r="1404" spans="1:3" ht="14.5" customHeight="1">
      <c r="A1404" s="4">
        <v>4402</v>
      </c>
      <c r="B1404" s="4" t="s">
        <v>2475</v>
      </c>
      <c r="C1404" s="87">
        <v>5.73</v>
      </c>
    </row>
    <row r="1405" spans="1:3" ht="14.5" customHeight="1">
      <c r="A1405" s="4">
        <v>4406</v>
      </c>
      <c r="B1405" s="4" t="s">
        <v>2477</v>
      </c>
      <c r="C1405" s="87">
        <v>9.08</v>
      </c>
    </row>
    <row r="1406" spans="1:3" ht="14.5" customHeight="1">
      <c r="A1406" s="4">
        <v>4413</v>
      </c>
      <c r="B1406" s="4" t="s">
        <v>2479</v>
      </c>
      <c r="C1406" s="87">
        <v>12.65</v>
      </c>
    </row>
    <row r="1407" spans="1:3" ht="14.5" customHeight="1">
      <c r="A1407" s="4">
        <v>4416</v>
      </c>
      <c r="B1407" s="4" t="s">
        <v>2481</v>
      </c>
      <c r="C1407" s="87">
        <v>83</v>
      </c>
    </row>
    <row r="1408" spans="1:3" ht="14.5" customHeight="1">
      <c r="A1408" s="4">
        <v>4417</v>
      </c>
      <c r="B1408" s="4" t="s">
        <v>2483</v>
      </c>
      <c r="C1408" s="87">
        <v>34.549999999999997</v>
      </c>
    </row>
    <row r="1409" spans="1:3" ht="14.5" customHeight="1">
      <c r="A1409" s="4">
        <v>4419</v>
      </c>
      <c r="B1409" s="4" t="s">
        <v>2485</v>
      </c>
      <c r="C1409" s="87" t="s">
        <v>5971</v>
      </c>
    </row>
    <row r="1410" spans="1:3" ht="14.5" customHeight="1">
      <c r="A1410" s="4">
        <v>4420</v>
      </c>
      <c r="B1410" s="4" t="s">
        <v>2487</v>
      </c>
      <c r="C1410" s="87">
        <v>32.549999999999997</v>
      </c>
    </row>
    <row r="1411" spans="1:3" ht="14.5" customHeight="1">
      <c r="A1411" s="4">
        <v>4429</v>
      </c>
      <c r="B1411" s="4" t="s">
        <v>2489</v>
      </c>
      <c r="C1411" s="87" t="s">
        <v>5971</v>
      </c>
    </row>
    <row r="1412" spans="1:3" ht="14.5" customHeight="1">
      <c r="A1412" s="4">
        <v>4430</v>
      </c>
      <c r="B1412" s="4" t="s">
        <v>2491</v>
      </c>
      <c r="C1412" s="87">
        <v>32.65</v>
      </c>
    </row>
    <row r="1413" spans="1:3" ht="14.5" customHeight="1">
      <c r="A1413" s="4">
        <v>4432</v>
      </c>
      <c r="B1413" s="4" t="s">
        <v>2493</v>
      </c>
      <c r="C1413" s="87">
        <v>19.8</v>
      </c>
    </row>
    <row r="1414" spans="1:3" ht="14.5" customHeight="1">
      <c r="A1414" s="4">
        <v>4433</v>
      </c>
      <c r="B1414" s="4" t="s">
        <v>2495</v>
      </c>
      <c r="C1414" s="87">
        <v>36.5</v>
      </c>
    </row>
    <row r="1415" spans="1:3" ht="14.5" customHeight="1">
      <c r="A1415" s="4">
        <v>4502</v>
      </c>
      <c r="B1415" s="4" t="s">
        <v>2497</v>
      </c>
      <c r="C1415" s="87">
        <v>60.5</v>
      </c>
    </row>
    <row r="1416" spans="1:3" ht="14.5" customHeight="1">
      <c r="A1416" s="4">
        <v>4503</v>
      </c>
      <c r="B1416" s="4" t="s">
        <v>2499</v>
      </c>
      <c r="C1416" s="87">
        <v>24.2</v>
      </c>
    </row>
    <row r="1417" spans="1:3" ht="14.5" customHeight="1">
      <c r="A1417" s="4">
        <v>4506</v>
      </c>
      <c r="B1417" s="4" t="s">
        <v>2501</v>
      </c>
      <c r="C1417" s="87">
        <v>61.4</v>
      </c>
    </row>
    <row r="1418" spans="1:3" ht="14.5" customHeight="1">
      <c r="A1418" s="4">
        <v>4510</v>
      </c>
      <c r="B1418" s="4" t="s">
        <v>2503</v>
      </c>
      <c r="C1418" s="87">
        <v>12.1</v>
      </c>
    </row>
    <row r="1419" spans="1:3" ht="14.5" customHeight="1">
      <c r="A1419" s="4">
        <v>4513</v>
      </c>
      <c r="B1419" s="4" t="s">
        <v>2505</v>
      </c>
      <c r="C1419" s="87">
        <v>9.8800000000000008</v>
      </c>
    </row>
    <row r="1420" spans="1:3" ht="14.5" customHeight="1">
      <c r="A1420" s="4">
        <v>4523</v>
      </c>
      <c r="B1420" s="4" t="s">
        <v>2507</v>
      </c>
      <c r="C1420" s="87">
        <v>30.65</v>
      </c>
    </row>
    <row r="1421" spans="1:3" ht="14.5" customHeight="1">
      <c r="A1421" s="4">
        <v>4527</v>
      </c>
      <c r="B1421" s="4" t="s">
        <v>2509</v>
      </c>
      <c r="C1421" s="87">
        <v>24.3</v>
      </c>
    </row>
    <row r="1422" spans="1:3" ht="14.5" customHeight="1">
      <c r="A1422" s="4">
        <v>4528</v>
      </c>
      <c r="B1422" s="4" t="s">
        <v>2511</v>
      </c>
      <c r="C1422" s="87">
        <v>49</v>
      </c>
    </row>
    <row r="1423" spans="1:3" ht="14.5" customHeight="1">
      <c r="A1423" s="4">
        <v>4529</v>
      </c>
      <c r="B1423" s="4" t="s">
        <v>2513</v>
      </c>
      <c r="C1423" s="87">
        <v>16.649999999999999</v>
      </c>
    </row>
    <row r="1424" spans="1:3" ht="14.5" customHeight="1">
      <c r="A1424" s="4">
        <v>4530</v>
      </c>
      <c r="B1424" s="4" t="s">
        <v>2515</v>
      </c>
      <c r="C1424" s="87">
        <v>9</v>
      </c>
    </row>
    <row r="1425" spans="1:3" ht="14.5" customHeight="1">
      <c r="A1425" s="4">
        <v>4533</v>
      </c>
      <c r="B1425" s="4" t="s">
        <v>2517</v>
      </c>
      <c r="C1425" s="87">
        <v>11.7</v>
      </c>
    </row>
    <row r="1426" spans="1:3" ht="14.5" customHeight="1">
      <c r="A1426" s="4">
        <v>4534</v>
      </c>
      <c r="B1426" s="4" t="s">
        <v>2519</v>
      </c>
      <c r="C1426" s="87">
        <v>8.39</v>
      </c>
    </row>
    <row r="1427" spans="1:3" ht="14.5" customHeight="1">
      <c r="A1427" s="4">
        <v>4535</v>
      </c>
      <c r="B1427" s="4" t="s">
        <v>2521</v>
      </c>
      <c r="C1427" s="87">
        <v>27.75</v>
      </c>
    </row>
    <row r="1428" spans="1:3" ht="14.5" customHeight="1">
      <c r="A1428" s="4">
        <v>4538</v>
      </c>
      <c r="B1428" s="4" t="s">
        <v>2523</v>
      </c>
      <c r="C1428" s="87">
        <v>16.600000000000001</v>
      </c>
    </row>
    <row r="1429" spans="1:3" ht="14.5" customHeight="1">
      <c r="A1429" s="4">
        <v>4541</v>
      </c>
      <c r="B1429" s="4" t="s">
        <v>2525</v>
      </c>
      <c r="C1429" s="87">
        <v>26.8</v>
      </c>
    </row>
    <row r="1430" spans="1:3" ht="14.5" customHeight="1">
      <c r="A1430" s="4">
        <v>4542</v>
      </c>
      <c r="B1430" s="4" t="s">
        <v>2527</v>
      </c>
      <c r="C1430" s="87">
        <v>27.35</v>
      </c>
    </row>
    <row r="1431" spans="1:3" ht="14.5" customHeight="1">
      <c r="A1431" s="4">
        <v>4543</v>
      </c>
      <c r="B1431" s="4" t="s">
        <v>2529</v>
      </c>
      <c r="C1431" s="87">
        <v>18.350000000000001</v>
      </c>
    </row>
    <row r="1432" spans="1:3" ht="14.5" customHeight="1">
      <c r="A1432" s="4">
        <v>4549</v>
      </c>
      <c r="B1432" s="4" t="s">
        <v>2531</v>
      </c>
      <c r="C1432" s="87">
        <v>87.9</v>
      </c>
    </row>
    <row r="1433" spans="1:3" ht="14.5" customHeight="1">
      <c r="A1433" s="4">
        <v>4550</v>
      </c>
      <c r="B1433" s="4" t="s">
        <v>2533</v>
      </c>
      <c r="C1433" s="87">
        <v>27.4</v>
      </c>
    </row>
    <row r="1434" spans="1:3" ht="14.5" customHeight="1">
      <c r="A1434" s="4">
        <v>4554</v>
      </c>
      <c r="B1434" s="4" t="s">
        <v>2535</v>
      </c>
      <c r="C1434" s="87">
        <v>24.35</v>
      </c>
    </row>
    <row r="1435" spans="1:3" ht="14.5" customHeight="1">
      <c r="A1435" s="4">
        <v>4556</v>
      </c>
      <c r="B1435" s="4" t="s">
        <v>2537</v>
      </c>
      <c r="C1435" s="87">
        <v>34.299999999999997</v>
      </c>
    </row>
    <row r="1436" spans="1:3" ht="14.5" customHeight="1">
      <c r="A1436" s="4">
        <v>4561</v>
      </c>
      <c r="B1436" s="4" t="s">
        <v>2539</v>
      </c>
      <c r="C1436" s="87">
        <v>24.5</v>
      </c>
    </row>
    <row r="1437" spans="1:3" ht="14.5" customHeight="1">
      <c r="A1437" s="4">
        <v>4563</v>
      </c>
      <c r="B1437" s="4" t="s">
        <v>2541</v>
      </c>
      <c r="C1437" s="87">
        <v>46.85</v>
      </c>
    </row>
    <row r="1438" spans="1:3" ht="14.5" customHeight="1">
      <c r="A1438" s="4">
        <v>4568</v>
      </c>
      <c r="B1438" s="4" t="s">
        <v>2543</v>
      </c>
      <c r="C1438" s="87">
        <v>64.5</v>
      </c>
    </row>
    <row r="1439" spans="1:3" ht="14.5" customHeight="1">
      <c r="A1439" s="4">
        <v>4609</v>
      </c>
      <c r="B1439" s="4" t="s">
        <v>2547</v>
      </c>
      <c r="C1439" s="87">
        <v>12.1</v>
      </c>
    </row>
    <row r="1440" spans="1:3" ht="14.5" customHeight="1">
      <c r="A1440" s="4">
        <v>4702</v>
      </c>
      <c r="B1440" s="4" t="s">
        <v>2549</v>
      </c>
      <c r="C1440" s="87">
        <v>13.75</v>
      </c>
    </row>
    <row r="1441" spans="1:3" ht="14.5" customHeight="1">
      <c r="A1441" s="4">
        <v>4706</v>
      </c>
      <c r="B1441" s="4" t="s">
        <v>2551</v>
      </c>
      <c r="C1441" s="87">
        <v>18.7</v>
      </c>
    </row>
    <row r="1442" spans="1:3" ht="14.5" customHeight="1">
      <c r="A1442" s="4">
        <v>4707</v>
      </c>
      <c r="B1442" s="4" t="s">
        <v>2553</v>
      </c>
      <c r="C1442" s="87">
        <v>9.75</v>
      </c>
    </row>
    <row r="1443" spans="1:3" ht="14.5" customHeight="1">
      <c r="A1443" s="4">
        <v>4711</v>
      </c>
      <c r="B1443" s="4" t="s">
        <v>2555</v>
      </c>
      <c r="C1443" s="87">
        <v>14.25</v>
      </c>
    </row>
    <row r="1444" spans="1:3" ht="14.5" customHeight="1">
      <c r="A1444" s="4">
        <v>4712</v>
      </c>
      <c r="B1444" s="4" t="s">
        <v>2557</v>
      </c>
      <c r="C1444" s="87">
        <v>11.4</v>
      </c>
    </row>
    <row r="1445" spans="1:3" ht="14.5" customHeight="1">
      <c r="A1445" s="4">
        <v>4714</v>
      </c>
      <c r="B1445" s="4" t="s">
        <v>2559</v>
      </c>
      <c r="C1445" s="87">
        <v>14.8</v>
      </c>
    </row>
    <row r="1446" spans="1:3" ht="14.5" customHeight="1">
      <c r="A1446" s="4">
        <v>4716</v>
      </c>
      <c r="B1446" s="4" t="s">
        <v>2561</v>
      </c>
      <c r="C1446" s="87">
        <v>14.3</v>
      </c>
    </row>
    <row r="1447" spans="1:3" ht="14.5" customHeight="1">
      <c r="A1447" s="4">
        <v>4721</v>
      </c>
      <c r="B1447" s="4" t="s">
        <v>2563</v>
      </c>
      <c r="C1447" s="87">
        <v>69.7</v>
      </c>
    </row>
    <row r="1448" spans="1:3" ht="14.5" customHeight="1">
      <c r="A1448" s="4">
        <v>4726</v>
      </c>
      <c r="B1448" s="4" t="s">
        <v>2565</v>
      </c>
      <c r="C1448" s="87">
        <v>23.3</v>
      </c>
    </row>
    <row r="1449" spans="1:3" ht="14.5" customHeight="1">
      <c r="A1449" s="4">
        <v>4728</v>
      </c>
      <c r="B1449" s="4" t="s">
        <v>2567</v>
      </c>
      <c r="C1449" s="87">
        <v>80.2</v>
      </c>
    </row>
    <row r="1450" spans="1:3" ht="14.5" customHeight="1">
      <c r="A1450" s="4">
        <v>4729</v>
      </c>
      <c r="B1450" s="4" t="s">
        <v>2569</v>
      </c>
      <c r="C1450" s="87">
        <v>11.05</v>
      </c>
    </row>
    <row r="1451" spans="1:3" ht="14.5" customHeight="1">
      <c r="A1451" s="4">
        <v>4735</v>
      </c>
      <c r="B1451" s="4" t="s">
        <v>2571</v>
      </c>
      <c r="C1451" s="87">
        <v>47</v>
      </c>
    </row>
    <row r="1452" spans="1:3" ht="14.5" customHeight="1">
      <c r="A1452" s="4">
        <v>4736</v>
      </c>
      <c r="B1452" s="4" t="s">
        <v>2573</v>
      </c>
      <c r="C1452" s="87">
        <v>130.5</v>
      </c>
    </row>
    <row r="1453" spans="1:3" ht="14.5" customHeight="1">
      <c r="A1453" s="4">
        <v>4741</v>
      </c>
      <c r="B1453" s="4" t="s">
        <v>2575</v>
      </c>
      <c r="C1453" s="87">
        <v>30</v>
      </c>
    </row>
    <row r="1454" spans="1:3" ht="14.5" customHeight="1">
      <c r="A1454" s="4">
        <v>4743</v>
      </c>
      <c r="B1454" s="4" t="s">
        <v>2577</v>
      </c>
      <c r="C1454" s="87">
        <v>29.4</v>
      </c>
    </row>
    <row r="1455" spans="1:3" ht="14.5" customHeight="1">
      <c r="A1455" s="4">
        <v>4744</v>
      </c>
      <c r="B1455" s="4" t="s">
        <v>2579</v>
      </c>
      <c r="C1455" s="87">
        <v>33.85</v>
      </c>
    </row>
    <row r="1456" spans="1:3" ht="14.5" customHeight="1">
      <c r="A1456" s="4">
        <v>4745</v>
      </c>
      <c r="B1456" s="4" t="s">
        <v>2581</v>
      </c>
      <c r="C1456" s="87">
        <v>41.6</v>
      </c>
    </row>
    <row r="1457" spans="1:3" ht="14.5" customHeight="1">
      <c r="A1457" s="4">
        <v>4747</v>
      </c>
      <c r="B1457" s="4" t="s">
        <v>2583</v>
      </c>
      <c r="C1457" s="87">
        <v>39</v>
      </c>
    </row>
    <row r="1458" spans="1:3" ht="14.5" customHeight="1">
      <c r="A1458" s="4">
        <v>4754</v>
      </c>
      <c r="B1458" s="4" t="s">
        <v>2585</v>
      </c>
      <c r="C1458" s="87">
        <v>52.6</v>
      </c>
    </row>
    <row r="1459" spans="1:3" ht="14.5" customHeight="1">
      <c r="A1459" s="4">
        <v>4760</v>
      </c>
      <c r="B1459" s="4" t="s">
        <v>2587</v>
      </c>
      <c r="C1459" s="87">
        <v>34.200000000000003</v>
      </c>
    </row>
    <row r="1460" spans="1:3" ht="14.5" customHeight="1">
      <c r="A1460" s="4">
        <v>4767</v>
      </c>
      <c r="B1460" s="4" t="s">
        <v>2589</v>
      </c>
      <c r="C1460" s="87" t="s">
        <v>5971</v>
      </c>
    </row>
    <row r="1461" spans="1:3" ht="14.5" customHeight="1">
      <c r="A1461" s="4">
        <v>4803</v>
      </c>
      <c r="B1461" s="4" t="s">
        <v>2591</v>
      </c>
      <c r="C1461" s="87">
        <v>114</v>
      </c>
    </row>
    <row r="1462" spans="1:3" ht="14.5" customHeight="1">
      <c r="A1462" s="4">
        <v>4804</v>
      </c>
      <c r="B1462" s="4" t="s">
        <v>2593</v>
      </c>
      <c r="C1462" s="87">
        <v>13.5</v>
      </c>
    </row>
    <row r="1463" spans="1:3" ht="14.5" customHeight="1">
      <c r="A1463" s="4">
        <v>4806</v>
      </c>
      <c r="B1463" s="4" t="s">
        <v>2595</v>
      </c>
      <c r="C1463" s="87">
        <v>10.1</v>
      </c>
    </row>
    <row r="1464" spans="1:3" ht="14.5" customHeight="1">
      <c r="A1464" s="4">
        <v>4903</v>
      </c>
      <c r="B1464" s="4" t="s">
        <v>2597</v>
      </c>
      <c r="C1464" s="87">
        <v>16.7</v>
      </c>
    </row>
    <row r="1465" spans="1:3" ht="14.5" customHeight="1">
      <c r="A1465" s="4">
        <v>4905</v>
      </c>
      <c r="B1465" s="4" t="s">
        <v>2599</v>
      </c>
      <c r="C1465" s="87">
        <v>58.5</v>
      </c>
    </row>
    <row r="1466" spans="1:3" ht="14.5" customHeight="1">
      <c r="A1466" s="4">
        <v>4907</v>
      </c>
      <c r="B1466" s="4" t="s">
        <v>2601</v>
      </c>
      <c r="C1466" s="87">
        <v>27.8</v>
      </c>
    </row>
    <row r="1467" spans="1:3" ht="14.5" customHeight="1">
      <c r="A1467" s="4">
        <v>4908</v>
      </c>
      <c r="B1467" s="4" t="s">
        <v>2603</v>
      </c>
      <c r="C1467" s="87">
        <v>40.299999999999997</v>
      </c>
    </row>
    <row r="1468" spans="1:3" ht="14.5" customHeight="1">
      <c r="A1468" s="4">
        <v>4909</v>
      </c>
      <c r="B1468" s="4" t="s">
        <v>2605</v>
      </c>
      <c r="C1468" s="87">
        <v>19.350000000000001</v>
      </c>
    </row>
    <row r="1469" spans="1:3" ht="14.5" customHeight="1">
      <c r="A1469" s="4">
        <v>4911</v>
      </c>
      <c r="B1469" s="4" t="s">
        <v>2607</v>
      </c>
      <c r="C1469" s="87">
        <v>36</v>
      </c>
    </row>
    <row r="1470" spans="1:3" ht="14.5" customHeight="1">
      <c r="A1470" s="4">
        <v>4924</v>
      </c>
      <c r="B1470" s="4" t="s">
        <v>2609</v>
      </c>
      <c r="C1470" s="87">
        <v>9</v>
      </c>
    </row>
    <row r="1471" spans="1:3" ht="14.5" customHeight="1">
      <c r="A1471" s="4">
        <v>4931</v>
      </c>
      <c r="B1471" s="4" t="s">
        <v>2611</v>
      </c>
      <c r="C1471" s="87">
        <v>32.6</v>
      </c>
    </row>
    <row r="1472" spans="1:3" ht="14.5" customHeight="1">
      <c r="A1472" s="4">
        <v>4933</v>
      </c>
      <c r="B1472" s="4" t="s">
        <v>2613</v>
      </c>
      <c r="C1472" s="87">
        <v>26.3</v>
      </c>
    </row>
    <row r="1473" spans="1:3" ht="14.5" customHeight="1">
      <c r="A1473" s="4">
        <v>4939</v>
      </c>
      <c r="B1473" s="4" t="s">
        <v>2615</v>
      </c>
      <c r="C1473" s="87">
        <v>17.75</v>
      </c>
    </row>
    <row r="1474" spans="1:3" ht="14.5" customHeight="1">
      <c r="A1474" s="4">
        <v>4944</v>
      </c>
      <c r="B1474" s="4" t="s">
        <v>2617</v>
      </c>
      <c r="C1474" s="87">
        <v>11.85</v>
      </c>
    </row>
    <row r="1475" spans="1:3" ht="14.5" customHeight="1">
      <c r="A1475" s="4">
        <v>4946</v>
      </c>
      <c r="B1475" s="4" t="s">
        <v>2619</v>
      </c>
      <c r="C1475" s="87">
        <v>27.8</v>
      </c>
    </row>
    <row r="1476" spans="1:3" ht="14.5" customHeight="1">
      <c r="A1476" s="4">
        <v>4947</v>
      </c>
      <c r="B1476" s="4" t="s">
        <v>2621</v>
      </c>
      <c r="C1476" s="87">
        <v>214</v>
      </c>
    </row>
    <row r="1477" spans="1:3" ht="14.5" customHeight="1">
      <c r="A1477" s="4">
        <v>4950</v>
      </c>
      <c r="B1477" s="4" t="s">
        <v>2623</v>
      </c>
      <c r="C1477" s="87">
        <v>9.18</v>
      </c>
    </row>
    <row r="1478" spans="1:3" ht="14.5" customHeight="1">
      <c r="A1478" s="4">
        <v>4953</v>
      </c>
      <c r="B1478" s="4" t="s">
        <v>2625</v>
      </c>
      <c r="C1478" s="87">
        <v>105.5</v>
      </c>
    </row>
    <row r="1479" spans="1:3" ht="14.5" customHeight="1">
      <c r="A1479" s="4">
        <v>4966</v>
      </c>
      <c r="B1479" s="4" t="s">
        <v>2627</v>
      </c>
      <c r="C1479" s="87">
        <v>615</v>
      </c>
    </row>
    <row r="1480" spans="1:3" ht="14.5" customHeight="1">
      <c r="A1480" s="4">
        <v>4971</v>
      </c>
      <c r="B1480" s="4" t="s">
        <v>2629</v>
      </c>
      <c r="C1480" s="87">
        <v>64.099999999999994</v>
      </c>
    </row>
    <row r="1481" spans="1:3" ht="14.5" customHeight="1">
      <c r="A1481" s="4">
        <v>4972</v>
      </c>
      <c r="B1481" s="4" t="s">
        <v>2631</v>
      </c>
      <c r="C1481" s="87">
        <v>32.1</v>
      </c>
    </row>
    <row r="1482" spans="1:3" ht="14.5" customHeight="1">
      <c r="A1482" s="4">
        <v>4973</v>
      </c>
      <c r="B1482" s="4" t="s">
        <v>2633</v>
      </c>
      <c r="C1482" s="87">
        <v>25.75</v>
      </c>
    </row>
    <row r="1483" spans="1:3" ht="14.5" customHeight="1">
      <c r="A1483" s="4">
        <v>4974</v>
      </c>
      <c r="B1483" s="4" t="s">
        <v>2635</v>
      </c>
      <c r="C1483" s="87">
        <v>60</v>
      </c>
    </row>
    <row r="1484" spans="1:3" ht="14.5" customHeight="1">
      <c r="A1484" s="4">
        <v>4979</v>
      </c>
      <c r="B1484" s="4" t="s">
        <v>2637</v>
      </c>
      <c r="C1484" s="87">
        <v>25.55</v>
      </c>
    </row>
    <row r="1485" spans="1:3" ht="14.5" customHeight="1">
      <c r="A1485" s="4">
        <v>4987</v>
      </c>
      <c r="B1485" s="4" t="s">
        <v>2639</v>
      </c>
      <c r="C1485" s="87">
        <v>59.5</v>
      </c>
    </row>
    <row r="1486" spans="1:3" ht="14.5" customHeight="1">
      <c r="A1486" s="4">
        <v>4991</v>
      </c>
      <c r="B1486" s="4" t="s">
        <v>2641</v>
      </c>
      <c r="C1486" s="87">
        <v>68.900000000000006</v>
      </c>
    </row>
    <row r="1487" spans="1:3" ht="14.5" customHeight="1">
      <c r="A1487" s="4">
        <v>4995</v>
      </c>
      <c r="B1487" s="4" t="s">
        <v>2643</v>
      </c>
      <c r="C1487" s="87">
        <v>48.7</v>
      </c>
    </row>
    <row r="1488" spans="1:3" ht="14.5" customHeight="1">
      <c r="A1488" s="4">
        <v>5009</v>
      </c>
      <c r="B1488" s="4" t="s">
        <v>2645</v>
      </c>
      <c r="C1488" s="87">
        <v>18.649999999999999</v>
      </c>
    </row>
    <row r="1489" spans="1:3" ht="14.5" customHeight="1">
      <c r="A1489" s="4">
        <v>5011</v>
      </c>
      <c r="B1489" s="4" t="s">
        <v>2647</v>
      </c>
      <c r="C1489" s="87">
        <v>15.5</v>
      </c>
    </row>
    <row r="1490" spans="1:3" ht="14.5" customHeight="1">
      <c r="A1490" s="4">
        <v>5013</v>
      </c>
      <c r="B1490" s="4" t="s">
        <v>2649</v>
      </c>
      <c r="C1490" s="87">
        <v>25.75</v>
      </c>
    </row>
    <row r="1491" spans="1:3" ht="14.5" customHeight="1">
      <c r="A1491" s="4">
        <v>5014</v>
      </c>
      <c r="B1491" s="4" t="s">
        <v>2651</v>
      </c>
      <c r="C1491" s="87">
        <v>9.33</v>
      </c>
    </row>
    <row r="1492" spans="1:3" ht="14.5" customHeight="1">
      <c r="A1492" s="4">
        <v>5015</v>
      </c>
      <c r="B1492" s="4" t="s">
        <v>2653</v>
      </c>
      <c r="C1492" s="87">
        <v>37.799999999999997</v>
      </c>
    </row>
    <row r="1493" spans="1:3" ht="14.5" customHeight="1">
      <c r="A1493" s="4">
        <v>5016</v>
      </c>
      <c r="B1493" s="4" t="s">
        <v>2655</v>
      </c>
      <c r="C1493" s="87">
        <v>28.8</v>
      </c>
    </row>
    <row r="1494" spans="1:3" ht="14.5" customHeight="1">
      <c r="A1494" s="4">
        <v>5102</v>
      </c>
      <c r="B1494" s="4" t="s">
        <v>2657</v>
      </c>
      <c r="C1494" s="87">
        <v>15.45</v>
      </c>
    </row>
    <row r="1495" spans="1:3" ht="14.5" customHeight="1">
      <c r="A1495" s="4">
        <v>5201</v>
      </c>
      <c r="B1495" s="4" t="s">
        <v>2659</v>
      </c>
      <c r="C1495" s="87">
        <v>35</v>
      </c>
    </row>
    <row r="1496" spans="1:3" ht="14.5" customHeight="1">
      <c r="A1496" s="4">
        <v>5202</v>
      </c>
      <c r="B1496" s="4" t="s">
        <v>2661</v>
      </c>
      <c r="C1496" s="87">
        <v>16.5</v>
      </c>
    </row>
    <row r="1497" spans="1:3" ht="14.5" customHeight="1">
      <c r="A1497" s="4">
        <v>5205</v>
      </c>
      <c r="B1497" s="4" t="s">
        <v>2663</v>
      </c>
      <c r="C1497" s="87" t="s">
        <v>5971</v>
      </c>
    </row>
    <row r="1498" spans="1:3" ht="14.5" customHeight="1">
      <c r="A1498" s="4">
        <v>5206</v>
      </c>
      <c r="B1498" s="4" t="s">
        <v>2665</v>
      </c>
      <c r="C1498" s="87">
        <v>18.05</v>
      </c>
    </row>
    <row r="1499" spans="1:3" ht="14.5" customHeight="1">
      <c r="A1499" s="4">
        <v>5209</v>
      </c>
      <c r="B1499" s="4" t="s">
        <v>2667</v>
      </c>
      <c r="C1499" s="87">
        <v>47.75</v>
      </c>
    </row>
    <row r="1500" spans="1:3" ht="14.5" customHeight="1">
      <c r="A1500" s="4">
        <v>5210</v>
      </c>
      <c r="B1500" s="4" t="s">
        <v>2669</v>
      </c>
      <c r="C1500" s="87">
        <v>7.3</v>
      </c>
    </row>
    <row r="1501" spans="1:3" ht="14.5" customHeight="1">
      <c r="A1501" s="4">
        <v>5211</v>
      </c>
      <c r="B1501" s="4" t="s">
        <v>2671</v>
      </c>
      <c r="C1501" s="87">
        <v>16.149999999999999</v>
      </c>
    </row>
    <row r="1502" spans="1:3" ht="14.5" customHeight="1">
      <c r="A1502" s="4">
        <v>5212</v>
      </c>
      <c r="B1502" s="4" t="s">
        <v>2673</v>
      </c>
      <c r="C1502" s="87">
        <v>34.25</v>
      </c>
    </row>
    <row r="1503" spans="1:3" ht="14.5" customHeight="1">
      <c r="A1503" s="4">
        <v>5213</v>
      </c>
      <c r="B1503" s="4" t="s">
        <v>2675</v>
      </c>
      <c r="C1503" s="87">
        <v>18.850000000000001</v>
      </c>
    </row>
    <row r="1504" spans="1:3" ht="14.5" customHeight="1">
      <c r="A1504" s="4">
        <v>5220</v>
      </c>
      <c r="B1504" s="4" t="s">
        <v>2677</v>
      </c>
      <c r="C1504" s="87">
        <v>29.2</v>
      </c>
    </row>
    <row r="1505" spans="1:3" ht="14.5" customHeight="1">
      <c r="A1505" s="4">
        <v>5223</v>
      </c>
      <c r="B1505" s="4" t="s">
        <v>2679</v>
      </c>
      <c r="C1505" s="87">
        <v>39.5</v>
      </c>
    </row>
    <row r="1506" spans="1:3" ht="14.5" customHeight="1">
      <c r="A1506" s="4">
        <v>5227</v>
      </c>
      <c r="B1506" s="4" t="s">
        <v>2681</v>
      </c>
      <c r="C1506" s="87">
        <v>15.45</v>
      </c>
    </row>
    <row r="1507" spans="1:3" ht="14.5" customHeight="1">
      <c r="A1507" s="4">
        <v>5230</v>
      </c>
      <c r="B1507" s="4" t="s">
        <v>2683</v>
      </c>
      <c r="C1507" s="87">
        <v>25.75</v>
      </c>
    </row>
    <row r="1508" spans="1:3" ht="14.5" customHeight="1">
      <c r="A1508" s="4">
        <v>5245</v>
      </c>
      <c r="B1508" s="4" t="s">
        <v>2685</v>
      </c>
      <c r="C1508" s="87">
        <v>30.25</v>
      </c>
    </row>
    <row r="1509" spans="1:3" ht="14.5" customHeight="1">
      <c r="A1509" s="4">
        <v>5251</v>
      </c>
      <c r="B1509" s="4" t="s">
        <v>2687</v>
      </c>
      <c r="C1509" s="87">
        <v>13.65</v>
      </c>
    </row>
    <row r="1510" spans="1:3" ht="14.5" customHeight="1">
      <c r="A1510" s="4">
        <v>5263</v>
      </c>
      <c r="B1510" s="4" t="s">
        <v>2689</v>
      </c>
      <c r="C1510" s="87">
        <v>174.5</v>
      </c>
    </row>
    <row r="1511" spans="1:3" ht="14.5" customHeight="1">
      <c r="A1511" s="4">
        <v>5272</v>
      </c>
      <c r="B1511" s="4" t="s">
        <v>2691</v>
      </c>
      <c r="C1511" s="87">
        <v>26.9</v>
      </c>
    </row>
    <row r="1512" spans="1:3" ht="14.5" customHeight="1">
      <c r="A1512" s="4">
        <v>5274</v>
      </c>
      <c r="B1512" s="4" t="s">
        <v>2693</v>
      </c>
      <c r="C1512" s="87">
        <v>959</v>
      </c>
    </row>
    <row r="1513" spans="1:3" ht="14.5" customHeight="1">
      <c r="A1513" s="4">
        <v>5276</v>
      </c>
      <c r="B1513" s="4" t="s">
        <v>2695</v>
      </c>
      <c r="C1513" s="87">
        <v>11.35</v>
      </c>
    </row>
    <row r="1514" spans="1:3" ht="14.5" customHeight="1">
      <c r="A1514" s="4">
        <v>5278</v>
      </c>
      <c r="B1514" s="4" t="s">
        <v>2697</v>
      </c>
      <c r="C1514" s="87">
        <v>134</v>
      </c>
    </row>
    <row r="1515" spans="1:3" ht="14.5" customHeight="1">
      <c r="A1515" s="4">
        <v>5281</v>
      </c>
      <c r="B1515" s="4" t="s">
        <v>2699</v>
      </c>
      <c r="C1515" s="87">
        <v>26.9</v>
      </c>
    </row>
    <row r="1516" spans="1:3" ht="14.5" customHeight="1">
      <c r="A1516" s="4">
        <v>5287</v>
      </c>
      <c r="B1516" s="4" t="s">
        <v>2701</v>
      </c>
      <c r="C1516" s="87">
        <v>240.5</v>
      </c>
    </row>
    <row r="1517" spans="1:3" ht="14.5" customHeight="1">
      <c r="A1517" s="4">
        <v>5289</v>
      </c>
      <c r="B1517" s="4" t="s">
        <v>2703</v>
      </c>
      <c r="C1517" s="87">
        <v>173</v>
      </c>
    </row>
    <row r="1518" spans="1:3" ht="14.5" customHeight="1">
      <c r="A1518" s="4">
        <v>5291</v>
      </c>
      <c r="B1518" s="4" t="s">
        <v>2705</v>
      </c>
      <c r="C1518" s="87">
        <v>32</v>
      </c>
    </row>
    <row r="1519" spans="1:3" ht="14.5" customHeight="1">
      <c r="A1519" s="4">
        <v>5299</v>
      </c>
      <c r="B1519" s="4" t="s">
        <v>2707</v>
      </c>
      <c r="C1519" s="87">
        <v>119.5</v>
      </c>
    </row>
    <row r="1520" spans="1:3" ht="14.5" customHeight="1">
      <c r="A1520" s="4">
        <v>5301</v>
      </c>
      <c r="B1520" s="4" t="s">
        <v>2709</v>
      </c>
      <c r="C1520" s="87">
        <v>13.65</v>
      </c>
    </row>
    <row r="1521" spans="1:3" ht="14.5" customHeight="1">
      <c r="A1521" s="4">
        <v>5302</v>
      </c>
      <c r="B1521" s="4" t="s">
        <v>2711</v>
      </c>
      <c r="C1521" s="87">
        <v>6</v>
      </c>
    </row>
    <row r="1522" spans="1:3" ht="14.5" customHeight="1">
      <c r="A1522" s="4">
        <v>5304</v>
      </c>
      <c r="B1522" s="4" t="s">
        <v>2713</v>
      </c>
      <c r="C1522" s="87">
        <v>2.52</v>
      </c>
    </row>
    <row r="1523" spans="1:3" ht="14.5" customHeight="1">
      <c r="A1523" s="4">
        <v>5306</v>
      </c>
      <c r="B1523" s="4" t="s">
        <v>2715</v>
      </c>
      <c r="C1523" s="87">
        <v>107</v>
      </c>
    </row>
    <row r="1524" spans="1:3" ht="14.5" customHeight="1">
      <c r="A1524" s="4">
        <v>5309</v>
      </c>
      <c r="B1524" s="4" t="s">
        <v>2717</v>
      </c>
      <c r="C1524" s="87">
        <v>17.850000000000001</v>
      </c>
    </row>
    <row r="1525" spans="1:3" ht="14.5" customHeight="1">
      <c r="A1525" s="4">
        <v>5310</v>
      </c>
      <c r="B1525" s="4" t="s">
        <v>2719</v>
      </c>
      <c r="C1525" s="87">
        <v>20.5</v>
      </c>
    </row>
    <row r="1526" spans="1:3" ht="14.5" customHeight="1">
      <c r="A1526" s="4">
        <v>5312</v>
      </c>
      <c r="B1526" s="4" t="s">
        <v>2721</v>
      </c>
      <c r="C1526" s="87">
        <v>67.5</v>
      </c>
    </row>
    <row r="1527" spans="1:3" ht="14.5" customHeight="1">
      <c r="A1527" s="4">
        <v>5314</v>
      </c>
      <c r="B1527" s="4" t="s">
        <v>2723</v>
      </c>
      <c r="C1527" s="87">
        <v>5.98</v>
      </c>
    </row>
    <row r="1528" spans="1:3" ht="14.5" customHeight="1">
      <c r="A1528" s="4">
        <v>5315</v>
      </c>
      <c r="B1528" s="4" t="s">
        <v>2725</v>
      </c>
      <c r="C1528" s="87">
        <v>17.2</v>
      </c>
    </row>
    <row r="1529" spans="1:3" ht="14.5" customHeight="1">
      <c r="A1529" s="4">
        <v>5321</v>
      </c>
      <c r="B1529" s="4" t="s">
        <v>2727</v>
      </c>
      <c r="C1529" s="87">
        <v>38.950000000000003</v>
      </c>
    </row>
    <row r="1530" spans="1:3" ht="14.5" customHeight="1">
      <c r="A1530" s="4">
        <v>5324</v>
      </c>
      <c r="B1530" s="4" t="s">
        <v>2729</v>
      </c>
      <c r="C1530" s="87">
        <v>9.8000000000000007</v>
      </c>
    </row>
    <row r="1531" spans="1:3" ht="14.5" customHeight="1">
      <c r="A1531" s="4">
        <v>5328</v>
      </c>
      <c r="B1531" s="4" t="s">
        <v>2731</v>
      </c>
      <c r="C1531" s="87">
        <v>10.55</v>
      </c>
    </row>
    <row r="1532" spans="1:3" ht="14.5" customHeight="1">
      <c r="A1532" s="4">
        <v>5340</v>
      </c>
      <c r="B1532" s="4" t="s">
        <v>2733</v>
      </c>
      <c r="C1532" s="87">
        <v>53.8</v>
      </c>
    </row>
    <row r="1533" spans="1:3" ht="14.5" customHeight="1">
      <c r="A1533" s="4">
        <v>5344</v>
      </c>
      <c r="B1533" s="4" t="s">
        <v>2735</v>
      </c>
      <c r="C1533" s="87">
        <v>6.35</v>
      </c>
    </row>
    <row r="1534" spans="1:3" ht="14.5" customHeight="1">
      <c r="A1534" s="4">
        <v>5345</v>
      </c>
      <c r="B1534" s="4" t="s">
        <v>2737</v>
      </c>
      <c r="C1534" s="87">
        <v>5.59</v>
      </c>
    </row>
    <row r="1535" spans="1:3" ht="14.5" customHeight="1">
      <c r="A1535" s="4">
        <v>5347</v>
      </c>
      <c r="B1535" s="4" t="s">
        <v>2739</v>
      </c>
      <c r="C1535" s="87">
        <v>79.3</v>
      </c>
    </row>
    <row r="1536" spans="1:3" ht="14.5" customHeight="1">
      <c r="A1536" s="4">
        <v>5348</v>
      </c>
      <c r="B1536" s="4" t="s">
        <v>2741</v>
      </c>
      <c r="C1536" s="87" t="s">
        <v>5971</v>
      </c>
    </row>
    <row r="1537" spans="1:3" ht="14.5" customHeight="1">
      <c r="A1537" s="4">
        <v>5349</v>
      </c>
      <c r="B1537" s="4" t="s">
        <v>2743</v>
      </c>
      <c r="C1537" s="87">
        <v>25.2</v>
      </c>
    </row>
    <row r="1538" spans="1:3" ht="14.5" customHeight="1">
      <c r="A1538" s="4">
        <v>5351</v>
      </c>
      <c r="B1538" s="4" t="s">
        <v>2745</v>
      </c>
      <c r="C1538" s="87">
        <v>10.8</v>
      </c>
    </row>
    <row r="1539" spans="1:3" ht="14.5" customHeight="1">
      <c r="A1539" s="4">
        <v>5353</v>
      </c>
      <c r="B1539" s="4" t="s">
        <v>2747</v>
      </c>
      <c r="C1539" s="87">
        <v>19</v>
      </c>
    </row>
    <row r="1540" spans="1:3" ht="14.5" customHeight="1">
      <c r="A1540" s="4">
        <v>5355</v>
      </c>
      <c r="B1540" s="4" t="s">
        <v>2749</v>
      </c>
      <c r="C1540" s="87">
        <v>4.99</v>
      </c>
    </row>
    <row r="1541" spans="1:3" ht="14.5" customHeight="1">
      <c r="A1541" s="4">
        <v>5356</v>
      </c>
      <c r="B1541" s="4" t="s">
        <v>2751</v>
      </c>
      <c r="C1541" s="87">
        <v>30.95</v>
      </c>
    </row>
    <row r="1542" spans="1:3" ht="14.5" customHeight="1">
      <c r="A1542" s="4">
        <v>5364</v>
      </c>
      <c r="B1542" s="4" t="s">
        <v>2753</v>
      </c>
      <c r="C1542" s="87" t="s">
        <v>5971</v>
      </c>
    </row>
    <row r="1543" spans="1:3" ht="14.5" customHeight="1">
      <c r="A1543" s="4">
        <v>5371</v>
      </c>
      <c r="B1543" s="4" t="s">
        <v>2755</v>
      </c>
      <c r="C1543" s="87">
        <v>38.75</v>
      </c>
    </row>
    <row r="1544" spans="1:3" ht="14.5" customHeight="1">
      <c r="A1544" s="4">
        <v>5381</v>
      </c>
      <c r="B1544" s="4" t="s">
        <v>2757</v>
      </c>
      <c r="C1544" s="87">
        <v>3.8</v>
      </c>
    </row>
    <row r="1545" spans="1:3" ht="14.5" customHeight="1">
      <c r="A1545" s="4">
        <v>5383</v>
      </c>
      <c r="B1545" s="4" t="s">
        <v>2759</v>
      </c>
      <c r="C1545" s="87">
        <v>18.399999999999999</v>
      </c>
    </row>
    <row r="1546" spans="1:3" ht="14.5" customHeight="1">
      <c r="A1546" s="4">
        <v>5386</v>
      </c>
      <c r="B1546" s="4" t="s">
        <v>2761</v>
      </c>
      <c r="C1546" s="87">
        <v>30.8</v>
      </c>
    </row>
    <row r="1547" spans="1:3" ht="14.5" customHeight="1">
      <c r="A1547" s="4">
        <v>5392</v>
      </c>
      <c r="B1547" s="4" t="s">
        <v>2763</v>
      </c>
      <c r="C1547" s="87">
        <v>33.4</v>
      </c>
    </row>
    <row r="1548" spans="1:3" ht="14.5" customHeight="1">
      <c r="A1548" s="4">
        <v>5398</v>
      </c>
      <c r="B1548" s="4" t="s">
        <v>2765</v>
      </c>
      <c r="C1548" s="87">
        <v>26.35</v>
      </c>
    </row>
    <row r="1549" spans="1:3" ht="14.5" customHeight="1">
      <c r="A1549" s="4">
        <v>5403</v>
      </c>
      <c r="B1549" s="4" t="s">
        <v>2767</v>
      </c>
      <c r="C1549" s="87">
        <v>41.65</v>
      </c>
    </row>
    <row r="1550" spans="1:3" ht="14.5" customHeight="1">
      <c r="A1550" s="4">
        <v>5410</v>
      </c>
      <c r="B1550" s="4" t="s">
        <v>2769</v>
      </c>
      <c r="C1550" s="87">
        <v>20.149999999999999</v>
      </c>
    </row>
    <row r="1551" spans="1:3" ht="14.5" customHeight="1">
      <c r="A1551" s="4">
        <v>5425</v>
      </c>
      <c r="B1551" s="4" t="s">
        <v>2771</v>
      </c>
      <c r="C1551" s="87">
        <v>53.6</v>
      </c>
    </row>
    <row r="1552" spans="1:3" ht="14.5" customHeight="1">
      <c r="A1552" s="4">
        <v>5426</v>
      </c>
      <c r="B1552" s="4" t="s">
        <v>2773</v>
      </c>
      <c r="C1552" s="87">
        <v>11.8</v>
      </c>
    </row>
    <row r="1553" spans="1:3" ht="14.5" customHeight="1">
      <c r="A1553" s="4">
        <v>5432</v>
      </c>
      <c r="B1553" s="4" t="s">
        <v>2775</v>
      </c>
      <c r="C1553" s="87">
        <v>20.149999999999999</v>
      </c>
    </row>
    <row r="1554" spans="1:3" ht="14.5" customHeight="1">
      <c r="A1554" s="4">
        <v>5438</v>
      </c>
      <c r="B1554" s="4" t="s">
        <v>2777</v>
      </c>
      <c r="C1554" s="87">
        <v>13.65</v>
      </c>
    </row>
    <row r="1555" spans="1:3" ht="14.5" customHeight="1">
      <c r="A1555" s="4">
        <v>5439</v>
      </c>
      <c r="B1555" s="4" t="s">
        <v>2779</v>
      </c>
      <c r="C1555" s="87">
        <v>40.9</v>
      </c>
    </row>
    <row r="1556" spans="1:3" ht="14.5" customHeight="1">
      <c r="A1556" s="4">
        <v>5443</v>
      </c>
      <c r="B1556" s="4" t="s">
        <v>2781</v>
      </c>
      <c r="C1556" s="87">
        <v>21.5</v>
      </c>
    </row>
    <row r="1557" spans="1:3" ht="14.5" customHeight="1">
      <c r="A1557" s="4">
        <v>5450</v>
      </c>
      <c r="B1557" s="4" t="s">
        <v>2783</v>
      </c>
      <c r="C1557" s="87">
        <v>18.100000000000001</v>
      </c>
    </row>
    <row r="1558" spans="1:3" ht="14.5" customHeight="1">
      <c r="A1558" s="4">
        <v>5452</v>
      </c>
      <c r="B1558" s="4" t="s">
        <v>2785</v>
      </c>
      <c r="C1558" s="87">
        <v>7.13</v>
      </c>
    </row>
    <row r="1559" spans="1:3" ht="14.5" customHeight="1">
      <c r="A1559" s="4">
        <v>5455</v>
      </c>
      <c r="B1559" s="4" t="s">
        <v>2787</v>
      </c>
      <c r="C1559" s="87">
        <v>28.45</v>
      </c>
    </row>
    <row r="1560" spans="1:3" ht="14.5" customHeight="1">
      <c r="A1560" s="4">
        <v>5457</v>
      </c>
      <c r="B1560" s="4" t="s">
        <v>2789</v>
      </c>
      <c r="C1560" s="87">
        <v>88.5</v>
      </c>
    </row>
    <row r="1561" spans="1:3" ht="14.5" customHeight="1">
      <c r="A1561" s="4">
        <v>5460</v>
      </c>
      <c r="B1561" s="4" t="s">
        <v>2791</v>
      </c>
      <c r="C1561" s="87">
        <v>12.1</v>
      </c>
    </row>
    <row r="1562" spans="1:3" ht="14.5" customHeight="1">
      <c r="A1562" s="4">
        <v>5464</v>
      </c>
      <c r="B1562" s="4" t="s">
        <v>2793</v>
      </c>
      <c r="C1562" s="87">
        <v>15</v>
      </c>
    </row>
    <row r="1563" spans="1:3" ht="14.5" customHeight="1">
      <c r="A1563" s="4">
        <v>5465</v>
      </c>
      <c r="B1563" s="4" t="s">
        <v>2795</v>
      </c>
      <c r="C1563" s="87">
        <v>13.9</v>
      </c>
    </row>
    <row r="1564" spans="1:3" ht="14.5" customHeight="1">
      <c r="A1564" s="4">
        <v>5468</v>
      </c>
      <c r="B1564" s="4" t="s">
        <v>2797</v>
      </c>
      <c r="C1564" s="87">
        <v>11.9</v>
      </c>
    </row>
    <row r="1565" spans="1:3" ht="14.5" customHeight="1">
      <c r="A1565" s="4">
        <v>5474</v>
      </c>
      <c r="B1565" s="4" t="s">
        <v>2799</v>
      </c>
      <c r="C1565" s="87">
        <v>78.2</v>
      </c>
    </row>
    <row r="1566" spans="1:3" ht="14.5" customHeight="1">
      <c r="A1566" s="4">
        <v>5475</v>
      </c>
      <c r="B1566" s="4" t="s">
        <v>2801</v>
      </c>
      <c r="C1566" s="87">
        <v>3.3</v>
      </c>
    </row>
    <row r="1567" spans="1:3" ht="14.5" customHeight="1">
      <c r="A1567" s="4">
        <v>5478</v>
      </c>
      <c r="B1567" s="4" t="s">
        <v>2803</v>
      </c>
      <c r="C1567" s="87">
        <v>83.2</v>
      </c>
    </row>
    <row r="1568" spans="1:3" ht="14.5" customHeight="1">
      <c r="A1568" s="4">
        <v>5481</v>
      </c>
      <c r="B1568" s="4" t="s">
        <v>2805</v>
      </c>
      <c r="C1568" s="87">
        <v>15.5</v>
      </c>
    </row>
    <row r="1569" spans="1:3" ht="14.5" customHeight="1">
      <c r="A1569" s="4">
        <v>5483</v>
      </c>
      <c r="B1569" s="4" t="s">
        <v>2807</v>
      </c>
      <c r="C1569" s="87">
        <v>99.4</v>
      </c>
    </row>
    <row r="1570" spans="1:3" ht="14.5" customHeight="1">
      <c r="A1570" s="4">
        <v>5487</v>
      </c>
      <c r="B1570" s="4" t="s">
        <v>2809</v>
      </c>
      <c r="C1570" s="87">
        <v>42.8</v>
      </c>
    </row>
    <row r="1571" spans="1:3" ht="14.5" customHeight="1">
      <c r="A1571" s="4">
        <v>5488</v>
      </c>
      <c r="B1571" s="4" t="s">
        <v>2811</v>
      </c>
      <c r="C1571" s="87">
        <v>7.34</v>
      </c>
    </row>
    <row r="1572" spans="1:3" ht="14.5" customHeight="1">
      <c r="A1572" s="4">
        <v>5489</v>
      </c>
      <c r="B1572" s="4" t="s">
        <v>2813</v>
      </c>
      <c r="C1572" s="87">
        <v>32.950000000000003</v>
      </c>
    </row>
    <row r="1573" spans="1:3" ht="14.5" customHeight="1">
      <c r="A1573" s="4">
        <v>5490</v>
      </c>
      <c r="B1573" s="4" t="s">
        <v>2815</v>
      </c>
      <c r="C1573" s="87">
        <v>33.6</v>
      </c>
    </row>
    <row r="1574" spans="1:3" ht="14.5" customHeight="1">
      <c r="A1574" s="4">
        <v>5493</v>
      </c>
      <c r="B1574" s="4" t="s">
        <v>2817</v>
      </c>
      <c r="C1574" s="87">
        <v>37.65</v>
      </c>
    </row>
    <row r="1575" spans="1:3" ht="14.5" customHeight="1">
      <c r="A1575" s="4">
        <v>5498</v>
      </c>
      <c r="B1575" s="4" t="s">
        <v>2819</v>
      </c>
      <c r="C1575" s="87">
        <v>12.7</v>
      </c>
    </row>
    <row r="1576" spans="1:3" ht="14.5" customHeight="1">
      <c r="A1576" s="4">
        <v>5508</v>
      </c>
      <c r="B1576" s="4" t="s">
        <v>2821</v>
      </c>
      <c r="C1576" s="87">
        <v>33.25</v>
      </c>
    </row>
    <row r="1577" spans="1:3" ht="14.5" customHeight="1">
      <c r="A1577" s="4">
        <v>5511</v>
      </c>
      <c r="B1577" s="4" t="s">
        <v>2823</v>
      </c>
      <c r="C1577" s="87">
        <v>30.8</v>
      </c>
    </row>
    <row r="1578" spans="1:3" ht="14.5" customHeight="1">
      <c r="A1578" s="4">
        <v>5512</v>
      </c>
      <c r="B1578" s="4" t="s">
        <v>2825</v>
      </c>
      <c r="C1578" s="87">
        <v>10.55</v>
      </c>
    </row>
    <row r="1579" spans="1:3" ht="14.5" customHeight="1">
      <c r="A1579" s="4">
        <v>5514</v>
      </c>
      <c r="B1579" s="4" t="s">
        <v>2827</v>
      </c>
      <c r="C1579" s="87">
        <v>19.350000000000001</v>
      </c>
    </row>
    <row r="1580" spans="1:3" ht="14.5" customHeight="1">
      <c r="A1580" s="4">
        <v>5516</v>
      </c>
      <c r="B1580" s="4" t="s">
        <v>2829</v>
      </c>
      <c r="C1580" s="87" t="s">
        <v>5971</v>
      </c>
    </row>
    <row r="1581" spans="1:3" ht="14.5" customHeight="1">
      <c r="A1581" s="4">
        <v>5520</v>
      </c>
      <c r="B1581" s="4" t="s">
        <v>2831</v>
      </c>
      <c r="C1581" s="87">
        <v>32.299999999999997</v>
      </c>
    </row>
    <row r="1582" spans="1:3" ht="14.5" customHeight="1">
      <c r="A1582" s="4">
        <v>5523</v>
      </c>
      <c r="B1582" s="4" t="s">
        <v>2833</v>
      </c>
      <c r="C1582" s="87">
        <v>11.8</v>
      </c>
    </row>
    <row r="1583" spans="1:3" ht="14.5" customHeight="1">
      <c r="A1583" s="4">
        <v>5529</v>
      </c>
      <c r="B1583" s="4" t="s">
        <v>2835</v>
      </c>
      <c r="C1583" s="87">
        <v>8</v>
      </c>
    </row>
    <row r="1584" spans="1:3" ht="14.5" customHeight="1">
      <c r="A1584" s="4">
        <v>5530</v>
      </c>
      <c r="B1584" s="4" t="s">
        <v>2837</v>
      </c>
      <c r="C1584" s="87">
        <v>63.7</v>
      </c>
    </row>
    <row r="1585" spans="1:3" ht="14.5" customHeight="1">
      <c r="A1585" s="4">
        <v>5536</v>
      </c>
      <c r="B1585" s="4" t="s">
        <v>2839</v>
      </c>
      <c r="C1585" s="87">
        <v>184.5</v>
      </c>
    </row>
    <row r="1586" spans="1:3" ht="14.5" customHeight="1">
      <c r="A1586" s="4">
        <v>5543</v>
      </c>
      <c r="B1586" s="4" t="s">
        <v>2841</v>
      </c>
      <c r="C1586" s="87">
        <v>20.3</v>
      </c>
    </row>
    <row r="1587" spans="1:3" ht="14.5" customHeight="1">
      <c r="A1587" s="4">
        <v>5601</v>
      </c>
      <c r="B1587" s="4" t="s">
        <v>2843</v>
      </c>
      <c r="C1587" s="87">
        <v>26.65</v>
      </c>
    </row>
    <row r="1588" spans="1:3" ht="14.5" customHeight="1">
      <c r="A1588" s="4">
        <v>5603</v>
      </c>
      <c r="B1588" s="4" t="s">
        <v>2845</v>
      </c>
      <c r="C1588" s="87">
        <v>11.4</v>
      </c>
    </row>
    <row r="1589" spans="1:3" ht="14.5" customHeight="1">
      <c r="A1589" s="4">
        <v>5604</v>
      </c>
      <c r="B1589" s="4" t="s">
        <v>2847</v>
      </c>
      <c r="C1589" s="87">
        <v>39.450000000000003</v>
      </c>
    </row>
    <row r="1590" spans="1:3" ht="14.5" customHeight="1">
      <c r="A1590" s="4">
        <v>5609</v>
      </c>
      <c r="B1590" s="4" t="s">
        <v>2849</v>
      </c>
      <c r="C1590" s="87">
        <v>28.1</v>
      </c>
    </row>
    <row r="1591" spans="1:3" ht="14.5" customHeight="1">
      <c r="A1591" s="4">
        <v>5701</v>
      </c>
      <c r="B1591" s="4" t="s">
        <v>2851</v>
      </c>
      <c r="C1591" s="87">
        <v>1.87</v>
      </c>
    </row>
    <row r="1592" spans="1:3" ht="14.5" customHeight="1">
      <c r="A1592" s="4">
        <v>5703</v>
      </c>
      <c r="B1592" s="4" t="s">
        <v>2853</v>
      </c>
      <c r="C1592" s="87" t="s">
        <v>5971</v>
      </c>
    </row>
    <row r="1593" spans="1:3" ht="14.5" customHeight="1">
      <c r="A1593" s="4">
        <v>5704</v>
      </c>
      <c r="B1593" s="4" t="s">
        <v>2855</v>
      </c>
      <c r="C1593" s="87">
        <v>23.9</v>
      </c>
    </row>
    <row r="1594" spans="1:3" ht="14.5" customHeight="1">
      <c r="A1594" s="4">
        <v>5820</v>
      </c>
      <c r="B1594" s="4" t="s">
        <v>2857</v>
      </c>
      <c r="C1594" s="87">
        <v>9.75</v>
      </c>
    </row>
    <row r="1595" spans="1:3" ht="14.5" customHeight="1">
      <c r="A1595" s="4">
        <v>5864</v>
      </c>
      <c r="B1595" s="4" t="s">
        <v>2859</v>
      </c>
      <c r="C1595" s="87">
        <v>9.31</v>
      </c>
    </row>
    <row r="1596" spans="1:3" ht="14.5" customHeight="1">
      <c r="A1596" s="4">
        <v>5878</v>
      </c>
      <c r="B1596" s="4" t="s">
        <v>2861</v>
      </c>
      <c r="C1596" s="87">
        <v>45.2</v>
      </c>
    </row>
    <row r="1597" spans="1:3" ht="14.5" customHeight="1">
      <c r="A1597" s="4">
        <v>5902</v>
      </c>
      <c r="B1597" s="4" t="s">
        <v>2863</v>
      </c>
      <c r="C1597" s="87">
        <v>10.75</v>
      </c>
    </row>
    <row r="1598" spans="1:3" ht="14.5" customHeight="1">
      <c r="A1598" s="4">
        <v>5903</v>
      </c>
      <c r="B1598" s="4" t="s">
        <v>2865</v>
      </c>
      <c r="C1598" s="87">
        <v>218.5</v>
      </c>
    </row>
    <row r="1599" spans="1:3" ht="14.5" customHeight="1">
      <c r="A1599" s="4">
        <v>5904</v>
      </c>
      <c r="B1599" s="4" t="s">
        <v>2867</v>
      </c>
      <c r="C1599" s="87">
        <v>421.5</v>
      </c>
    </row>
    <row r="1600" spans="1:3" ht="14.5" customHeight="1">
      <c r="A1600" s="4">
        <v>5905</v>
      </c>
      <c r="B1600" s="4" t="s">
        <v>2869</v>
      </c>
      <c r="C1600" s="87">
        <v>13.9</v>
      </c>
    </row>
    <row r="1601" spans="1:3" ht="14.5" customHeight="1">
      <c r="A1601" s="4">
        <v>6015</v>
      </c>
      <c r="B1601" s="4" t="s">
        <v>2871</v>
      </c>
      <c r="C1601" s="87">
        <v>6.97</v>
      </c>
    </row>
    <row r="1602" spans="1:3" ht="14.5" customHeight="1">
      <c r="A1602" s="4">
        <v>6016</v>
      </c>
      <c r="B1602" s="4" t="s">
        <v>2873</v>
      </c>
      <c r="C1602" s="87">
        <v>8.1</v>
      </c>
    </row>
    <row r="1603" spans="1:3" ht="14.5" customHeight="1">
      <c r="A1603" s="4">
        <v>6020</v>
      </c>
      <c r="B1603" s="4" t="s">
        <v>2875</v>
      </c>
      <c r="C1603" s="87">
        <v>13</v>
      </c>
    </row>
    <row r="1604" spans="1:3" ht="14.5" customHeight="1">
      <c r="A1604" s="4">
        <v>6021</v>
      </c>
      <c r="B1604" s="4" t="s">
        <v>2877</v>
      </c>
      <c r="C1604" s="87">
        <v>13.15</v>
      </c>
    </row>
    <row r="1605" spans="1:3" ht="14.5" customHeight="1">
      <c r="A1605" s="4">
        <v>6023</v>
      </c>
      <c r="B1605" s="4" t="s">
        <v>2879</v>
      </c>
      <c r="C1605" s="87">
        <v>55.6</v>
      </c>
    </row>
    <row r="1606" spans="1:3" ht="14.5" customHeight="1">
      <c r="A1606" s="4">
        <v>6026</v>
      </c>
      <c r="B1606" s="4" t="s">
        <v>2881</v>
      </c>
      <c r="C1606" s="87">
        <v>9.41</v>
      </c>
    </row>
    <row r="1607" spans="1:3" ht="14.5" customHeight="1">
      <c r="A1607" s="4">
        <v>6101</v>
      </c>
      <c r="B1607" s="4" t="s">
        <v>2883</v>
      </c>
      <c r="C1607" s="87">
        <v>30.25</v>
      </c>
    </row>
    <row r="1608" spans="1:3" ht="14.5" customHeight="1">
      <c r="A1608" s="4">
        <v>6103</v>
      </c>
      <c r="B1608" s="4" t="s">
        <v>2885</v>
      </c>
      <c r="C1608" s="87">
        <v>10.3</v>
      </c>
    </row>
    <row r="1609" spans="1:3" ht="14.5" customHeight="1">
      <c r="A1609" s="4">
        <v>6104</v>
      </c>
      <c r="B1609" s="4" t="s">
        <v>2887</v>
      </c>
      <c r="C1609" s="87">
        <v>36.25</v>
      </c>
    </row>
    <row r="1610" spans="1:3" ht="14.5" customHeight="1">
      <c r="A1610" s="4">
        <v>6109</v>
      </c>
      <c r="B1610" s="4" t="s">
        <v>2889</v>
      </c>
      <c r="C1610" s="87">
        <v>10.45</v>
      </c>
    </row>
    <row r="1611" spans="1:3" ht="14.5" customHeight="1">
      <c r="A1611" s="4">
        <v>6111</v>
      </c>
      <c r="B1611" s="4" t="s">
        <v>2891</v>
      </c>
      <c r="C1611" s="87">
        <v>96</v>
      </c>
    </row>
    <row r="1612" spans="1:3" ht="14.5" customHeight="1">
      <c r="A1612" s="4">
        <v>6113</v>
      </c>
      <c r="B1612" s="4" t="s">
        <v>2893</v>
      </c>
      <c r="C1612" s="87">
        <v>6.9</v>
      </c>
    </row>
    <row r="1613" spans="1:3" ht="14.5" customHeight="1">
      <c r="A1613" s="4">
        <v>6114</v>
      </c>
      <c r="B1613" s="4" t="s">
        <v>2895</v>
      </c>
      <c r="C1613" s="87">
        <v>33.25</v>
      </c>
    </row>
    <row r="1614" spans="1:3" ht="14.5" customHeight="1">
      <c r="A1614" s="4">
        <v>6118</v>
      </c>
      <c r="B1614" s="4" t="s">
        <v>2897</v>
      </c>
      <c r="C1614" s="87">
        <v>10.15</v>
      </c>
    </row>
    <row r="1615" spans="1:3" ht="14.5" customHeight="1">
      <c r="A1615" s="4">
        <v>6121</v>
      </c>
      <c r="B1615" s="4" t="s">
        <v>2899</v>
      </c>
      <c r="C1615" s="87">
        <v>303</v>
      </c>
    </row>
    <row r="1616" spans="1:3" ht="14.5" customHeight="1">
      <c r="A1616" s="4">
        <v>6122</v>
      </c>
      <c r="B1616" s="4" t="s">
        <v>2901</v>
      </c>
      <c r="C1616" s="87">
        <v>12.85</v>
      </c>
    </row>
    <row r="1617" spans="1:3" ht="14.5" customHeight="1">
      <c r="A1617" s="4">
        <v>6123</v>
      </c>
      <c r="B1617" s="4" t="s">
        <v>2903</v>
      </c>
      <c r="C1617" s="87">
        <v>40.6</v>
      </c>
    </row>
    <row r="1618" spans="1:3" ht="14.5" customHeight="1">
      <c r="A1618" s="4">
        <v>6124</v>
      </c>
      <c r="B1618" s="4" t="s">
        <v>2905</v>
      </c>
      <c r="C1618" s="87">
        <v>47.85</v>
      </c>
    </row>
    <row r="1619" spans="1:3" ht="14.5" customHeight="1">
      <c r="A1619" s="4">
        <v>6125</v>
      </c>
      <c r="B1619" s="4" t="s">
        <v>2907</v>
      </c>
      <c r="C1619" s="87">
        <v>15.85</v>
      </c>
    </row>
    <row r="1620" spans="1:3" ht="14.5" customHeight="1">
      <c r="A1620" s="4">
        <v>6126</v>
      </c>
      <c r="B1620" s="4" t="s">
        <v>2909</v>
      </c>
      <c r="C1620" s="87">
        <v>14.3</v>
      </c>
    </row>
    <row r="1621" spans="1:3" ht="14.5" customHeight="1">
      <c r="A1621" s="4">
        <v>6127</v>
      </c>
      <c r="B1621" s="4" t="s">
        <v>2911</v>
      </c>
      <c r="C1621" s="87">
        <v>17.350000000000001</v>
      </c>
    </row>
    <row r="1622" spans="1:3" ht="14.5" customHeight="1">
      <c r="A1622" s="4">
        <v>6129</v>
      </c>
      <c r="B1622" s="4" t="s">
        <v>2913</v>
      </c>
      <c r="C1622" s="87">
        <v>8.6</v>
      </c>
    </row>
    <row r="1623" spans="1:3" ht="14.5" customHeight="1">
      <c r="A1623" s="4">
        <v>6130</v>
      </c>
      <c r="B1623" s="4" t="s">
        <v>2915</v>
      </c>
      <c r="C1623" s="87">
        <v>30.65</v>
      </c>
    </row>
    <row r="1624" spans="1:3" ht="14.5" customHeight="1">
      <c r="A1624" s="4">
        <v>6134</v>
      </c>
      <c r="B1624" s="4" t="s">
        <v>2917</v>
      </c>
      <c r="C1624" s="87">
        <v>8.5</v>
      </c>
    </row>
    <row r="1625" spans="1:3" ht="14.5" customHeight="1">
      <c r="A1625" s="4">
        <v>6138</v>
      </c>
      <c r="B1625" s="4" t="s">
        <v>2919</v>
      </c>
      <c r="C1625" s="87">
        <v>78.599999999999994</v>
      </c>
    </row>
    <row r="1626" spans="1:3" ht="14.5" customHeight="1">
      <c r="A1626" s="4">
        <v>6140</v>
      </c>
      <c r="B1626" s="4" t="s">
        <v>2921</v>
      </c>
      <c r="C1626" s="87">
        <v>10.95</v>
      </c>
    </row>
    <row r="1627" spans="1:3" ht="14.5" customHeight="1">
      <c r="A1627" s="4">
        <v>6143</v>
      </c>
      <c r="B1627" s="4" t="s">
        <v>2923</v>
      </c>
      <c r="C1627" s="87">
        <v>39.75</v>
      </c>
    </row>
    <row r="1628" spans="1:3" ht="14.5" customHeight="1">
      <c r="A1628" s="4">
        <v>6144</v>
      </c>
      <c r="B1628" s="4" t="s">
        <v>2925</v>
      </c>
      <c r="C1628" s="87" t="s">
        <v>5971</v>
      </c>
    </row>
    <row r="1629" spans="1:3" ht="14.5" customHeight="1">
      <c r="A1629" s="4">
        <v>6146</v>
      </c>
      <c r="B1629" s="4" t="s">
        <v>2927</v>
      </c>
      <c r="C1629" s="87">
        <v>213</v>
      </c>
    </row>
    <row r="1630" spans="1:3" ht="14.5" customHeight="1">
      <c r="A1630" s="4">
        <v>6147</v>
      </c>
      <c r="B1630" s="4" t="s">
        <v>2929</v>
      </c>
      <c r="C1630" s="87">
        <v>67.2</v>
      </c>
    </row>
    <row r="1631" spans="1:3" ht="14.5" customHeight="1">
      <c r="A1631" s="4">
        <v>6148</v>
      </c>
      <c r="B1631" s="4" t="s">
        <v>2931</v>
      </c>
      <c r="C1631" s="87">
        <v>10.050000000000001</v>
      </c>
    </row>
    <row r="1632" spans="1:3" ht="14.5" customHeight="1">
      <c r="A1632" s="4">
        <v>6150</v>
      </c>
      <c r="B1632" s="4" t="s">
        <v>2933</v>
      </c>
      <c r="C1632" s="87">
        <v>64.099999999999994</v>
      </c>
    </row>
    <row r="1633" spans="1:3" ht="14.5" customHeight="1">
      <c r="A1633" s="4">
        <v>6151</v>
      </c>
      <c r="B1633" s="4" t="s">
        <v>2935</v>
      </c>
      <c r="C1633" s="87">
        <v>20.149999999999999</v>
      </c>
    </row>
    <row r="1634" spans="1:3" ht="14.5" customHeight="1">
      <c r="A1634" s="4">
        <v>6154</v>
      </c>
      <c r="B1634" s="4" t="s">
        <v>2937</v>
      </c>
      <c r="C1634" s="87">
        <v>13.85</v>
      </c>
    </row>
    <row r="1635" spans="1:3" ht="14.5" customHeight="1">
      <c r="A1635" s="4">
        <v>6156</v>
      </c>
      <c r="B1635" s="4" t="s">
        <v>2939</v>
      </c>
      <c r="C1635" s="87">
        <v>14.45</v>
      </c>
    </row>
    <row r="1636" spans="1:3" ht="14.5" customHeight="1">
      <c r="A1636" s="4">
        <v>6158</v>
      </c>
      <c r="B1636" s="4" t="s">
        <v>2941</v>
      </c>
      <c r="C1636" s="87">
        <v>29.8</v>
      </c>
    </row>
    <row r="1637" spans="1:3" ht="14.5" customHeight="1">
      <c r="A1637" s="4">
        <v>6160</v>
      </c>
      <c r="B1637" s="4" t="s">
        <v>2943</v>
      </c>
      <c r="C1637" s="87">
        <v>18.75</v>
      </c>
    </row>
    <row r="1638" spans="1:3" ht="14.5" customHeight="1">
      <c r="A1638" s="4">
        <v>6161</v>
      </c>
      <c r="B1638" s="4" t="s">
        <v>2945</v>
      </c>
      <c r="C1638" s="87">
        <v>20.55</v>
      </c>
    </row>
    <row r="1639" spans="1:3" ht="14.5" customHeight="1">
      <c r="A1639" s="4">
        <v>6163</v>
      </c>
      <c r="B1639" s="4" t="s">
        <v>2947</v>
      </c>
      <c r="C1639" s="87">
        <v>16.55</v>
      </c>
    </row>
    <row r="1640" spans="1:3" ht="14.5" customHeight="1">
      <c r="A1640" s="4">
        <v>6167</v>
      </c>
      <c r="B1640" s="4" t="s">
        <v>2949</v>
      </c>
      <c r="C1640" s="87">
        <v>7.81</v>
      </c>
    </row>
    <row r="1641" spans="1:3" ht="14.5" customHeight="1">
      <c r="A1641" s="4">
        <v>6169</v>
      </c>
      <c r="B1641" s="4" t="s">
        <v>2951</v>
      </c>
      <c r="C1641" s="87">
        <v>27.1</v>
      </c>
    </row>
    <row r="1642" spans="1:3" ht="14.5" customHeight="1">
      <c r="A1642" s="4">
        <v>6170</v>
      </c>
      <c r="B1642" s="4" t="s">
        <v>2953</v>
      </c>
      <c r="C1642" s="87">
        <v>18.75</v>
      </c>
    </row>
    <row r="1643" spans="1:3" ht="14.5" customHeight="1">
      <c r="A1643" s="4">
        <v>6171</v>
      </c>
      <c r="B1643" s="4" t="s">
        <v>2955</v>
      </c>
      <c r="C1643" s="87">
        <v>22.75</v>
      </c>
    </row>
    <row r="1644" spans="1:3" ht="14.5" customHeight="1">
      <c r="A1644" s="4">
        <v>6173</v>
      </c>
      <c r="B1644" s="4" t="s">
        <v>2957</v>
      </c>
      <c r="C1644" s="87">
        <v>71.099999999999994</v>
      </c>
    </row>
    <row r="1645" spans="1:3" ht="14.5" customHeight="1">
      <c r="A1645" s="4">
        <v>6174</v>
      </c>
      <c r="B1645" s="4" t="s">
        <v>2959</v>
      </c>
      <c r="C1645" s="87">
        <v>14.7</v>
      </c>
    </row>
    <row r="1646" spans="1:3" ht="14.5" customHeight="1">
      <c r="A1646" s="4">
        <v>6175</v>
      </c>
      <c r="B1646" s="4" t="s">
        <v>2961</v>
      </c>
      <c r="C1646" s="87">
        <v>22.55</v>
      </c>
    </row>
    <row r="1647" spans="1:3" ht="14.5" customHeight="1">
      <c r="A1647" s="4">
        <v>6179</v>
      </c>
      <c r="B1647" s="4" t="s">
        <v>2963</v>
      </c>
      <c r="C1647" s="87">
        <v>31.5</v>
      </c>
    </row>
    <row r="1648" spans="1:3" ht="14.5" customHeight="1">
      <c r="A1648" s="4">
        <v>6180</v>
      </c>
      <c r="B1648" s="4" t="s">
        <v>2965</v>
      </c>
      <c r="C1648" s="87">
        <v>60.1</v>
      </c>
    </row>
    <row r="1649" spans="1:3" ht="14.5" customHeight="1">
      <c r="A1649" s="4">
        <v>6182</v>
      </c>
      <c r="B1649" s="4" t="s">
        <v>2967</v>
      </c>
      <c r="C1649" s="87">
        <v>36.35</v>
      </c>
    </row>
    <row r="1650" spans="1:3" ht="14.5" customHeight="1">
      <c r="A1650" s="4">
        <v>6185</v>
      </c>
      <c r="B1650" s="4" t="s">
        <v>2969</v>
      </c>
      <c r="C1650" s="87">
        <v>22.6</v>
      </c>
    </row>
    <row r="1651" spans="1:3" ht="14.5" customHeight="1">
      <c r="A1651" s="4">
        <v>6186</v>
      </c>
      <c r="B1651" s="4" t="s">
        <v>2971</v>
      </c>
      <c r="C1651" s="87">
        <v>31.9</v>
      </c>
    </row>
    <row r="1652" spans="1:3" ht="14.5" customHeight="1">
      <c r="A1652" s="4">
        <v>6187</v>
      </c>
      <c r="B1652" s="4" t="s">
        <v>2973</v>
      </c>
      <c r="C1652" s="87">
        <v>41.4</v>
      </c>
    </row>
    <row r="1653" spans="1:3" ht="14.5" customHeight="1">
      <c r="A1653" s="4">
        <v>6188</v>
      </c>
      <c r="B1653" s="4" t="s">
        <v>2975</v>
      </c>
      <c r="C1653" s="87">
        <v>41.55</v>
      </c>
    </row>
    <row r="1654" spans="1:3" ht="14.5" customHeight="1">
      <c r="A1654" s="4">
        <v>6190</v>
      </c>
      <c r="B1654" s="4" t="s">
        <v>2977</v>
      </c>
      <c r="C1654" s="87">
        <v>17</v>
      </c>
    </row>
    <row r="1655" spans="1:3" ht="14.5" customHeight="1">
      <c r="A1655" s="4">
        <v>6194</v>
      </c>
      <c r="B1655" s="4" t="s">
        <v>2979</v>
      </c>
      <c r="C1655" s="87">
        <v>26</v>
      </c>
    </row>
    <row r="1656" spans="1:3" ht="14.5" customHeight="1">
      <c r="A1656" s="4">
        <v>6195</v>
      </c>
      <c r="B1656" s="4" t="s">
        <v>2981</v>
      </c>
      <c r="C1656" s="87">
        <v>37.9</v>
      </c>
    </row>
    <row r="1657" spans="1:3" ht="14.5" customHeight="1">
      <c r="A1657" s="4">
        <v>6198</v>
      </c>
      <c r="B1657" s="4" t="s">
        <v>2983</v>
      </c>
      <c r="C1657" s="87">
        <v>12.55</v>
      </c>
    </row>
    <row r="1658" spans="1:3" ht="14.5" customHeight="1">
      <c r="A1658" s="4">
        <v>6199</v>
      </c>
      <c r="B1658" s="4" t="s">
        <v>2985</v>
      </c>
      <c r="C1658" s="87" t="s">
        <v>5971</v>
      </c>
    </row>
    <row r="1659" spans="1:3" ht="14.5" customHeight="1">
      <c r="A1659" s="4">
        <v>6203</v>
      </c>
      <c r="B1659" s="4" t="s">
        <v>2987</v>
      </c>
      <c r="C1659" s="87">
        <v>38.5</v>
      </c>
    </row>
    <row r="1660" spans="1:3" ht="14.5" customHeight="1">
      <c r="A1660" s="4">
        <v>6204</v>
      </c>
      <c r="B1660" s="4" t="s">
        <v>2989</v>
      </c>
      <c r="C1660" s="87">
        <v>24.3</v>
      </c>
    </row>
    <row r="1661" spans="1:3" ht="14.5" customHeight="1">
      <c r="A1661" s="4">
        <v>6207</v>
      </c>
      <c r="B1661" s="4" t="s">
        <v>2991</v>
      </c>
      <c r="C1661" s="87">
        <v>25.55</v>
      </c>
    </row>
    <row r="1662" spans="1:3" ht="14.5" customHeight="1">
      <c r="A1662" s="4">
        <v>6208</v>
      </c>
      <c r="B1662" s="4" t="s">
        <v>2993</v>
      </c>
      <c r="C1662" s="87">
        <v>28.5</v>
      </c>
    </row>
    <row r="1663" spans="1:3" ht="14.5" customHeight="1">
      <c r="A1663" s="4">
        <v>6210</v>
      </c>
      <c r="B1663" s="4" t="s">
        <v>2995</v>
      </c>
      <c r="C1663" s="87">
        <v>45.95</v>
      </c>
    </row>
    <row r="1664" spans="1:3" ht="14.5" customHeight="1">
      <c r="A1664" s="4">
        <v>6212</v>
      </c>
      <c r="B1664" s="4" t="s">
        <v>2997</v>
      </c>
      <c r="C1664" s="87">
        <v>43.5</v>
      </c>
    </row>
    <row r="1665" spans="1:3" ht="14.5" customHeight="1">
      <c r="A1665" s="4">
        <v>6217</v>
      </c>
      <c r="B1665" s="4" t="s">
        <v>2999</v>
      </c>
      <c r="C1665" s="87">
        <v>38.6</v>
      </c>
    </row>
    <row r="1666" spans="1:3" ht="14.5" customHeight="1">
      <c r="A1666" s="4">
        <v>6218</v>
      </c>
      <c r="B1666" s="4" t="s">
        <v>3001</v>
      </c>
      <c r="C1666" s="87">
        <v>21.4</v>
      </c>
    </row>
    <row r="1667" spans="1:3" ht="14.5" customHeight="1">
      <c r="A1667" s="4">
        <v>6219</v>
      </c>
      <c r="B1667" s="4" t="s">
        <v>3003</v>
      </c>
      <c r="C1667" s="87">
        <v>15.55</v>
      </c>
    </row>
    <row r="1668" spans="1:3" ht="14.5" customHeight="1">
      <c r="A1668" s="4">
        <v>6220</v>
      </c>
      <c r="B1668" s="4" t="s">
        <v>3005</v>
      </c>
      <c r="C1668" s="87">
        <v>25.45</v>
      </c>
    </row>
    <row r="1669" spans="1:3" ht="14.5" customHeight="1">
      <c r="A1669" s="4">
        <v>6221</v>
      </c>
      <c r="B1669" s="4" t="s">
        <v>3007</v>
      </c>
      <c r="C1669" s="87">
        <v>43.8</v>
      </c>
    </row>
    <row r="1670" spans="1:3" ht="14.5" customHeight="1">
      <c r="A1670" s="4">
        <v>6222</v>
      </c>
      <c r="B1670" s="4" t="s">
        <v>3009</v>
      </c>
      <c r="C1670" s="87">
        <v>10</v>
      </c>
    </row>
    <row r="1671" spans="1:3" ht="14.5" customHeight="1">
      <c r="A1671" s="4">
        <v>6223</v>
      </c>
      <c r="B1671" s="4" t="s">
        <v>3011</v>
      </c>
      <c r="C1671" s="87">
        <v>79</v>
      </c>
    </row>
    <row r="1672" spans="1:3" ht="14.5" customHeight="1">
      <c r="A1672" s="4">
        <v>6227</v>
      </c>
      <c r="B1672" s="4" t="s">
        <v>3013</v>
      </c>
      <c r="C1672" s="87">
        <v>23</v>
      </c>
    </row>
    <row r="1673" spans="1:3" ht="14.5" customHeight="1">
      <c r="A1673" s="4">
        <v>6228</v>
      </c>
      <c r="B1673" s="4" t="s">
        <v>3015</v>
      </c>
      <c r="C1673" s="87">
        <v>6.35</v>
      </c>
    </row>
    <row r="1674" spans="1:3" ht="14.5" customHeight="1">
      <c r="A1674" s="4">
        <v>6229</v>
      </c>
      <c r="B1674" s="4" t="s">
        <v>3017</v>
      </c>
      <c r="C1674" s="87">
        <v>15.6</v>
      </c>
    </row>
    <row r="1675" spans="1:3" ht="14.5" customHeight="1">
      <c r="A1675" s="4">
        <v>6231</v>
      </c>
      <c r="B1675" s="4" t="s">
        <v>3019</v>
      </c>
      <c r="C1675" s="87">
        <v>66.7</v>
      </c>
    </row>
    <row r="1676" spans="1:3" ht="14.5" customHeight="1">
      <c r="A1676" s="4">
        <v>6233</v>
      </c>
      <c r="B1676" s="4" t="s">
        <v>3021</v>
      </c>
      <c r="C1676" s="87">
        <v>14.6</v>
      </c>
    </row>
    <row r="1677" spans="1:3" ht="14.5" customHeight="1">
      <c r="A1677" s="4">
        <v>6234</v>
      </c>
      <c r="B1677" s="4" t="s">
        <v>3023</v>
      </c>
      <c r="C1677" s="87">
        <v>32</v>
      </c>
    </row>
    <row r="1678" spans="1:3" ht="14.5" customHeight="1">
      <c r="A1678" s="4">
        <v>6236</v>
      </c>
      <c r="B1678" s="4" t="s">
        <v>3025</v>
      </c>
      <c r="C1678" s="87" t="s">
        <v>5971</v>
      </c>
    </row>
    <row r="1679" spans="1:3" ht="14.5" customHeight="1">
      <c r="A1679" s="4">
        <v>6237</v>
      </c>
      <c r="B1679" s="4" t="s">
        <v>3027</v>
      </c>
      <c r="C1679" s="87">
        <v>17.7</v>
      </c>
    </row>
    <row r="1680" spans="1:3" ht="14.5" customHeight="1">
      <c r="A1680" s="4">
        <v>6238</v>
      </c>
      <c r="B1680" s="4" t="s">
        <v>3029</v>
      </c>
      <c r="C1680" s="87">
        <v>178</v>
      </c>
    </row>
    <row r="1681" spans="1:3" ht="14.5" customHeight="1">
      <c r="A1681" s="4">
        <v>6240</v>
      </c>
      <c r="B1681" s="4" t="s">
        <v>3031</v>
      </c>
      <c r="C1681" s="87">
        <v>16.149999999999999</v>
      </c>
    </row>
    <row r="1682" spans="1:3" ht="14.5" customHeight="1">
      <c r="A1682" s="4">
        <v>6241</v>
      </c>
      <c r="B1682" s="4" t="s">
        <v>3033</v>
      </c>
      <c r="C1682" s="87">
        <v>12</v>
      </c>
    </row>
    <row r="1683" spans="1:3" ht="14.5" customHeight="1">
      <c r="A1683" s="4">
        <v>6242</v>
      </c>
      <c r="B1683" s="4" t="s">
        <v>3035</v>
      </c>
      <c r="C1683" s="87">
        <v>40.25</v>
      </c>
    </row>
    <row r="1684" spans="1:3" ht="14.5" customHeight="1">
      <c r="A1684" s="4">
        <v>6244</v>
      </c>
      <c r="B1684" s="4" t="s">
        <v>3037</v>
      </c>
      <c r="C1684" s="87">
        <v>8.15</v>
      </c>
    </row>
    <row r="1685" spans="1:3" ht="14.5" customHeight="1">
      <c r="A1685" s="4">
        <v>6245</v>
      </c>
      <c r="B1685" s="4" t="s">
        <v>3039</v>
      </c>
      <c r="C1685" s="87">
        <v>68.5</v>
      </c>
    </row>
    <row r="1686" spans="1:3" ht="14.5" customHeight="1">
      <c r="A1686" s="4">
        <v>6246</v>
      </c>
      <c r="B1686" s="4" t="s">
        <v>3041</v>
      </c>
      <c r="C1686" s="87">
        <v>9.02</v>
      </c>
    </row>
    <row r="1687" spans="1:3" ht="14.5" customHeight="1">
      <c r="A1687" s="4">
        <v>6247</v>
      </c>
      <c r="B1687" s="4" t="s">
        <v>3043</v>
      </c>
      <c r="C1687" s="87">
        <v>10</v>
      </c>
    </row>
    <row r="1688" spans="1:3" ht="14.5" customHeight="1">
      <c r="A1688" s="4">
        <v>6248</v>
      </c>
      <c r="B1688" s="4" t="s">
        <v>3045</v>
      </c>
      <c r="C1688" s="87">
        <v>27.85</v>
      </c>
    </row>
    <row r="1689" spans="1:3" ht="14.5" customHeight="1">
      <c r="A1689" s="4">
        <v>6259</v>
      </c>
      <c r="B1689" s="4" t="s">
        <v>3047</v>
      </c>
      <c r="C1689" s="87">
        <v>2.4300000000000002</v>
      </c>
    </row>
    <row r="1690" spans="1:3" ht="14.5" customHeight="1">
      <c r="A1690" s="4">
        <v>6261</v>
      </c>
      <c r="B1690" s="4" t="s">
        <v>3049</v>
      </c>
      <c r="C1690" s="87">
        <v>52.6</v>
      </c>
    </row>
    <row r="1691" spans="1:3" ht="14.5" customHeight="1">
      <c r="A1691" s="4">
        <v>6263</v>
      </c>
      <c r="B1691" s="4" t="s">
        <v>3051</v>
      </c>
      <c r="C1691" s="87">
        <v>65</v>
      </c>
    </row>
    <row r="1692" spans="1:3" ht="14.5" customHeight="1">
      <c r="A1692" s="4">
        <v>6264</v>
      </c>
      <c r="B1692" s="4" t="s">
        <v>3053</v>
      </c>
      <c r="C1692" s="87">
        <v>6.05</v>
      </c>
    </row>
    <row r="1693" spans="1:3" ht="14.5" customHeight="1">
      <c r="A1693" s="4">
        <v>6265</v>
      </c>
      <c r="B1693" s="4" t="s">
        <v>3055</v>
      </c>
      <c r="C1693" s="87">
        <v>6.99</v>
      </c>
    </row>
    <row r="1694" spans="1:3" ht="14.5" customHeight="1">
      <c r="A1694" s="4">
        <v>6266</v>
      </c>
      <c r="B1694" s="4" t="s">
        <v>3057</v>
      </c>
      <c r="C1694" s="87">
        <v>21.2</v>
      </c>
    </row>
    <row r="1695" spans="1:3" ht="14.5" customHeight="1">
      <c r="A1695" s="4">
        <v>6270</v>
      </c>
      <c r="B1695" s="4" t="s">
        <v>3059</v>
      </c>
      <c r="C1695" s="87">
        <v>15.5</v>
      </c>
    </row>
    <row r="1696" spans="1:3" ht="14.5" customHeight="1">
      <c r="A1696" s="4">
        <v>6274</v>
      </c>
      <c r="B1696" s="4" t="s">
        <v>3061</v>
      </c>
      <c r="C1696" s="87">
        <v>148</v>
      </c>
    </row>
    <row r="1697" spans="1:3" ht="14.5" customHeight="1">
      <c r="A1697" s="4">
        <v>6275</v>
      </c>
      <c r="B1697" s="4" t="s">
        <v>3063</v>
      </c>
      <c r="C1697" s="87">
        <v>19.95</v>
      </c>
    </row>
    <row r="1698" spans="1:3" ht="14.5" customHeight="1">
      <c r="A1698" s="4">
        <v>6276</v>
      </c>
      <c r="B1698" s="4" t="s">
        <v>3065</v>
      </c>
      <c r="C1698" s="87">
        <v>19.5</v>
      </c>
    </row>
    <row r="1699" spans="1:3" ht="14.5" customHeight="1">
      <c r="A1699" s="4">
        <v>6279</v>
      </c>
      <c r="B1699" s="4" t="s">
        <v>3067</v>
      </c>
      <c r="C1699" s="87">
        <v>89.6</v>
      </c>
    </row>
    <row r="1700" spans="1:3" ht="14.5" customHeight="1">
      <c r="A1700" s="4">
        <v>6284</v>
      </c>
      <c r="B1700" s="4" t="s">
        <v>3069</v>
      </c>
      <c r="C1700" s="87">
        <v>38.1</v>
      </c>
    </row>
    <row r="1701" spans="1:3" ht="14.5" customHeight="1">
      <c r="A1701" s="4">
        <v>6287</v>
      </c>
      <c r="B1701" s="4" t="s">
        <v>3071</v>
      </c>
      <c r="C1701" s="87">
        <v>1.93</v>
      </c>
    </row>
    <row r="1702" spans="1:3" ht="14.5" customHeight="1">
      <c r="A1702" s="4">
        <v>6290</v>
      </c>
      <c r="B1702" s="4" t="s">
        <v>3073</v>
      </c>
      <c r="C1702" s="87">
        <v>69.7</v>
      </c>
    </row>
    <row r="1703" spans="1:3" ht="14.5" customHeight="1">
      <c r="A1703" s="4">
        <v>6291</v>
      </c>
      <c r="B1703" s="4" t="s">
        <v>3075</v>
      </c>
      <c r="C1703" s="87">
        <v>13.25</v>
      </c>
    </row>
    <row r="1704" spans="1:3" ht="14.5" customHeight="1">
      <c r="A1704" s="4">
        <v>6292</v>
      </c>
      <c r="B1704" s="4" t="s">
        <v>3077</v>
      </c>
      <c r="C1704" s="87">
        <v>34.549999999999997</v>
      </c>
    </row>
    <row r="1705" spans="1:3" ht="14.5" customHeight="1">
      <c r="A1705" s="4">
        <v>6294</v>
      </c>
      <c r="B1705" s="4" t="s">
        <v>3079</v>
      </c>
      <c r="C1705" s="87">
        <v>102</v>
      </c>
    </row>
    <row r="1706" spans="1:3" ht="14.5" customHeight="1">
      <c r="A1706" s="4">
        <v>6404</v>
      </c>
      <c r="B1706" s="4" t="s">
        <v>3081</v>
      </c>
      <c r="C1706" s="87">
        <v>3.65</v>
      </c>
    </row>
    <row r="1707" spans="1:3" ht="14.5" customHeight="1">
      <c r="A1707" s="4">
        <v>6411</v>
      </c>
      <c r="B1707" s="4" t="s">
        <v>3083</v>
      </c>
      <c r="C1707" s="87">
        <v>99</v>
      </c>
    </row>
    <row r="1708" spans="1:3" ht="14.5" customHeight="1">
      <c r="A1708" s="4">
        <v>6417</v>
      </c>
      <c r="B1708" s="4" t="s">
        <v>3085</v>
      </c>
      <c r="C1708" s="87">
        <v>65.400000000000006</v>
      </c>
    </row>
    <row r="1709" spans="1:3" ht="14.5" customHeight="1">
      <c r="A1709" s="4">
        <v>6418</v>
      </c>
      <c r="B1709" s="4" t="s">
        <v>3087</v>
      </c>
      <c r="C1709" s="87">
        <v>16.850000000000001</v>
      </c>
    </row>
    <row r="1710" spans="1:3" ht="14.5" customHeight="1">
      <c r="A1710" s="4">
        <v>6419</v>
      </c>
      <c r="B1710" s="4" t="s">
        <v>3089</v>
      </c>
      <c r="C1710" s="87">
        <v>6.84</v>
      </c>
    </row>
    <row r="1711" spans="1:3" ht="14.5" customHeight="1">
      <c r="A1711" s="4">
        <v>6425</v>
      </c>
      <c r="B1711" s="4" t="s">
        <v>3091</v>
      </c>
      <c r="C1711" s="87">
        <v>26.8</v>
      </c>
    </row>
    <row r="1712" spans="1:3" ht="14.5" customHeight="1">
      <c r="A1712" s="4">
        <v>6426</v>
      </c>
      <c r="B1712" s="4" t="s">
        <v>3093</v>
      </c>
      <c r="C1712" s="87">
        <v>169</v>
      </c>
    </row>
    <row r="1713" spans="1:3" ht="14.5" customHeight="1">
      <c r="A1713" s="4">
        <v>6432</v>
      </c>
      <c r="B1713" s="4" t="s">
        <v>3095</v>
      </c>
      <c r="C1713" s="87">
        <v>34.700000000000003</v>
      </c>
    </row>
    <row r="1714" spans="1:3" ht="14.5" customHeight="1">
      <c r="A1714" s="4">
        <v>6435</v>
      </c>
      <c r="B1714" s="4" t="s">
        <v>3097</v>
      </c>
      <c r="C1714" s="87">
        <v>126</v>
      </c>
    </row>
    <row r="1715" spans="1:3" ht="14.5" customHeight="1">
      <c r="A1715" s="4">
        <v>6438</v>
      </c>
      <c r="B1715" s="4" t="s">
        <v>3099</v>
      </c>
      <c r="C1715" s="87">
        <v>77.5</v>
      </c>
    </row>
    <row r="1716" spans="1:3" ht="14.5" customHeight="1">
      <c r="A1716" s="4">
        <v>6441</v>
      </c>
      <c r="B1716" s="4" t="s">
        <v>3101</v>
      </c>
      <c r="C1716" s="87">
        <v>51.5</v>
      </c>
    </row>
    <row r="1717" spans="1:3" ht="14.5" customHeight="1">
      <c r="A1717" s="4">
        <v>6446</v>
      </c>
      <c r="B1717" s="4" t="s">
        <v>3103</v>
      </c>
      <c r="C1717" s="87">
        <v>110</v>
      </c>
    </row>
    <row r="1718" spans="1:3" ht="14.5" customHeight="1">
      <c r="A1718" s="4">
        <v>6457</v>
      </c>
      <c r="B1718" s="4" t="s">
        <v>3105</v>
      </c>
      <c r="C1718" s="87">
        <v>29.8</v>
      </c>
    </row>
    <row r="1719" spans="1:3" ht="14.5" customHeight="1">
      <c r="A1719" s="4">
        <v>6461</v>
      </c>
      <c r="B1719" s="4" t="s">
        <v>3107</v>
      </c>
      <c r="C1719" s="87">
        <v>18.399999999999999</v>
      </c>
    </row>
    <row r="1720" spans="1:3" ht="14.5" customHeight="1">
      <c r="A1720" s="4">
        <v>6462</v>
      </c>
      <c r="B1720" s="4" t="s">
        <v>3109</v>
      </c>
      <c r="C1720" s="87">
        <v>236.5</v>
      </c>
    </row>
    <row r="1721" spans="1:3" ht="14.5" customHeight="1">
      <c r="A1721" s="4">
        <v>6465</v>
      </c>
      <c r="B1721" s="4" t="s">
        <v>3111</v>
      </c>
      <c r="C1721" s="87">
        <v>54.8</v>
      </c>
    </row>
    <row r="1722" spans="1:3" ht="14.5" customHeight="1">
      <c r="A1722" s="4">
        <v>6469</v>
      </c>
      <c r="B1722" s="4" t="s">
        <v>3113</v>
      </c>
      <c r="C1722" s="87">
        <v>81.7</v>
      </c>
    </row>
    <row r="1723" spans="1:3" ht="14.5" customHeight="1">
      <c r="A1723" s="4">
        <v>6470</v>
      </c>
      <c r="B1723" s="4" t="s">
        <v>3115</v>
      </c>
      <c r="C1723" s="87">
        <v>49.25</v>
      </c>
    </row>
    <row r="1724" spans="1:3" ht="14.5" customHeight="1">
      <c r="A1724" s="4">
        <v>6472</v>
      </c>
      <c r="B1724" s="4" t="s">
        <v>3117</v>
      </c>
      <c r="C1724" s="87">
        <v>142.5</v>
      </c>
    </row>
    <row r="1725" spans="1:3" ht="14.5" customHeight="1">
      <c r="A1725" s="4">
        <v>6482</v>
      </c>
      <c r="B1725" s="4" t="s">
        <v>3119</v>
      </c>
      <c r="C1725" s="87" t="s">
        <v>5971</v>
      </c>
    </row>
    <row r="1726" spans="1:3" ht="14.5" customHeight="1">
      <c r="A1726" s="4">
        <v>6485</v>
      </c>
      <c r="B1726" s="4" t="s">
        <v>3121</v>
      </c>
      <c r="C1726" s="87">
        <v>33.15</v>
      </c>
    </row>
    <row r="1727" spans="1:3" ht="14.5" customHeight="1">
      <c r="A1727" s="4">
        <v>6486</v>
      </c>
      <c r="B1727" s="4" t="s">
        <v>3123</v>
      </c>
      <c r="C1727" s="87">
        <v>79.599999999999994</v>
      </c>
    </row>
    <row r="1728" spans="1:3" ht="14.5" customHeight="1">
      <c r="A1728" s="4">
        <v>6488</v>
      </c>
      <c r="B1728" s="4" t="s">
        <v>3125</v>
      </c>
      <c r="C1728" s="87">
        <v>382.5</v>
      </c>
    </row>
    <row r="1729" spans="1:3" ht="14.5" customHeight="1">
      <c r="A1729" s="4">
        <v>6492</v>
      </c>
      <c r="B1729" s="4" t="s">
        <v>3127</v>
      </c>
      <c r="C1729" s="87">
        <v>64.5</v>
      </c>
    </row>
    <row r="1730" spans="1:3" ht="14.5" customHeight="1">
      <c r="A1730" s="4">
        <v>6494</v>
      </c>
      <c r="B1730" s="4" t="s">
        <v>3129</v>
      </c>
      <c r="C1730" s="87">
        <v>36.799999999999997</v>
      </c>
    </row>
    <row r="1731" spans="1:3" ht="14.5" customHeight="1">
      <c r="A1731" s="4">
        <v>6496</v>
      </c>
      <c r="B1731" s="4" t="s">
        <v>3131</v>
      </c>
      <c r="C1731" s="87">
        <v>35.700000000000003</v>
      </c>
    </row>
    <row r="1732" spans="1:3" ht="14.5" customHeight="1">
      <c r="A1732" s="4">
        <v>6497</v>
      </c>
      <c r="B1732" s="4" t="s">
        <v>3133</v>
      </c>
      <c r="C1732" s="87">
        <v>8.1</v>
      </c>
    </row>
    <row r="1733" spans="1:3" ht="14.5" customHeight="1">
      <c r="A1733" s="4">
        <v>6499</v>
      </c>
      <c r="B1733" s="4" t="s">
        <v>3135</v>
      </c>
      <c r="C1733" s="87">
        <v>63.2</v>
      </c>
    </row>
    <row r="1734" spans="1:3" ht="14.5" customHeight="1">
      <c r="A1734" s="4">
        <v>6506</v>
      </c>
      <c r="B1734" s="4" t="s">
        <v>3137</v>
      </c>
      <c r="C1734" s="87">
        <v>18.5</v>
      </c>
    </row>
    <row r="1735" spans="1:3" ht="14.5" customHeight="1">
      <c r="A1735" s="4">
        <v>6508</v>
      </c>
      <c r="B1735" s="4" t="s">
        <v>3139</v>
      </c>
      <c r="C1735" s="87">
        <v>29.95</v>
      </c>
    </row>
    <row r="1736" spans="1:3" ht="14.5" customHeight="1">
      <c r="A1736" s="4">
        <v>6509</v>
      </c>
      <c r="B1736" s="4" t="s">
        <v>3141</v>
      </c>
      <c r="C1736" s="87">
        <v>18.5</v>
      </c>
    </row>
    <row r="1737" spans="1:3" ht="14.5" customHeight="1">
      <c r="A1737" s="4">
        <v>6510</v>
      </c>
      <c r="B1737" s="4" t="s">
        <v>3143</v>
      </c>
      <c r="C1737" s="87">
        <v>1030</v>
      </c>
    </row>
    <row r="1738" spans="1:3" ht="14.5" customHeight="1">
      <c r="A1738" s="4">
        <v>6512</v>
      </c>
      <c r="B1738" s="4" t="s">
        <v>3145</v>
      </c>
      <c r="C1738" s="87">
        <v>15</v>
      </c>
    </row>
    <row r="1739" spans="1:3" ht="14.5" customHeight="1">
      <c r="A1739" s="4">
        <v>6514</v>
      </c>
      <c r="B1739" s="4" t="s">
        <v>3147</v>
      </c>
      <c r="C1739" s="87">
        <v>73.5</v>
      </c>
    </row>
    <row r="1740" spans="1:3" ht="14.5" customHeight="1">
      <c r="A1740" s="4">
        <v>6516</v>
      </c>
      <c r="B1740" s="4" t="s">
        <v>3149</v>
      </c>
      <c r="C1740" s="87">
        <v>110.5</v>
      </c>
    </row>
    <row r="1741" spans="1:3" ht="14.5" customHeight="1">
      <c r="A1741" s="4">
        <v>6523</v>
      </c>
      <c r="B1741" s="4" t="s">
        <v>3151</v>
      </c>
      <c r="C1741" s="87">
        <v>101.5</v>
      </c>
    </row>
    <row r="1742" spans="1:3" ht="14.5" customHeight="1">
      <c r="A1742" s="4">
        <v>6527</v>
      </c>
      <c r="B1742" s="4" t="s">
        <v>3153</v>
      </c>
      <c r="C1742" s="87">
        <v>78.5</v>
      </c>
    </row>
    <row r="1743" spans="1:3" ht="14.5" customHeight="1">
      <c r="A1743" s="4">
        <v>6530</v>
      </c>
      <c r="B1743" s="4" t="s">
        <v>3155</v>
      </c>
      <c r="C1743" s="87">
        <v>20.149999999999999</v>
      </c>
    </row>
    <row r="1744" spans="1:3" ht="14.5" customHeight="1">
      <c r="A1744" s="4">
        <v>6532</v>
      </c>
      <c r="B1744" s="4" t="s">
        <v>3157</v>
      </c>
      <c r="C1744" s="87">
        <v>34.9</v>
      </c>
    </row>
    <row r="1745" spans="1:3" ht="14.5" customHeight="1">
      <c r="A1745" s="4">
        <v>6535</v>
      </c>
      <c r="B1745" s="4" t="s">
        <v>3159</v>
      </c>
      <c r="C1745" s="87">
        <v>34.4</v>
      </c>
    </row>
    <row r="1746" spans="1:3" ht="14.5" customHeight="1">
      <c r="A1746" s="4">
        <v>6538</v>
      </c>
      <c r="B1746" s="4" t="s">
        <v>3161</v>
      </c>
      <c r="C1746" s="87">
        <v>207.5</v>
      </c>
    </row>
    <row r="1747" spans="1:3" ht="14.5" customHeight="1">
      <c r="A1747" s="4">
        <v>6542</v>
      </c>
      <c r="B1747" s="4" t="s">
        <v>3163</v>
      </c>
      <c r="C1747" s="87">
        <v>64.5</v>
      </c>
    </row>
    <row r="1748" spans="1:3" ht="14.5" customHeight="1">
      <c r="A1748" s="4">
        <v>6547</v>
      </c>
      <c r="B1748" s="4" t="s">
        <v>3165</v>
      </c>
      <c r="C1748" s="87">
        <v>28.5</v>
      </c>
    </row>
    <row r="1749" spans="1:3" ht="14.5" customHeight="1">
      <c r="A1749" s="4">
        <v>6548</v>
      </c>
      <c r="B1749" s="4" t="s">
        <v>3167</v>
      </c>
      <c r="C1749" s="87">
        <v>34.450000000000003</v>
      </c>
    </row>
    <row r="1750" spans="1:3" ht="14.5" customHeight="1">
      <c r="A1750" s="4">
        <v>6556</v>
      </c>
      <c r="B1750" s="4" t="s">
        <v>3169</v>
      </c>
      <c r="C1750" s="87">
        <v>46.45</v>
      </c>
    </row>
    <row r="1751" spans="1:3" ht="14.5" customHeight="1">
      <c r="A1751" s="4">
        <v>6560</v>
      </c>
      <c r="B1751" s="4" t="s">
        <v>3171</v>
      </c>
      <c r="C1751" s="87">
        <v>34.5</v>
      </c>
    </row>
    <row r="1752" spans="1:3" ht="14.5" customHeight="1">
      <c r="A1752" s="4">
        <v>6561</v>
      </c>
      <c r="B1752" s="4" t="s">
        <v>3173</v>
      </c>
      <c r="C1752" s="87">
        <v>220</v>
      </c>
    </row>
    <row r="1753" spans="1:3" ht="14.5" customHeight="1">
      <c r="A1753" s="4">
        <v>6568</v>
      </c>
      <c r="B1753" s="4" t="s">
        <v>3175</v>
      </c>
      <c r="C1753" s="87">
        <v>177.5</v>
      </c>
    </row>
    <row r="1754" spans="1:3" ht="14.5" customHeight="1">
      <c r="A1754" s="4">
        <v>6569</v>
      </c>
      <c r="B1754" s="4" t="s">
        <v>3177</v>
      </c>
      <c r="C1754" s="87">
        <v>157</v>
      </c>
    </row>
    <row r="1755" spans="1:3" ht="14.5" customHeight="1">
      <c r="A1755" s="4">
        <v>6570</v>
      </c>
      <c r="B1755" s="4" t="s">
        <v>3179</v>
      </c>
      <c r="C1755" s="87">
        <v>38.75</v>
      </c>
    </row>
    <row r="1756" spans="1:3" ht="14.5" customHeight="1">
      <c r="A1756" s="4">
        <v>6574</v>
      </c>
      <c r="B1756" s="4" t="s">
        <v>3181</v>
      </c>
      <c r="C1756" s="87" t="s">
        <v>5971</v>
      </c>
    </row>
    <row r="1757" spans="1:3" ht="14.5" customHeight="1">
      <c r="A1757" s="4">
        <v>6576</v>
      </c>
      <c r="B1757" s="4" t="s">
        <v>3183</v>
      </c>
      <c r="C1757" s="87">
        <v>58.3</v>
      </c>
    </row>
    <row r="1758" spans="1:3" ht="14.5" customHeight="1">
      <c r="A1758" s="4">
        <v>6577</v>
      </c>
      <c r="B1758" s="4" t="s">
        <v>3185</v>
      </c>
      <c r="C1758" s="87">
        <v>68.099999999999994</v>
      </c>
    </row>
    <row r="1759" spans="1:3" ht="14.5" customHeight="1">
      <c r="A1759" s="4">
        <v>6578</v>
      </c>
      <c r="B1759" s="4" t="s">
        <v>3187</v>
      </c>
      <c r="C1759" s="87">
        <v>24.15</v>
      </c>
    </row>
    <row r="1760" spans="1:3" ht="14.5" customHeight="1">
      <c r="A1760" s="4">
        <v>6589</v>
      </c>
      <c r="B1760" s="4" t="s">
        <v>3189</v>
      </c>
      <c r="C1760" s="87">
        <v>27.45</v>
      </c>
    </row>
    <row r="1761" spans="1:3" ht="14.5" customHeight="1">
      <c r="A1761" s="4">
        <v>6590</v>
      </c>
      <c r="B1761" s="4" t="s">
        <v>3191</v>
      </c>
      <c r="C1761" s="87">
        <v>31</v>
      </c>
    </row>
    <row r="1762" spans="1:3" ht="14.5" customHeight="1">
      <c r="A1762" s="4">
        <v>6593</v>
      </c>
      <c r="B1762" s="4" t="s">
        <v>3193</v>
      </c>
      <c r="C1762" s="87">
        <v>28.95</v>
      </c>
    </row>
    <row r="1763" spans="1:3" ht="14.5" customHeight="1">
      <c r="A1763" s="4">
        <v>6594</v>
      </c>
      <c r="B1763" s="4" t="s">
        <v>3195</v>
      </c>
      <c r="C1763" s="87">
        <v>21.2</v>
      </c>
    </row>
    <row r="1764" spans="1:3" ht="14.5" customHeight="1">
      <c r="A1764" s="4">
        <v>6596</v>
      </c>
      <c r="B1764" s="4" t="s">
        <v>3197</v>
      </c>
      <c r="C1764" s="87">
        <v>69.900000000000006</v>
      </c>
    </row>
    <row r="1765" spans="1:3" ht="14.5" customHeight="1">
      <c r="A1765" s="4">
        <v>6603</v>
      </c>
      <c r="B1765" s="4" t="s">
        <v>3199</v>
      </c>
      <c r="C1765" s="87">
        <v>10.8</v>
      </c>
    </row>
    <row r="1766" spans="1:3" ht="14.5" customHeight="1">
      <c r="A1766" s="4">
        <v>6609</v>
      </c>
      <c r="B1766" s="4" t="s">
        <v>3201</v>
      </c>
      <c r="C1766" s="87">
        <v>28.15</v>
      </c>
    </row>
    <row r="1767" spans="1:3" ht="14.5" customHeight="1">
      <c r="A1767" s="4">
        <v>6612</v>
      </c>
      <c r="B1767" s="4" t="s">
        <v>3203</v>
      </c>
      <c r="C1767" s="87">
        <v>86.9</v>
      </c>
    </row>
    <row r="1768" spans="1:3" ht="14.5" customHeight="1">
      <c r="A1768" s="4">
        <v>6613</v>
      </c>
      <c r="B1768" s="4" t="s">
        <v>3205</v>
      </c>
      <c r="C1768" s="87">
        <v>166</v>
      </c>
    </row>
    <row r="1769" spans="1:3" ht="14.5" customHeight="1">
      <c r="A1769" s="4">
        <v>6615</v>
      </c>
      <c r="B1769" s="4" t="s">
        <v>3207</v>
      </c>
      <c r="C1769" s="87">
        <v>70.900000000000006</v>
      </c>
    </row>
    <row r="1770" spans="1:3" ht="14.5" customHeight="1">
      <c r="A1770" s="4">
        <v>6616</v>
      </c>
      <c r="B1770" s="4" t="s">
        <v>3209</v>
      </c>
      <c r="C1770" s="87">
        <v>36.85</v>
      </c>
    </row>
    <row r="1771" spans="1:3" ht="14.5" customHeight="1">
      <c r="A1771" s="4">
        <v>6624</v>
      </c>
      <c r="B1771" s="4" t="s">
        <v>3211</v>
      </c>
      <c r="C1771" s="87">
        <v>44.65</v>
      </c>
    </row>
    <row r="1772" spans="1:3" ht="14.5" customHeight="1">
      <c r="A1772" s="4">
        <v>6629</v>
      </c>
      <c r="B1772" s="4" t="s">
        <v>3213</v>
      </c>
      <c r="C1772" s="87">
        <v>52.1</v>
      </c>
    </row>
    <row r="1773" spans="1:3" ht="14.5" customHeight="1">
      <c r="A1773" s="4">
        <v>6640</v>
      </c>
      <c r="B1773" s="4" t="s">
        <v>3215</v>
      </c>
      <c r="C1773" s="87">
        <v>42.55</v>
      </c>
    </row>
    <row r="1774" spans="1:3" ht="14.5" customHeight="1">
      <c r="A1774" s="4">
        <v>6642</v>
      </c>
      <c r="B1774" s="4" t="s">
        <v>3217</v>
      </c>
      <c r="C1774" s="87">
        <v>36.1</v>
      </c>
    </row>
    <row r="1775" spans="1:3" ht="14.5" customHeight="1">
      <c r="A1775" s="4">
        <v>6643</v>
      </c>
      <c r="B1775" s="4" t="s">
        <v>3219</v>
      </c>
      <c r="C1775" s="87">
        <v>335</v>
      </c>
    </row>
    <row r="1776" spans="1:3" ht="14.5" customHeight="1">
      <c r="A1776" s="4">
        <v>6649</v>
      </c>
      <c r="B1776" s="4" t="s">
        <v>3221</v>
      </c>
      <c r="C1776" s="87">
        <v>38.15</v>
      </c>
    </row>
    <row r="1777" spans="1:3" ht="14.5" customHeight="1">
      <c r="A1777" s="4">
        <v>6654</v>
      </c>
      <c r="B1777" s="4" t="s">
        <v>3223</v>
      </c>
      <c r="C1777" s="87">
        <v>60.8</v>
      </c>
    </row>
    <row r="1778" spans="1:3" ht="14.5" customHeight="1">
      <c r="A1778" s="4">
        <v>6662</v>
      </c>
      <c r="B1778" s="4" t="s">
        <v>3225</v>
      </c>
      <c r="C1778" s="87">
        <v>38.15</v>
      </c>
    </row>
    <row r="1779" spans="1:3" ht="14.5" customHeight="1">
      <c r="A1779" s="4">
        <v>6664</v>
      </c>
      <c r="B1779" s="4" t="s">
        <v>3227</v>
      </c>
      <c r="C1779" s="87">
        <v>65.3</v>
      </c>
    </row>
    <row r="1780" spans="1:3" ht="14.5" customHeight="1">
      <c r="A1780" s="4">
        <v>6667</v>
      </c>
      <c r="B1780" s="4" t="s">
        <v>3229</v>
      </c>
      <c r="C1780" s="87">
        <v>71.5</v>
      </c>
    </row>
    <row r="1781" spans="1:3" ht="14.5" customHeight="1">
      <c r="A1781" s="4">
        <v>6679</v>
      </c>
      <c r="B1781" s="4" t="s">
        <v>3231</v>
      </c>
      <c r="C1781" s="87">
        <v>177.5</v>
      </c>
    </row>
    <row r="1782" spans="1:3" ht="14.5" customHeight="1">
      <c r="A1782" s="4">
        <v>6680</v>
      </c>
      <c r="B1782" s="4" t="s">
        <v>3233</v>
      </c>
      <c r="C1782" s="87">
        <v>61</v>
      </c>
    </row>
    <row r="1783" spans="1:3" ht="14.5" customHeight="1">
      <c r="A1783" s="4">
        <v>6683</v>
      </c>
      <c r="B1783" s="4" t="s">
        <v>3235</v>
      </c>
      <c r="C1783" s="87">
        <v>225.5</v>
      </c>
    </row>
    <row r="1784" spans="1:3" ht="14.5" customHeight="1">
      <c r="A1784" s="4">
        <v>6690</v>
      </c>
      <c r="B1784" s="4" t="s">
        <v>3237</v>
      </c>
      <c r="C1784" s="87">
        <v>108</v>
      </c>
    </row>
    <row r="1785" spans="1:3" ht="14.5" customHeight="1">
      <c r="A1785" s="4">
        <v>6697</v>
      </c>
      <c r="B1785" s="4" t="s">
        <v>3239</v>
      </c>
      <c r="C1785" s="87">
        <v>43.1</v>
      </c>
    </row>
    <row r="1786" spans="1:3" ht="14.5" customHeight="1">
      <c r="A1786" s="4">
        <v>6803</v>
      </c>
      <c r="B1786" s="4" t="s">
        <v>3243</v>
      </c>
      <c r="C1786" s="87">
        <v>209</v>
      </c>
    </row>
    <row r="1787" spans="1:3" ht="14.5" customHeight="1">
      <c r="A1787" s="4">
        <v>7402</v>
      </c>
      <c r="B1787" s="4" t="s">
        <v>3245</v>
      </c>
      <c r="C1787" s="87">
        <v>39.5</v>
      </c>
    </row>
    <row r="1788" spans="1:3" ht="14.5" customHeight="1">
      <c r="A1788" s="4">
        <v>8024</v>
      </c>
      <c r="B1788" s="4" t="s">
        <v>3247</v>
      </c>
      <c r="C1788" s="87">
        <v>10.95</v>
      </c>
    </row>
    <row r="1789" spans="1:3" ht="14.5" customHeight="1">
      <c r="A1789" s="4">
        <v>8027</v>
      </c>
      <c r="B1789" s="4" t="s">
        <v>3249</v>
      </c>
      <c r="C1789" s="87">
        <v>33.200000000000003</v>
      </c>
    </row>
    <row r="1790" spans="1:3" ht="14.5" customHeight="1">
      <c r="A1790" s="4">
        <v>8032</v>
      </c>
      <c r="B1790" s="4" t="s">
        <v>3251</v>
      </c>
      <c r="C1790" s="87">
        <v>25.45</v>
      </c>
    </row>
    <row r="1791" spans="1:3" ht="14.5" customHeight="1">
      <c r="A1791" s="4">
        <v>8034</v>
      </c>
      <c r="B1791" s="4" t="s">
        <v>3253</v>
      </c>
      <c r="C1791" s="87">
        <v>17.25</v>
      </c>
    </row>
    <row r="1792" spans="1:3" ht="14.5" customHeight="1">
      <c r="A1792" s="4">
        <v>8038</v>
      </c>
      <c r="B1792" s="4" t="s">
        <v>3255</v>
      </c>
      <c r="C1792" s="87">
        <v>42.5</v>
      </c>
    </row>
    <row r="1793" spans="1:3" ht="14.5" customHeight="1">
      <c r="A1793" s="4">
        <v>8040</v>
      </c>
      <c r="B1793" s="4" t="s">
        <v>3257</v>
      </c>
      <c r="C1793" s="87">
        <v>25.2</v>
      </c>
    </row>
    <row r="1794" spans="1:3" ht="14.5" customHeight="1">
      <c r="A1794" s="4">
        <v>8042</v>
      </c>
      <c r="B1794" s="4" t="s">
        <v>3259</v>
      </c>
      <c r="C1794" s="87">
        <v>35.75</v>
      </c>
    </row>
    <row r="1795" spans="1:3" ht="14.5" customHeight="1">
      <c r="A1795" s="4">
        <v>8043</v>
      </c>
      <c r="B1795" s="4" t="s">
        <v>3261</v>
      </c>
      <c r="C1795" s="87">
        <v>34.700000000000003</v>
      </c>
    </row>
    <row r="1796" spans="1:3" ht="14.5" customHeight="1">
      <c r="A1796" s="4">
        <v>8044</v>
      </c>
      <c r="B1796" s="4" t="s">
        <v>3263</v>
      </c>
      <c r="C1796" s="87">
        <v>94.7</v>
      </c>
    </row>
    <row r="1797" spans="1:3" ht="14.5" customHeight="1">
      <c r="A1797" s="4">
        <v>8047</v>
      </c>
      <c r="B1797" s="4" t="s">
        <v>3265</v>
      </c>
      <c r="C1797" s="87">
        <v>10.65</v>
      </c>
    </row>
    <row r="1798" spans="1:3" ht="14.5" customHeight="1">
      <c r="A1798" s="4">
        <v>8048</v>
      </c>
      <c r="B1798" s="4" t="s">
        <v>3267</v>
      </c>
      <c r="C1798" s="87">
        <v>38.549999999999997</v>
      </c>
    </row>
    <row r="1799" spans="1:3" ht="14.5" customHeight="1">
      <c r="A1799" s="4">
        <v>8049</v>
      </c>
      <c r="B1799" s="4" t="s">
        <v>3269</v>
      </c>
      <c r="C1799" s="87">
        <v>21.25</v>
      </c>
    </row>
    <row r="1800" spans="1:3" ht="14.5" customHeight="1">
      <c r="A1800" s="4">
        <v>8050</v>
      </c>
      <c r="B1800" s="4" t="s">
        <v>3271</v>
      </c>
      <c r="C1800" s="87">
        <v>43.95</v>
      </c>
    </row>
    <row r="1801" spans="1:3" ht="14.5" customHeight="1">
      <c r="A1801" s="4">
        <v>8054</v>
      </c>
      <c r="B1801" s="4" t="s">
        <v>3273</v>
      </c>
      <c r="C1801" s="87">
        <v>14.1</v>
      </c>
    </row>
    <row r="1802" spans="1:3" ht="14.5" customHeight="1">
      <c r="A1802" s="4">
        <v>8059</v>
      </c>
      <c r="B1802" s="4" t="s">
        <v>3275</v>
      </c>
      <c r="C1802" s="87">
        <v>15.4</v>
      </c>
    </row>
    <row r="1803" spans="1:3" ht="14.5" customHeight="1">
      <c r="A1803" s="4">
        <v>8064</v>
      </c>
      <c r="B1803" s="4" t="s">
        <v>3277</v>
      </c>
      <c r="C1803" s="87">
        <v>17.75</v>
      </c>
    </row>
    <row r="1804" spans="1:3" ht="14.5" customHeight="1">
      <c r="A1804" s="4">
        <v>8066</v>
      </c>
      <c r="B1804" s="4" t="s">
        <v>3279</v>
      </c>
      <c r="C1804" s="87">
        <v>83</v>
      </c>
    </row>
    <row r="1805" spans="1:3" ht="14.5" customHeight="1">
      <c r="A1805" s="4">
        <v>8067</v>
      </c>
      <c r="B1805" s="4" t="s">
        <v>3281</v>
      </c>
      <c r="C1805" s="87">
        <v>9.8000000000000007</v>
      </c>
    </row>
    <row r="1806" spans="1:3" ht="14.5" customHeight="1">
      <c r="A1806" s="4">
        <v>8068</v>
      </c>
      <c r="B1806" s="4" t="s">
        <v>3283</v>
      </c>
      <c r="C1806" s="87">
        <v>34.549999999999997</v>
      </c>
    </row>
    <row r="1807" spans="1:3" ht="14.5" customHeight="1">
      <c r="A1807" s="4">
        <v>8069</v>
      </c>
      <c r="B1807" s="4" t="s">
        <v>3285</v>
      </c>
      <c r="C1807" s="87">
        <v>31.25</v>
      </c>
    </row>
    <row r="1808" spans="1:3" ht="14.5" customHeight="1">
      <c r="A1808" s="4">
        <v>8071</v>
      </c>
      <c r="B1808" s="4" t="s">
        <v>3287</v>
      </c>
      <c r="C1808" s="87">
        <v>14.15</v>
      </c>
    </row>
    <row r="1809" spans="1:3" ht="14.5" customHeight="1">
      <c r="A1809" s="4">
        <v>8074</v>
      </c>
      <c r="B1809" s="4" t="s">
        <v>3289</v>
      </c>
      <c r="C1809" s="87">
        <v>18.45</v>
      </c>
    </row>
    <row r="1810" spans="1:3" ht="14.5" customHeight="1">
      <c r="A1810" s="4">
        <v>8076</v>
      </c>
      <c r="B1810" s="4" t="s">
        <v>3291</v>
      </c>
      <c r="C1810" s="87">
        <v>37.049999999999997</v>
      </c>
    </row>
    <row r="1811" spans="1:3" ht="14.5" customHeight="1">
      <c r="A1811" s="4">
        <v>8077</v>
      </c>
      <c r="B1811" s="4" t="s">
        <v>3293</v>
      </c>
      <c r="C1811" s="87">
        <v>14.65</v>
      </c>
    </row>
    <row r="1812" spans="1:3" ht="14.5" customHeight="1">
      <c r="A1812" s="4">
        <v>8083</v>
      </c>
      <c r="B1812" s="4" t="s">
        <v>3297</v>
      </c>
      <c r="C1812" s="87">
        <v>145</v>
      </c>
    </row>
    <row r="1813" spans="1:3" ht="14.5" customHeight="1">
      <c r="A1813" s="4">
        <v>8084</v>
      </c>
      <c r="B1813" s="4" t="s">
        <v>3299</v>
      </c>
      <c r="C1813" s="87">
        <v>20.3</v>
      </c>
    </row>
    <row r="1814" spans="1:3" ht="14.5" customHeight="1">
      <c r="A1814" s="4">
        <v>8085</v>
      </c>
      <c r="B1814" s="4" t="s">
        <v>3301</v>
      </c>
      <c r="C1814" s="87">
        <v>4.5</v>
      </c>
    </row>
    <row r="1815" spans="1:3" ht="14.5" customHeight="1">
      <c r="A1815" s="4">
        <v>8086</v>
      </c>
      <c r="B1815" s="4" t="s">
        <v>3303</v>
      </c>
      <c r="C1815" s="87">
        <v>99.5</v>
      </c>
    </row>
    <row r="1816" spans="1:3" ht="14.5" customHeight="1">
      <c r="A1816" s="4">
        <v>8087</v>
      </c>
      <c r="B1816" s="4" t="s">
        <v>3305</v>
      </c>
      <c r="C1816" s="87" t="s">
        <v>5971</v>
      </c>
    </row>
    <row r="1817" spans="1:3" ht="14.5" customHeight="1">
      <c r="A1817" s="4">
        <v>8088</v>
      </c>
      <c r="B1817" s="4" t="s">
        <v>3307</v>
      </c>
      <c r="C1817" s="87">
        <v>28.65</v>
      </c>
    </row>
    <row r="1818" spans="1:3" ht="14.5" customHeight="1">
      <c r="A1818" s="4">
        <v>8091</v>
      </c>
      <c r="B1818" s="4" t="s">
        <v>3309</v>
      </c>
      <c r="C1818" s="87">
        <v>65.5</v>
      </c>
    </row>
    <row r="1819" spans="1:3" ht="14.5" customHeight="1">
      <c r="A1819" s="4">
        <v>8092</v>
      </c>
      <c r="B1819" s="4" t="s">
        <v>3311</v>
      </c>
      <c r="C1819" s="87">
        <v>8.25</v>
      </c>
    </row>
    <row r="1820" spans="1:3" ht="14.5" customHeight="1">
      <c r="A1820" s="4">
        <v>8093</v>
      </c>
      <c r="B1820" s="4" t="s">
        <v>3313</v>
      </c>
      <c r="C1820" s="87">
        <v>5.64</v>
      </c>
    </row>
    <row r="1821" spans="1:3" ht="14.5" customHeight="1">
      <c r="A1821" s="4">
        <v>8096</v>
      </c>
      <c r="B1821" s="4" t="s">
        <v>3315</v>
      </c>
      <c r="C1821" s="87">
        <v>11.45</v>
      </c>
    </row>
    <row r="1822" spans="1:3" ht="14.5" customHeight="1">
      <c r="A1822" s="4">
        <v>8097</v>
      </c>
      <c r="B1822" s="4" t="s">
        <v>3317</v>
      </c>
      <c r="C1822" s="87">
        <v>13.75</v>
      </c>
    </row>
    <row r="1823" spans="1:3" ht="14.5" customHeight="1">
      <c r="A1823" s="4">
        <v>8099</v>
      </c>
      <c r="B1823" s="4" t="s">
        <v>3319</v>
      </c>
      <c r="C1823" s="87">
        <v>17.149999999999999</v>
      </c>
    </row>
    <row r="1824" spans="1:3" ht="14.5" customHeight="1">
      <c r="A1824" s="4">
        <v>8107</v>
      </c>
      <c r="B1824" s="4" t="s">
        <v>3321</v>
      </c>
      <c r="C1824" s="87">
        <v>22.5</v>
      </c>
    </row>
    <row r="1825" spans="1:3" ht="14.5" customHeight="1">
      <c r="A1825" s="4">
        <v>8109</v>
      </c>
      <c r="B1825" s="4" t="s">
        <v>3323</v>
      </c>
      <c r="C1825" s="87">
        <v>77.8</v>
      </c>
    </row>
    <row r="1826" spans="1:3" ht="14.5" customHeight="1">
      <c r="A1826" s="4">
        <v>8111</v>
      </c>
      <c r="B1826" s="4" t="s">
        <v>3325</v>
      </c>
      <c r="C1826" s="87">
        <v>9.49</v>
      </c>
    </row>
    <row r="1827" spans="1:3" ht="14.5" customHeight="1">
      <c r="A1827" s="4">
        <v>8121</v>
      </c>
      <c r="B1827" s="4" t="s">
        <v>3327</v>
      </c>
      <c r="C1827" s="87">
        <v>12.25</v>
      </c>
    </row>
    <row r="1828" spans="1:3" ht="14.5" customHeight="1">
      <c r="A1828" s="4">
        <v>8147</v>
      </c>
      <c r="B1828" s="4" t="s">
        <v>3329</v>
      </c>
      <c r="C1828" s="87">
        <v>32.35</v>
      </c>
    </row>
    <row r="1829" spans="1:3" ht="14.5" customHeight="1">
      <c r="A1829" s="4">
        <v>8155</v>
      </c>
      <c r="B1829" s="4" t="s">
        <v>3331</v>
      </c>
      <c r="C1829" s="87">
        <v>106</v>
      </c>
    </row>
    <row r="1830" spans="1:3" ht="14.5" customHeight="1">
      <c r="A1830" s="4">
        <v>8171</v>
      </c>
      <c r="B1830" s="4" t="s">
        <v>3333</v>
      </c>
      <c r="C1830" s="87">
        <v>11.15</v>
      </c>
    </row>
    <row r="1831" spans="1:3" ht="14.5" customHeight="1">
      <c r="A1831" s="4">
        <v>8176</v>
      </c>
      <c r="B1831" s="4" t="s">
        <v>3335</v>
      </c>
      <c r="C1831" s="87">
        <v>13</v>
      </c>
    </row>
    <row r="1832" spans="1:3" ht="14.5" customHeight="1">
      <c r="A1832" s="4">
        <v>8182</v>
      </c>
      <c r="B1832" s="4" t="s">
        <v>3337</v>
      </c>
      <c r="C1832" s="87">
        <v>29.95</v>
      </c>
    </row>
    <row r="1833" spans="1:3" ht="14.5" customHeight="1">
      <c r="A1833" s="4">
        <v>8183</v>
      </c>
      <c r="B1833" s="4" t="s">
        <v>3339</v>
      </c>
      <c r="C1833" s="87">
        <v>16.8</v>
      </c>
    </row>
    <row r="1834" spans="1:3" ht="14.5" customHeight="1">
      <c r="A1834" s="4">
        <v>8234</v>
      </c>
      <c r="B1834" s="4" t="s">
        <v>3341</v>
      </c>
      <c r="C1834" s="87">
        <v>26.95</v>
      </c>
    </row>
    <row r="1835" spans="1:3" ht="14.5" customHeight="1">
      <c r="A1835" s="4">
        <v>8240</v>
      </c>
      <c r="B1835" s="4" t="s">
        <v>3343</v>
      </c>
      <c r="C1835" s="87">
        <v>28.35</v>
      </c>
    </row>
    <row r="1836" spans="1:3" ht="14.5" customHeight="1">
      <c r="A1836" s="4">
        <v>8255</v>
      </c>
      <c r="B1836" s="4" t="s">
        <v>3345</v>
      </c>
      <c r="C1836" s="87">
        <v>97.3</v>
      </c>
    </row>
    <row r="1837" spans="1:3" ht="14.5" customHeight="1">
      <c r="A1837" s="4">
        <v>8277</v>
      </c>
      <c r="B1837" s="4" t="s">
        <v>3347</v>
      </c>
      <c r="C1837" s="87">
        <v>8.16</v>
      </c>
    </row>
    <row r="1838" spans="1:3" ht="14.5" customHeight="1">
      <c r="A1838" s="4">
        <v>8279</v>
      </c>
      <c r="B1838" s="4" t="s">
        <v>3349</v>
      </c>
      <c r="C1838" s="87">
        <v>117.5</v>
      </c>
    </row>
    <row r="1839" spans="1:3" ht="14.5" customHeight="1">
      <c r="A1839" s="4">
        <v>8287</v>
      </c>
      <c r="B1839" s="4" t="s">
        <v>3351</v>
      </c>
      <c r="C1839" s="87">
        <v>4.1100000000000003</v>
      </c>
    </row>
    <row r="1840" spans="1:3" ht="14.5" customHeight="1">
      <c r="A1840" s="4">
        <v>8289</v>
      </c>
      <c r="B1840" s="4" t="s">
        <v>3353</v>
      </c>
      <c r="C1840" s="87">
        <v>14.4</v>
      </c>
    </row>
    <row r="1841" spans="1:3" ht="14.5" customHeight="1">
      <c r="A1841" s="4">
        <v>8291</v>
      </c>
      <c r="B1841" s="4" t="s">
        <v>3355</v>
      </c>
      <c r="C1841" s="87" t="s">
        <v>5971</v>
      </c>
    </row>
    <row r="1842" spans="1:3" ht="14.5" customHeight="1">
      <c r="A1842" s="4">
        <v>8299</v>
      </c>
      <c r="B1842" s="4" t="s">
        <v>3357</v>
      </c>
      <c r="C1842" s="87">
        <v>340.5</v>
      </c>
    </row>
    <row r="1843" spans="1:3" ht="14.5" customHeight="1">
      <c r="A1843" s="4">
        <v>8342</v>
      </c>
      <c r="B1843" s="4" t="s">
        <v>3359</v>
      </c>
      <c r="C1843" s="87">
        <v>45.5</v>
      </c>
    </row>
    <row r="1844" spans="1:3" ht="14.5" customHeight="1">
      <c r="A1844" s="4">
        <v>8349</v>
      </c>
      <c r="B1844" s="4" t="s">
        <v>5974</v>
      </c>
      <c r="C1844" s="87">
        <v>65</v>
      </c>
    </row>
    <row r="1845" spans="1:3" ht="14.5" customHeight="1">
      <c r="A1845" s="4">
        <v>8354</v>
      </c>
      <c r="B1845" s="4" t="s">
        <v>3363</v>
      </c>
      <c r="C1845" s="87">
        <v>18.899999999999999</v>
      </c>
    </row>
    <row r="1846" spans="1:3" ht="14.5" customHeight="1">
      <c r="A1846" s="4">
        <v>8358</v>
      </c>
      <c r="B1846" s="4" t="s">
        <v>3365</v>
      </c>
      <c r="C1846" s="87">
        <v>42.55</v>
      </c>
    </row>
    <row r="1847" spans="1:3" ht="14.5" customHeight="1">
      <c r="A1847" s="4">
        <v>8383</v>
      </c>
      <c r="B1847" s="4" t="s">
        <v>3367</v>
      </c>
      <c r="C1847" s="87">
        <v>37.200000000000003</v>
      </c>
    </row>
    <row r="1848" spans="1:3" ht="14.5" customHeight="1">
      <c r="A1848" s="4">
        <v>8390</v>
      </c>
      <c r="B1848" s="4" t="s">
        <v>3369</v>
      </c>
      <c r="C1848" s="87">
        <v>19.45</v>
      </c>
    </row>
    <row r="1849" spans="1:3" ht="14.5" customHeight="1">
      <c r="A1849" s="4">
        <v>8401</v>
      </c>
      <c r="B1849" s="4" t="s">
        <v>3371</v>
      </c>
      <c r="C1849" s="87">
        <v>11.45</v>
      </c>
    </row>
    <row r="1850" spans="1:3" ht="14.5" customHeight="1">
      <c r="A1850" s="4">
        <v>8403</v>
      </c>
      <c r="B1850" s="4" t="s">
        <v>3373</v>
      </c>
      <c r="C1850" s="87">
        <v>29.95</v>
      </c>
    </row>
    <row r="1851" spans="1:3" ht="14.5" customHeight="1">
      <c r="A1851" s="4">
        <v>8406</v>
      </c>
      <c r="B1851" s="4" t="s">
        <v>3375</v>
      </c>
      <c r="C1851" s="87">
        <v>212</v>
      </c>
    </row>
    <row r="1852" spans="1:3" ht="14.5" customHeight="1">
      <c r="A1852" s="4">
        <v>8409</v>
      </c>
      <c r="B1852" s="4" t="s">
        <v>3377</v>
      </c>
      <c r="C1852" s="87">
        <v>15.35</v>
      </c>
    </row>
    <row r="1853" spans="1:3" ht="14.5" customHeight="1">
      <c r="A1853" s="4">
        <v>8410</v>
      </c>
      <c r="B1853" s="4" t="s">
        <v>3379</v>
      </c>
      <c r="C1853" s="87">
        <v>27.3</v>
      </c>
    </row>
    <row r="1854" spans="1:3" ht="14.5" customHeight="1">
      <c r="A1854" s="4">
        <v>8415</v>
      </c>
      <c r="B1854" s="4" t="s">
        <v>3381</v>
      </c>
      <c r="C1854" s="87">
        <v>28</v>
      </c>
    </row>
    <row r="1855" spans="1:3" ht="14.5" customHeight="1">
      <c r="A1855" s="4">
        <v>8416</v>
      </c>
      <c r="B1855" s="4" t="s">
        <v>3383</v>
      </c>
      <c r="C1855" s="87">
        <v>115.5</v>
      </c>
    </row>
    <row r="1856" spans="1:3" ht="14.5" customHeight="1">
      <c r="A1856" s="4">
        <v>8418</v>
      </c>
      <c r="B1856" s="4" t="s">
        <v>3385</v>
      </c>
      <c r="C1856" s="87">
        <v>14.4</v>
      </c>
    </row>
    <row r="1857" spans="1:3" ht="14.5" customHeight="1">
      <c r="A1857" s="4">
        <v>8420</v>
      </c>
      <c r="B1857" s="4" t="s">
        <v>3387</v>
      </c>
      <c r="C1857" s="87">
        <v>29.15</v>
      </c>
    </row>
    <row r="1858" spans="1:3" ht="14.5" customHeight="1">
      <c r="A1858" s="4">
        <v>8421</v>
      </c>
      <c r="B1858" s="4" t="s">
        <v>3389</v>
      </c>
      <c r="C1858" s="87">
        <v>12.65</v>
      </c>
    </row>
    <row r="1859" spans="1:3" ht="14.5" customHeight="1">
      <c r="A1859" s="4">
        <v>8423</v>
      </c>
      <c r="B1859" s="4" t="s">
        <v>3391</v>
      </c>
      <c r="C1859" s="87">
        <v>20.65</v>
      </c>
    </row>
    <row r="1860" spans="1:3" ht="14.5" customHeight="1">
      <c r="A1860" s="4">
        <v>8424</v>
      </c>
      <c r="B1860" s="4" t="s">
        <v>3393</v>
      </c>
      <c r="C1860" s="87">
        <v>53.8</v>
      </c>
    </row>
    <row r="1861" spans="1:3" ht="14.5" customHeight="1">
      <c r="A1861" s="4">
        <v>8426</v>
      </c>
      <c r="B1861" s="4" t="s">
        <v>3395</v>
      </c>
      <c r="C1861" s="87">
        <v>22.7</v>
      </c>
    </row>
    <row r="1862" spans="1:3" ht="14.5" customHeight="1">
      <c r="A1862" s="4">
        <v>8431</v>
      </c>
      <c r="B1862" s="4" t="s">
        <v>3397</v>
      </c>
      <c r="C1862" s="87">
        <v>54.7</v>
      </c>
    </row>
    <row r="1863" spans="1:3" ht="14.5" customHeight="1">
      <c r="A1863" s="4">
        <v>8432</v>
      </c>
      <c r="B1863" s="4" t="s">
        <v>3399</v>
      </c>
      <c r="C1863" s="87">
        <v>78.5</v>
      </c>
    </row>
    <row r="1864" spans="1:3" ht="14.5" customHeight="1">
      <c r="A1864" s="4">
        <v>8433</v>
      </c>
      <c r="B1864" s="4" t="s">
        <v>3401</v>
      </c>
      <c r="C1864" s="87">
        <v>58.2</v>
      </c>
    </row>
    <row r="1865" spans="1:3" ht="14.5" customHeight="1">
      <c r="A1865" s="4">
        <v>8435</v>
      </c>
      <c r="B1865" s="4" t="s">
        <v>3403</v>
      </c>
      <c r="C1865" s="87">
        <v>50.6</v>
      </c>
    </row>
    <row r="1866" spans="1:3" ht="14.5" customHeight="1">
      <c r="A1866" s="4">
        <v>8436</v>
      </c>
      <c r="B1866" s="4" t="s">
        <v>3405</v>
      </c>
      <c r="C1866" s="87">
        <v>285</v>
      </c>
    </row>
    <row r="1867" spans="1:3" ht="14.5" customHeight="1">
      <c r="A1867" s="4">
        <v>8437</v>
      </c>
      <c r="B1867" s="4" t="s">
        <v>3407</v>
      </c>
      <c r="C1867" s="87">
        <v>240.5</v>
      </c>
    </row>
    <row r="1868" spans="1:3" ht="14.5" customHeight="1">
      <c r="A1868" s="4">
        <v>8440</v>
      </c>
      <c r="B1868" s="4" t="s">
        <v>3409</v>
      </c>
      <c r="C1868" s="87">
        <v>14.4</v>
      </c>
    </row>
    <row r="1869" spans="1:3" ht="14.5" customHeight="1">
      <c r="A1869" s="4">
        <v>8444</v>
      </c>
      <c r="B1869" s="4" t="s">
        <v>3411</v>
      </c>
      <c r="C1869" s="87">
        <v>65</v>
      </c>
    </row>
    <row r="1870" spans="1:3" ht="14.5" customHeight="1">
      <c r="A1870" s="4">
        <v>8446</v>
      </c>
      <c r="B1870" s="4" t="s">
        <v>3413</v>
      </c>
      <c r="C1870" s="87">
        <v>123.5</v>
      </c>
    </row>
    <row r="1871" spans="1:3" ht="14.5" customHeight="1">
      <c r="A1871" s="4">
        <v>8450</v>
      </c>
      <c r="B1871" s="4" t="s">
        <v>3415</v>
      </c>
      <c r="C1871" s="87">
        <v>38.25</v>
      </c>
    </row>
    <row r="1872" spans="1:3" ht="14.5" customHeight="1">
      <c r="A1872" s="4">
        <v>8455</v>
      </c>
      <c r="B1872" s="4" t="s">
        <v>3417</v>
      </c>
      <c r="C1872" s="87" t="s">
        <v>5971</v>
      </c>
    </row>
    <row r="1873" spans="1:3" ht="14.5" customHeight="1">
      <c r="A1873" s="4">
        <v>8472</v>
      </c>
      <c r="B1873" s="4" t="s">
        <v>3419</v>
      </c>
      <c r="C1873" s="87">
        <v>28</v>
      </c>
    </row>
    <row r="1874" spans="1:3" ht="14.5" customHeight="1">
      <c r="A1874" s="4">
        <v>8476</v>
      </c>
      <c r="B1874" s="4" t="s">
        <v>3421</v>
      </c>
      <c r="C1874" s="87">
        <v>20.399999999999999</v>
      </c>
    </row>
    <row r="1875" spans="1:3" ht="14.5" customHeight="1">
      <c r="A1875" s="4">
        <v>8477</v>
      </c>
      <c r="B1875" s="4" t="s">
        <v>3423</v>
      </c>
      <c r="C1875" s="87">
        <v>38.85</v>
      </c>
    </row>
    <row r="1876" spans="1:3" ht="14.5" customHeight="1">
      <c r="A1876" s="4">
        <v>8489</v>
      </c>
      <c r="B1876" s="4" t="s">
        <v>3425</v>
      </c>
      <c r="C1876" s="87">
        <v>108</v>
      </c>
    </row>
    <row r="1877" spans="1:3" ht="14.5" customHeight="1">
      <c r="A1877" s="4">
        <v>8905</v>
      </c>
      <c r="B1877" s="4" t="s">
        <v>3427</v>
      </c>
      <c r="C1877" s="87">
        <v>15.95</v>
      </c>
    </row>
    <row r="1878" spans="1:3" ht="14.5" customHeight="1">
      <c r="A1878" s="4">
        <v>8906</v>
      </c>
      <c r="B1878" s="4" t="s">
        <v>3429</v>
      </c>
      <c r="C1878" s="87">
        <v>16.5</v>
      </c>
    </row>
    <row r="1879" spans="1:3" ht="14.5" customHeight="1">
      <c r="A1879" s="4">
        <v>8908</v>
      </c>
      <c r="B1879" s="4" t="s">
        <v>3431</v>
      </c>
      <c r="C1879" s="87">
        <v>46.45</v>
      </c>
    </row>
    <row r="1880" spans="1:3" ht="14.5" customHeight="1">
      <c r="A1880" s="4">
        <v>8913</v>
      </c>
      <c r="B1880" s="4" t="s">
        <v>5975</v>
      </c>
      <c r="C1880" s="87">
        <v>13.3</v>
      </c>
    </row>
    <row r="1881" spans="1:3" ht="14.5" customHeight="1">
      <c r="A1881" s="4">
        <v>8916</v>
      </c>
      <c r="B1881" s="4" t="s">
        <v>3433</v>
      </c>
      <c r="C1881" s="87">
        <v>45</v>
      </c>
    </row>
    <row r="1882" spans="1:3" ht="14.5" customHeight="1">
      <c r="A1882" s="4">
        <v>8917</v>
      </c>
      <c r="B1882" s="4" t="s">
        <v>3435</v>
      </c>
      <c r="C1882" s="87">
        <v>51.6</v>
      </c>
    </row>
    <row r="1883" spans="1:3" ht="14.5" customHeight="1">
      <c r="A1883" s="4">
        <v>8921</v>
      </c>
      <c r="B1883" s="4" t="s">
        <v>3437</v>
      </c>
      <c r="C1883" s="87">
        <v>13.55</v>
      </c>
    </row>
    <row r="1884" spans="1:3" ht="14.5" customHeight="1">
      <c r="A1884" s="4">
        <v>8923</v>
      </c>
      <c r="B1884" s="4" t="s">
        <v>3439</v>
      </c>
      <c r="C1884" s="87" t="s">
        <v>5971</v>
      </c>
    </row>
    <row r="1885" spans="1:3" ht="14.5" customHeight="1">
      <c r="A1885" s="4">
        <v>8924</v>
      </c>
      <c r="B1885" s="4" t="s">
        <v>3441</v>
      </c>
      <c r="C1885" s="87">
        <v>47.2</v>
      </c>
    </row>
    <row r="1886" spans="1:3" ht="14.5" customHeight="1">
      <c r="A1886" s="4">
        <v>8927</v>
      </c>
      <c r="B1886" s="4" t="s">
        <v>3443</v>
      </c>
      <c r="C1886" s="87">
        <v>16.600000000000001</v>
      </c>
    </row>
    <row r="1887" spans="1:3" ht="14.5" customHeight="1">
      <c r="A1887" s="4">
        <v>8928</v>
      </c>
      <c r="B1887" s="4" t="s">
        <v>3445</v>
      </c>
      <c r="C1887" s="87">
        <v>38.1</v>
      </c>
    </row>
    <row r="1888" spans="1:3" ht="14.5" customHeight="1">
      <c r="A1888" s="4">
        <v>8929</v>
      </c>
      <c r="B1888" s="4" t="s">
        <v>3447</v>
      </c>
      <c r="C1888" s="87">
        <v>23.9</v>
      </c>
    </row>
    <row r="1889" spans="1:3" ht="14.5" customHeight="1">
      <c r="A1889" s="4">
        <v>8930</v>
      </c>
      <c r="B1889" s="4" t="s">
        <v>3449</v>
      </c>
      <c r="C1889" s="87">
        <v>13.1</v>
      </c>
    </row>
    <row r="1890" spans="1:3" ht="14.5" customHeight="1">
      <c r="A1890" s="4">
        <v>8931</v>
      </c>
      <c r="B1890" s="4" t="s">
        <v>3451</v>
      </c>
      <c r="C1890" s="87">
        <v>25.55</v>
      </c>
    </row>
    <row r="1891" spans="1:3" ht="14.5" customHeight="1">
      <c r="A1891" s="4">
        <v>8932</v>
      </c>
      <c r="B1891" s="4" t="s">
        <v>3453</v>
      </c>
      <c r="C1891" s="87">
        <v>13.75</v>
      </c>
    </row>
    <row r="1892" spans="1:3" ht="14.5" customHeight="1">
      <c r="A1892" s="4">
        <v>8933</v>
      </c>
      <c r="B1892" s="4" t="s">
        <v>3455</v>
      </c>
      <c r="C1892" s="87">
        <v>7.91</v>
      </c>
    </row>
    <row r="1893" spans="1:3" ht="14.5" customHeight="1">
      <c r="A1893" s="4">
        <v>8934</v>
      </c>
      <c r="B1893" s="4" t="s">
        <v>3457</v>
      </c>
      <c r="C1893" s="87">
        <v>36.4</v>
      </c>
    </row>
    <row r="1894" spans="1:3" ht="14.5" customHeight="1">
      <c r="A1894" s="4">
        <v>8935</v>
      </c>
      <c r="B1894" s="4" t="s">
        <v>3459</v>
      </c>
      <c r="C1894" s="87">
        <v>8.77</v>
      </c>
    </row>
    <row r="1895" spans="1:3" ht="14.5" customHeight="1">
      <c r="A1895" s="4">
        <v>8936</v>
      </c>
      <c r="B1895" s="4" t="s">
        <v>3461</v>
      </c>
      <c r="C1895" s="87">
        <v>18.75</v>
      </c>
    </row>
    <row r="1896" spans="1:3" ht="14.5" customHeight="1">
      <c r="A1896" s="4">
        <v>8937</v>
      </c>
      <c r="B1896" s="4" t="s">
        <v>3463</v>
      </c>
      <c r="C1896" s="87">
        <v>14.45</v>
      </c>
    </row>
    <row r="1897" spans="1:3" ht="14.5" customHeight="1">
      <c r="A1897" s="4">
        <v>8938</v>
      </c>
      <c r="B1897" s="4" t="s">
        <v>3465</v>
      </c>
      <c r="C1897" s="87">
        <v>40.549999999999997</v>
      </c>
    </row>
    <row r="1898" spans="1:3" ht="14.5" customHeight="1">
      <c r="A1898" s="4">
        <v>8941</v>
      </c>
      <c r="B1898" s="4" t="s">
        <v>3467</v>
      </c>
      <c r="C1898" s="87">
        <v>43.5</v>
      </c>
    </row>
    <row r="1899" spans="1:3" ht="14.5" customHeight="1">
      <c r="A1899" s="4">
        <v>8942</v>
      </c>
      <c r="B1899" s="4" t="s">
        <v>3469</v>
      </c>
      <c r="C1899" s="87">
        <v>65.8</v>
      </c>
    </row>
    <row r="1900" spans="1:3" ht="14.5" customHeight="1">
      <c r="A1900" s="4">
        <v>9949</v>
      </c>
      <c r="B1900" s="4" t="s">
        <v>3473</v>
      </c>
      <c r="C1900" s="87">
        <v>13</v>
      </c>
    </row>
    <row r="1901" spans="1:3" ht="14.5" customHeight="1">
      <c r="A1901" s="4">
        <v>9950</v>
      </c>
      <c r="B1901" s="4" t="s">
        <v>3475</v>
      </c>
      <c r="C1901" s="87">
        <v>15.4</v>
      </c>
    </row>
    <row r="1902" spans="1:3" ht="14.5" customHeight="1">
      <c r="A1902" s="4">
        <v>9951</v>
      </c>
      <c r="B1902" s="4" t="s">
        <v>3477</v>
      </c>
      <c r="C1902" s="87">
        <v>90.9</v>
      </c>
    </row>
    <row r="1903" spans="1:3" ht="14.5" customHeight="1">
      <c r="A1903" s="4">
        <v>9960</v>
      </c>
      <c r="B1903" s="4" t="s">
        <v>3479</v>
      </c>
      <c r="C1903" s="87">
        <v>35.4</v>
      </c>
    </row>
    <row r="1904" spans="1:3" ht="14.5" customHeight="1">
      <c r="A1904" s="4">
        <v>9962</v>
      </c>
      <c r="B1904" s="4" t="s">
        <v>3481</v>
      </c>
      <c r="C1904" s="87">
        <v>10</v>
      </c>
    </row>
    <row r="1905" spans="1:3" ht="14.5" customHeight="1">
      <c r="A1905" s="5" t="s">
        <v>5976</v>
      </c>
      <c r="B1905" s="5" t="s">
        <v>3484</v>
      </c>
      <c r="C1905" s="87">
        <v>24.74</v>
      </c>
    </row>
    <row r="1906" spans="1:3" ht="14.5" customHeight="1">
      <c r="A1906" s="5" t="s">
        <v>5977</v>
      </c>
      <c r="B1906" s="5" t="s">
        <v>3486</v>
      </c>
      <c r="C1906" s="87">
        <v>87.1</v>
      </c>
    </row>
    <row r="1907" spans="1:3" ht="14.5" customHeight="1">
      <c r="A1907" s="5" t="s">
        <v>5978</v>
      </c>
      <c r="B1907" s="5" t="s">
        <v>3488</v>
      </c>
      <c r="C1907" s="87">
        <v>57.02</v>
      </c>
    </row>
    <row r="1908" spans="1:3" ht="14.5" customHeight="1">
      <c r="A1908" s="5" t="s">
        <v>5979</v>
      </c>
      <c r="B1908" s="5" t="s">
        <v>3490</v>
      </c>
      <c r="C1908" s="87">
        <v>58.08</v>
      </c>
    </row>
    <row r="1909" spans="1:3" ht="14.5" customHeight="1">
      <c r="A1909" s="5" t="s">
        <v>5980</v>
      </c>
      <c r="B1909" s="5" t="s">
        <v>3492</v>
      </c>
      <c r="C1909" s="87">
        <v>8.9700000000000006</v>
      </c>
    </row>
    <row r="1910" spans="1:3" ht="14.5" customHeight="1">
      <c r="A1910" s="5" t="s">
        <v>5981</v>
      </c>
      <c r="B1910" s="5" t="s">
        <v>3494</v>
      </c>
      <c r="C1910" s="87">
        <v>12.18</v>
      </c>
    </row>
    <row r="1911" spans="1:3" ht="14.5" customHeight="1">
      <c r="A1911" s="5" t="s">
        <v>5982</v>
      </c>
      <c r="B1911" s="5" t="s">
        <v>3496</v>
      </c>
      <c r="C1911" s="87">
        <v>17.48</v>
      </c>
    </row>
    <row r="1912" spans="1:3" ht="14.5" customHeight="1">
      <c r="A1912" s="5" t="s">
        <v>5983</v>
      </c>
      <c r="B1912" s="5" t="s">
        <v>5984</v>
      </c>
      <c r="C1912" s="87">
        <v>11.04</v>
      </c>
    </row>
    <row r="1913" spans="1:3" ht="14.5" customHeight="1">
      <c r="A1913" s="5" t="s">
        <v>5985</v>
      </c>
      <c r="B1913" s="5" t="s">
        <v>4127</v>
      </c>
      <c r="C1913" s="87">
        <v>5.77</v>
      </c>
    </row>
    <row r="1914" spans="1:3" ht="14.5" customHeight="1">
      <c r="A1914" s="5" t="s">
        <v>5986</v>
      </c>
      <c r="B1914" s="5" t="s">
        <v>3498</v>
      </c>
      <c r="C1914" s="87">
        <v>28.3</v>
      </c>
    </row>
    <row r="1915" spans="1:3" ht="14.5" customHeight="1">
      <c r="A1915" s="5" t="s">
        <v>5987</v>
      </c>
      <c r="B1915" s="5" t="s">
        <v>3502</v>
      </c>
      <c r="C1915" s="87">
        <v>17.05</v>
      </c>
    </row>
    <row r="1916" spans="1:3" ht="14.5" customHeight="1">
      <c r="A1916" s="5" t="s">
        <v>5988</v>
      </c>
      <c r="B1916" s="5" t="s">
        <v>3504</v>
      </c>
      <c r="C1916" s="87">
        <v>43.69</v>
      </c>
    </row>
    <row r="1917" spans="1:3" ht="14.5" customHeight="1">
      <c r="A1917" s="5" t="s">
        <v>5989</v>
      </c>
      <c r="B1917" s="5" t="s">
        <v>3506</v>
      </c>
      <c r="C1917" s="87">
        <v>26</v>
      </c>
    </row>
    <row r="1918" spans="1:3" ht="14.5" customHeight="1">
      <c r="A1918" s="5" t="s">
        <v>5990</v>
      </c>
      <c r="B1918" s="5" t="s">
        <v>3508</v>
      </c>
      <c r="C1918" s="87">
        <v>20.010000000000002</v>
      </c>
    </row>
    <row r="1919" spans="1:3" ht="14.5" customHeight="1">
      <c r="A1919" s="5" t="s">
        <v>5991</v>
      </c>
      <c r="B1919" s="5" t="s">
        <v>3510</v>
      </c>
      <c r="C1919" s="87">
        <v>268.95999999999998</v>
      </c>
    </row>
    <row r="1920" spans="1:3" ht="14.5" customHeight="1">
      <c r="A1920" s="5" t="s">
        <v>5992</v>
      </c>
      <c r="B1920" s="5" t="s">
        <v>3512</v>
      </c>
      <c r="C1920" s="87">
        <v>37.700000000000003</v>
      </c>
    </row>
    <row r="1921" spans="1:3" ht="14.5" customHeight="1">
      <c r="A1921" s="5" t="s">
        <v>5993</v>
      </c>
      <c r="B1921" s="5" t="s">
        <v>3514</v>
      </c>
      <c r="C1921" s="87">
        <v>67.58</v>
      </c>
    </row>
    <row r="1922" spans="1:3" ht="14.5" customHeight="1">
      <c r="A1922" s="5" t="s">
        <v>5994</v>
      </c>
      <c r="B1922" s="5" t="s">
        <v>3516</v>
      </c>
      <c r="C1922" s="87">
        <v>19.899999999999999</v>
      </c>
    </row>
    <row r="1923" spans="1:3" ht="14.5" customHeight="1">
      <c r="A1923" s="5" t="s">
        <v>5995</v>
      </c>
      <c r="B1923" s="5" t="s">
        <v>3518</v>
      </c>
      <c r="C1923" s="87">
        <v>9.7100000000000009</v>
      </c>
    </row>
    <row r="1924" spans="1:3" ht="14.5" customHeight="1">
      <c r="A1924" s="5" t="s">
        <v>5996</v>
      </c>
      <c r="B1924" s="5" t="s">
        <v>3520</v>
      </c>
      <c r="C1924" s="87">
        <v>6.67</v>
      </c>
    </row>
    <row r="1925" spans="1:3" ht="14.5" customHeight="1">
      <c r="A1925" s="5" t="s">
        <v>5997</v>
      </c>
      <c r="B1925" s="5" t="s">
        <v>5998</v>
      </c>
      <c r="C1925" s="87">
        <v>25.61</v>
      </c>
    </row>
    <row r="1926" spans="1:3" ht="14.5" customHeight="1">
      <c r="A1926" s="5" t="s">
        <v>5999</v>
      </c>
      <c r="B1926" s="5" t="s">
        <v>6000</v>
      </c>
      <c r="C1926" s="87">
        <v>10.83</v>
      </c>
    </row>
    <row r="1927" spans="1:3" ht="14.5" customHeight="1">
      <c r="A1927" s="5" t="s">
        <v>6001</v>
      </c>
      <c r="B1927" s="5" t="s">
        <v>3524</v>
      </c>
      <c r="C1927" s="87">
        <v>49.12</v>
      </c>
    </row>
    <row r="1928" spans="1:3" ht="14.5" customHeight="1">
      <c r="A1928" s="5" t="s">
        <v>6002</v>
      </c>
      <c r="B1928" s="5" t="s">
        <v>2033</v>
      </c>
      <c r="C1928" s="87">
        <v>22.56</v>
      </c>
    </row>
    <row r="1929" spans="1:3" ht="14.5" customHeight="1">
      <c r="A1929" s="5" t="s">
        <v>6003</v>
      </c>
      <c r="B1929" s="5" t="s">
        <v>3526</v>
      </c>
      <c r="C1929" s="87">
        <v>15.25</v>
      </c>
    </row>
    <row r="1930" spans="1:3" ht="14.5" customHeight="1">
      <c r="A1930" s="5" t="s">
        <v>6004</v>
      </c>
      <c r="B1930" s="5" t="s">
        <v>2037</v>
      </c>
      <c r="C1930" s="87">
        <v>130.22</v>
      </c>
    </row>
    <row r="1931" spans="1:3" ht="14.5" customHeight="1">
      <c r="A1931" s="5" t="s">
        <v>6005</v>
      </c>
      <c r="B1931" s="5" t="s">
        <v>3528</v>
      </c>
      <c r="C1931" s="87">
        <v>103.45</v>
      </c>
    </row>
    <row r="1932" spans="1:3" ht="14.5" customHeight="1">
      <c r="A1932" s="5" t="s">
        <v>6006</v>
      </c>
      <c r="B1932" s="5" t="s">
        <v>3530</v>
      </c>
      <c r="C1932" s="87">
        <v>62.34</v>
      </c>
    </row>
    <row r="1933" spans="1:3" ht="14.5" customHeight="1">
      <c r="A1933" s="5" t="s">
        <v>6007</v>
      </c>
      <c r="B1933" s="5" t="s">
        <v>3532</v>
      </c>
      <c r="C1933" s="87">
        <v>33.07</v>
      </c>
    </row>
    <row r="1934" spans="1:3" ht="14.5" customHeight="1">
      <c r="A1934" s="5" t="s">
        <v>6008</v>
      </c>
      <c r="B1934" s="5" t="s">
        <v>3534</v>
      </c>
      <c r="C1934" s="87">
        <v>50.8</v>
      </c>
    </row>
    <row r="1935" spans="1:3" ht="14.5" customHeight="1">
      <c r="A1935" s="5" t="s">
        <v>6009</v>
      </c>
      <c r="B1935" s="5" t="s">
        <v>3536</v>
      </c>
      <c r="C1935" s="87">
        <v>92.23</v>
      </c>
    </row>
    <row r="1936" spans="1:3" ht="14.5" customHeight="1">
      <c r="A1936" s="5" t="s">
        <v>6010</v>
      </c>
      <c r="B1936" s="5" t="s">
        <v>3538</v>
      </c>
      <c r="C1936" s="87">
        <v>22.57</v>
      </c>
    </row>
    <row r="1937" spans="1:3" ht="14.5" customHeight="1">
      <c r="A1937" s="5" t="s">
        <v>6011</v>
      </c>
      <c r="B1937" s="5" t="s">
        <v>3540</v>
      </c>
      <c r="C1937" s="87">
        <v>5.23</v>
      </c>
    </row>
    <row r="1938" spans="1:3" ht="14.5" customHeight="1">
      <c r="A1938" s="5" t="s">
        <v>6012</v>
      </c>
      <c r="B1938" s="5" t="s">
        <v>3542</v>
      </c>
      <c r="C1938" s="87">
        <v>49.74</v>
      </c>
    </row>
    <row r="1939" spans="1:3" ht="14.5" customHeight="1">
      <c r="A1939" s="5" t="s">
        <v>6013</v>
      </c>
      <c r="B1939" s="5" t="s">
        <v>3544</v>
      </c>
      <c r="C1939" s="87">
        <v>7.8</v>
      </c>
    </row>
    <row r="1940" spans="1:3" ht="14.5" customHeight="1">
      <c r="A1940" s="5" t="s">
        <v>6014</v>
      </c>
      <c r="B1940" s="5" t="s">
        <v>3546</v>
      </c>
      <c r="C1940" s="87">
        <v>38.369999999999997</v>
      </c>
    </row>
    <row r="1941" spans="1:3" ht="14.5" customHeight="1">
      <c r="A1941" s="5" t="s">
        <v>6015</v>
      </c>
      <c r="B1941" s="5" t="s">
        <v>3548</v>
      </c>
      <c r="C1941" s="87">
        <v>25.52</v>
      </c>
    </row>
    <row r="1942" spans="1:3" ht="14.5" customHeight="1">
      <c r="A1942" s="5" t="s">
        <v>6016</v>
      </c>
      <c r="B1942" s="5" t="s">
        <v>3550</v>
      </c>
      <c r="C1942" s="87">
        <v>16.09</v>
      </c>
    </row>
    <row r="1943" spans="1:3" ht="14.5" customHeight="1">
      <c r="A1943" s="5" t="s">
        <v>6017</v>
      </c>
      <c r="B1943" s="5" t="s">
        <v>3552</v>
      </c>
      <c r="C1943" s="87">
        <v>8.24</v>
      </c>
    </row>
    <row r="1944" spans="1:3" ht="14.5" customHeight="1">
      <c r="A1944" s="5" t="s">
        <v>6018</v>
      </c>
      <c r="B1944" s="5" t="s">
        <v>3554</v>
      </c>
      <c r="C1944" s="87">
        <v>34.229999999999997</v>
      </c>
    </row>
    <row r="1945" spans="1:3" ht="14.5" customHeight="1">
      <c r="A1945" s="5" t="s">
        <v>6019</v>
      </c>
      <c r="B1945" s="5" t="s">
        <v>3556</v>
      </c>
      <c r="C1945" s="87">
        <v>34.799999999999997</v>
      </c>
    </row>
    <row r="1946" spans="1:3" ht="14.5" customHeight="1">
      <c r="A1946" s="5" t="s">
        <v>6020</v>
      </c>
      <c r="B1946" s="5" t="s">
        <v>3558</v>
      </c>
      <c r="C1946" s="87">
        <v>12.67</v>
      </c>
    </row>
    <row r="1947" spans="1:3" ht="14.5" customHeight="1">
      <c r="A1947" s="5" t="s">
        <v>6021</v>
      </c>
      <c r="B1947" s="5" t="s">
        <v>3560</v>
      </c>
      <c r="C1947" s="87">
        <v>7.25</v>
      </c>
    </row>
    <row r="1948" spans="1:3" ht="14.5" customHeight="1">
      <c r="A1948" s="5" t="s">
        <v>6022</v>
      </c>
      <c r="B1948" s="5" t="s">
        <v>3562</v>
      </c>
      <c r="C1948" s="87">
        <v>39.85</v>
      </c>
    </row>
    <row r="1949" spans="1:3" ht="14.5" customHeight="1">
      <c r="A1949" s="5" t="s">
        <v>6023</v>
      </c>
      <c r="B1949" s="5" t="s">
        <v>3564</v>
      </c>
      <c r="C1949" s="87">
        <v>21.68</v>
      </c>
    </row>
    <row r="1950" spans="1:3" ht="14.5" customHeight="1">
      <c r="A1950" s="5" t="s">
        <v>6024</v>
      </c>
      <c r="B1950" s="5" t="s">
        <v>3566</v>
      </c>
      <c r="C1950" s="87">
        <v>23.13</v>
      </c>
    </row>
    <row r="1951" spans="1:3" ht="14.5" customHeight="1">
      <c r="A1951" s="5" t="s">
        <v>6025</v>
      </c>
      <c r="B1951" s="5" t="s">
        <v>3568</v>
      </c>
      <c r="C1951" s="87">
        <v>4.9800000000000004</v>
      </c>
    </row>
    <row r="1952" spans="1:3" ht="14.5" customHeight="1">
      <c r="A1952" s="5" t="s">
        <v>6026</v>
      </c>
      <c r="B1952" s="5" t="s">
        <v>3570</v>
      </c>
      <c r="C1952" s="87">
        <v>101.42</v>
      </c>
    </row>
    <row r="1953" spans="1:3" ht="14.5" customHeight="1">
      <c r="A1953" s="5" t="s">
        <v>6027</v>
      </c>
      <c r="B1953" s="5" t="s">
        <v>3572</v>
      </c>
      <c r="C1953" s="87">
        <v>11.12</v>
      </c>
    </row>
    <row r="1954" spans="1:3" ht="14.5" customHeight="1">
      <c r="A1954" s="5" t="s">
        <v>6028</v>
      </c>
      <c r="B1954" s="5" t="s">
        <v>2325</v>
      </c>
      <c r="C1954" s="87">
        <v>22.62</v>
      </c>
    </row>
    <row r="1955" spans="1:3" ht="14.5" customHeight="1">
      <c r="A1955" s="5" t="s">
        <v>6029</v>
      </c>
      <c r="B1955" s="5" t="s">
        <v>3574</v>
      </c>
      <c r="C1955" s="87">
        <v>5.16</v>
      </c>
    </row>
    <row r="1956" spans="1:3" ht="14.5" customHeight="1">
      <c r="A1956" s="5" t="s">
        <v>6030</v>
      </c>
      <c r="B1956" s="5" t="s">
        <v>3576</v>
      </c>
      <c r="C1956" s="87">
        <v>3.65</v>
      </c>
    </row>
    <row r="1957" spans="1:3" ht="14.5" customHeight="1">
      <c r="A1957" s="5" t="s">
        <v>6031</v>
      </c>
      <c r="B1957" s="5" t="s">
        <v>3578</v>
      </c>
      <c r="C1957" s="87">
        <v>17.940000000000001</v>
      </c>
    </row>
    <row r="1958" spans="1:3" ht="14.5" customHeight="1">
      <c r="A1958" s="5" t="s">
        <v>6032</v>
      </c>
      <c r="B1958" s="5" t="s">
        <v>3580</v>
      </c>
      <c r="C1958" s="87">
        <v>40.130000000000003</v>
      </c>
    </row>
    <row r="1959" spans="1:3" ht="14.5" customHeight="1">
      <c r="A1959" s="5" t="s">
        <v>6033</v>
      </c>
      <c r="B1959" s="5" t="s">
        <v>3582</v>
      </c>
      <c r="C1959" s="87">
        <v>13.97</v>
      </c>
    </row>
    <row r="1960" spans="1:3" ht="14.5" customHeight="1">
      <c r="A1960" s="5" t="s">
        <v>6034</v>
      </c>
      <c r="B1960" s="5" t="s">
        <v>3584</v>
      </c>
      <c r="C1960" s="87">
        <v>4.7300000000000004</v>
      </c>
    </row>
    <row r="1961" spans="1:3" ht="14.5" customHeight="1">
      <c r="A1961" s="5" t="s">
        <v>6035</v>
      </c>
      <c r="B1961" s="5" t="s">
        <v>3586</v>
      </c>
      <c r="C1961" s="87">
        <v>8</v>
      </c>
    </row>
    <row r="1962" spans="1:3" ht="14.5" customHeight="1">
      <c r="A1962" s="5" t="s">
        <v>6036</v>
      </c>
      <c r="B1962" s="5" t="s">
        <v>3588</v>
      </c>
      <c r="C1962" s="87">
        <v>91.97</v>
      </c>
    </row>
    <row r="1963" spans="1:3" ht="14.5" customHeight="1">
      <c r="A1963" s="5" t="s">
        <v>6037</v>
      </c>
      <c r="B1963" s="5" t="s">
        <v>3590</v>
      </c>
      <c r="C1963" s="87">
        <v>10.86</v>
      </c>
    </row>
    <row r="1964" spans="1:3" ht="14.5" customHeight="1">
      <c r="A1964" s="5" t="s">
        <v>6038</v>
      </c>
      <c r="B1964" s="5" t="s">
        <v>3592</v>
      </c>
      <c r="C1964" s="87">
        <v>32.89</v>
      </c>
    </row>
    <row r="1965" spans="1:3" ht="14.5" customHeight="1">
      <c r="A1965" s="5" t="s">
        <v>6039</v>
      </c>
      <c r="B1965" s="5" t="s">
        <v>6040</v>
      </c>
      <c r="C1965" s="87">
        <v>1.79</v>
      </c>
    </row>
    <row r="1966" spans="1:3" ht="14.5" customHeight="1">
      <c r="A1966" s="5" t="s">
        <v>6041</v>
      </c>
      <c r="B1966" s="5" t="s">
        <v>6042</v>
      </c>
      <c r="C1966" s="87">
        <v>3.43</v>
      </c>
    </row>
    <row r="1967" spans="1:3" ht="14.5" customHeight="1">
      <c r="A1967" s="5" t="s">
        <v>6043</v>
      </c>
      <c r="B1967" s="5" t="s">
        <v>3594</v>
      </c>
      <c r="C1967" s="87">
        <v>28.19</v>
      </c>
    </row>
    <row r="1968" spans="1:3" ht="14.5" customHeight="1">
      <c r="A1968" s="5" t="s">
        <v>6044</v>
      </c>
      <c r="B1968" s="5" t="s">
        <v>3596</v>
      </c>
      <c r="C1968" s="87">
        <v>34.75</v>
      </c>
    </row>
    <row r="1969" spans="1:3" ht="14.5" customHeight="1">
      <c r="A1969" s="5" t="s">
        <v>6045</v>
      </c>
      <c r="B1969" s="5" t="s">
        <v>3598</v>
      </c>
      <c r="C1969" s="87">
        <v>6.31</v>
      </c>
    </row>
    <row r="1970" spans="1:3" ht="14.5" customHeight="1">
      <c r="A1970" s="5" t="s">
        <v>6046</v>
      </c>
      <c r="B1970" s="5" t="s">
        <v>6047</v>
      </c>
      <c r="C1970" s="87">
        <v>16.489999999999998</v>
      </c>
    </row>
    <row r="1971" spans="1:3" ht="14.5" customHeight="1">
      <c r="A1971" s="5" t="s">
        <v>6048</v>
      </c>
      <c r="B1971" s="5" t="s">
        <v>3600</v>
      </c>
      <c r="C1971" s="87">
        <v>14.5</v>
      </c>
    </row>
    <row r="1972" spans="1:3" ht="14.5" customHeight="1">
      <c r="A1972" s="5" t="s">
        <v>6049</v>
      </c>
      <c r="B1972" s="5" t="s">
        <v>3602</v>
      </c>
      <c r="C1972" s="87">
        <v>22.27</v>
      </c>
    </row>
    <row r="1973" spans="1:3" ht="14.5" customHeight="1">
      <c r="A1973" s="5" t="s">
        <v>6050</v>
      </c>
      <c r="B1973" s="5" t="s">
        <v>3604</v>
      </c>
      <c r="C1973" s="87">
        <v>14.85</v>
      </c>
    </row>
    <row r="1974" spans="1:3" ht="14.5" customHeight="1">
      <c r="A1974" s="5" t="s">
        <v>6051</v>
      </c>
      <c r="B1974" s="5" t="s">
        <v>3606</v>
      </c>
      <c r="C1974" s="87">
        <v>12.28</v>
      </c>
    </row>
    <row r="1975" spans="1:3" ht="14.5" customHeight="1">
      <c r="A1975" s="5" t="s">
        <v>6052</v>
      </c>
      <c r="B1975" s="5" t="s">
        <v>4273</v>
      </c>
      <c r="C1975" s="87">
        <v>4.66</v>
      </c>
    </row>
    <row r="1976" spans="1:3" ht="14.5" customHeight="1">
      <c r="A1976" s="5" t="s">
        <v>6053</v>
      </c>
      <c r="B1976" s="5" t="s">
        <v>3608</v>
      </c>
      <c r="C1976" s="87">
        <v>18.55</v>
      </c>
    </row>
    <row r="1977" spans="1:3" ht="14.5" customHeight="1">
      <c r="A1977" s="5" t="s">
        <v>6054</v>
      </c>
      <c r="B1977" s="5" t="s">
        <v>3610</v>
      </c>
      <c r="C1977" s="87">
        <v>41.86</v>
      </c>
    </row>
    <row r="1978" spans="1:3" ht="14.5" customHeight="1">
      <c r="A1978" s="5" t="s">
        <v>6055</v>
      </c>
      <c r="B1978" s="5" t="s">
        <v>6056</v>
      </c>
      <c r="C1978" s="87">
        <v>10.41</v>
      </c>
    </row>
    <row r="1979" spans="1:3" ht="14.5" customHeight="1">
      <c r="A1979" s="5" t="s">
        <v>6057</v>
      </c>
      <c r="B1979" s="5" t="s">
        <v>3612</v>
      </c>
      <c r="C1979" s="87">
        <v>10.4</v>
      </c>
    </row>
    <row r="1980" spans="1:3" ht="14.5" customHeight="1">
      <c r="A1980" s="5" t="s">
        <v>6058</v>
      </c>
      <c r="B1980" s="5" t="s">
        <v>3614</v>
      </c>
      <c r="C1980" s="87">
        <v>12.93</v>
      </c>
    </row>
    <row r="1981" spans="1:3" ht="14.5" customHeight="1">
      <c r="A1981" s="5" t="s">
        <v>6059</v>
      </c>
      <c r="B1981" s="5" t="s">
        <v>3616</v>
      </c>
      <c r="C1981" s="87">
        <v>13.44</v>
      </c>
    </row>
    <row r="1982" spans="1:3" ht="14.5" customHeight="1">
      <c r="A1982" s="5" t="s">
        <v>6060</v>
      </c>
      <c r="B1982" s="5" t="s">
        <v>4279</v>
      </c>
      <c r="C1982" s="87">
        <v>6.21</v>
      </c>
    </row>
    <row r="1983" spans="1:3" ht="14.5" customHeight="1">
      <c r="A1983" s="5" t="s">
        <v>6061</v>
      </c>
      <c r="B1983" s="5" t="s">
        <v>3618</v>
      </c>
      <c r="C1983" s="87">
        <v>14.9</v>
      </c>
    </row>
    <row r="1984" spans="1:3" ht="14.5" customHeight="1">
      <c r="A1984" s="5" t="s">
        <v>6062</v>
      </c>
      <c r="B1984" s="5" t="s">
        <v>3620</v>
      </c>
      <c r="C1984" s="87">
        <v>45.73</v>
      </c>
    </row>
    <row r="1985" spans="1:3" ht="14.5" customHeight="1">
      <c r="A1985" s="5" t="s">
        <v>6063</v>
      </c>
      <c r="B1985" s="5" t="s">
        <v>3622</v>
      </c>
      <c r="C1985" s="87">
        <v>17.14</v>
      </c>
    </row>
    <row r="1986" spans="1:3" ht="14.5" customHeight="1">
      <c r="A1986" s="5" t="s">
        <v>6064</v>
      </c>
      <c r="B1986" s="5" t="s">
        <v>2523</v>
      </c>
      <c r="C1986" s="87">
        <v>21.01</v>
      </c>
    </row>
    <row r="1987" spans="1:3" ht="14.5" customHeight="1">
      <c r="A1987" s="5" t="s">
        <v>6065</v>
      </c>
      <c r="B1987" s="5" t="s">
        <v>3624</v>
      </c>
      <c r="C1987" s="87">
        <v>25.99</v>
      </c>
    </row>
    <row r="1988" spans="1:3" ht="14.5" customHeight="1">
      <c r="A1988" s="5" t="s">
        <v>6066</v>
      </c>
      <c r="B1988" s="5" t="s">
        <v>3626</v>
      </c>
      <c r="C1988" s="87">
        <v>130.80000000000001</v>
      </c>
    </row>
    <row r="1989" spans="1:3" ht="14.5" customHeight="1">
      <c r="A1989" s="5" t="s">
        <v>6067</v>
      </c>
      <c r="B1989" s="5" t="s">
        <v>3628</v>
      </c>
      <c r="C1989" s="87">
        <v>20.170000000000002</v>
      </c>
    </row>
    <row r="1990" spans="1:3" ht="14.5" customHeight="1">
      <c r="A1990" s="5" t="s">
        <v>6068</v>
      </c>
      <c r="B1990" s="5" t="s">
        <v>3630</v>
      </c>
      <c r="C1990" s="87">
        <v>15.22</v>
      </c>
    </row>
    <row r="1991" spans="1:3" ht="14.5" customHeight="1">
      <c r="A1991" s="5" t="s">
        <v>6069</v>
      </c>
      <c r="B1991" s="5" t="s">
        <v>3632</v>
      </c>
      <c r="C1991" s="87">
        <v>6.76</v>
      </c>
    </row>
    <row r="1992" spans="1:3" ht="14.5" customHeight="1">
      <c r="A1992" s="5" t="s">
        <v>6070</v>
      </c>
      <c r="B1992" s="5" t="s">
        <v>3634</v>
      </c>
      <c r="C1992" s="87">
        <v>46.65</v>
      </c>
    </row>
    <row r="1993" spans="1:3" ht="14.5" customHeight="1">
      <c r="A1993" s="5" t="s">
        <v>6071</v>
      </c>
      <c r="B1993" s="5" t="s">
        <v>3636</v>
      </c>
      <c r="C1993" s="87">
        <v>37.99</v>
      </c>
    </row>
    <row r="1994" spans="1:3" ht="14.5" customHeight="1">
      <c r="A1994" s="5" t="s">
        <v>6072</v>
      </c>
      <c r="B1994" s="5" t="s">
        <v>3638</v>
      </c>
      <c r="C1994" s="87">
        <v>26.95</v>
      </c>
    </row>
    <row r="1995" spans="1:3" ht="14.5" customHeight="1">
      <c r="A1995" s="5" t="s">
        <v>6073</v>
      </c>
      <c r="B1995" s="5" t="s">
        <v>3640</v>
      </c>
      <c r="C1995" s="87">
        <v>26.4</v>
      </c>
    </row>
    <row r="1996" spans="1:3" ht="14.5" customHeight="1">
      <c r="A1996" s="5" t="s">
        <v>6074</v>
      </c>
      <c r="B1996" s="5" t="s">
        <v>3642</v>
      </c>
      <c r="C1996" s="87">
        <v>89.95</v>
      </c>
    </row>
    <row r="1997" spans="1:3" ht="14.5" customHeight="1">
      <c r="A1997" s="5" t="s">
        <v>6075</v>
      </c>
      <c r="B1997" s="5" t="s">
        <v>2545</v>
      </c>
      <c r="C1997" s="87">
        <v>115.72</v>
      </c>
    </row>
    <row r="1998" spans="1:3" ht="14.5" customHeight="1">
      <c r="A1998" s="5" t="s">
        <v>6076</v>
      </c>
      <c r="B1998" s="5" t="s">
        <v>3644</v>
      </c>
      <c r="C1998" s="87">
        <v>35.380000000000003</v>
      </c>
    </row>
    <row r="1999" spans="1:3" ht="14.5" customHeight="1">
      <c r="A1999" s="5" t="s">
        <v>6077</v>
      </c>
      <c r="B1999" s="5" t="s">
        <v>3646</v>
      </c>
      <c r="C1999" s="87">
        <v>10.24</v>
      </c>
    </row>
    <row r="2000" spans="1:3" ht="14.5" customHeight="1">
      <c r="A2000" s="5" t="s">
        <v>6078</v>
      </c>
      <c r="B2000" s="5" t="s">
        <v>3648</v>
      </c>
      <c r="C2000" s="87">
        <v>24.49</v>
      </c>
    </row>
    <row r="2001" spans="1:3" ht="14.5" customHeight="1">
      <c r="A2001" s="5" t="s">
        <v>6079</v>
      </c>
      <c r="B2001" s="5" t="s">
        <v>3650</v>
      </c>
      <c r="C2001" s="87">
        <v>2.52</v>
      </c>
    </row>
    <row r="2002" spans="1:3" ht="14.5" customHeight="1">
      <c r="A2002" s="5" t="s">
        <v>6080</v>
      </c>
      <c r="B2002" s="5" t="s">
        <v>4291</v>
      </c>
      <c r="C2002" s="87">
        <v>14.59</v>
      </c>
    </row>
    <row r="2003" spans="1:3" ht="14.5" customHeight="1">
      <c r="A2003" s="5" t="s">
        <v>6081</v>
      </c>
      <c r="B2003" s="5" t="s">
        <v>2587</v>
      </c>
      <c r="C2003" s="87">
        <v>37.020000000000003</v>
      </c>
    </row>
    <row r="2004" spans="1:3" ht="14.5" customHeight="1">
      <c r="A2004" s="5" t="s">
        <v>6082</v>
      </c>
      <c r="B2004" s="5" t="s">
        <v>3652</v>
      </c>
      <c r="C2004" s="87">
        <v>34.68</v>
      </c>
    </row>
    <row r="2005" spans="1:3" ht="14.5" customHeight="1">
      <c r="A2005" s="5" t="s">
        <v>6083</v>
      </c>
      <c r="B2005" s="5" t="s">
        <v>3654</v>
      </c>
      <c r="C2005" s="87">
        <v>32.08</v>
      </c>
    </row>
    <row r="2006" spans="1:3" ht="14.5" customHeight="1">
      <c r="A2006" s="5" t="s">
        <v>6084</v>
      </c>
      <c r="B2006" s="5" t="s">
        <v>3656</v>
      </c>
      <c r="C2006" s="87">
        <v>23.98</v>
      </c>
    </row>
    <row r="2007" spans="1:3" ht="14.5" customHeight="1">
      <c r="A2007" s="5" t="s">
        <v>6085</v>
      </c>
      <c r="B2007" s="5" t="s">
        <v>3658</v>
      </c>
      <c r="C2007" s="87">
        <v>18.29</v>
      </c>
    </row>
    <row r="2008" spans="1:3" ht="14.5" customHeight="1">
      <c r="A2008" s="5" t="s">
        <v>6086</v>
      </c>
      <c r="B2008" s="5" t="s">
        <v>2611</v>
      </c>
      <c r="C2008" s="87">
        <v>36.28</v>
      </c>
    </row>
    <row r="2009" spans="1:3" ht="14.5" customHeight="1">
      <c r="A2009" s="5" t="s">
        <v>6087</v>
      </c>
      <c r="B2009" s="5" t="s">
        <v>3660</v>
      </c>
      <c r="C2009" s="87">
        <v>38.450000000000003</v>
      </c>
    </row>
    <row r="2010" spans="1:3" ht="14.5" customHeight="1">
      <c r="A2010" s="5" t="s">
        <v>6088</v>
      </c>
      <c r="B2010" s="5" t="s">
        <v>3662</v>
      </c>
      <c r="C2010" s="87">
        <v>14.98</v>
      </c>
    </row>
    <row r="2011" spans="1:3" ht="14.5" customHeight="1">
      <c r="A2011" s="5" t="s">
        <v>6089</v>
      </c>
      <c r="B2011" s="5" t="s">
        <v>3664</v>
      </c>
      <c r="C2011" s="87">
        <v>18.07</v>
      </c>
    </row>
    <row r="2012" spans="1:3" ht="14.5" customHeight="1">
      <c r="A2012" s="5" t="s">
        <v>6090</v>
      </c>
      <c r="B2012" s="5" t="s">
        <v>3666</v>
      </c>
      <c r="C2012" s="87">
        <v>5.3</v>
      </c>
    </row>
    <row r="2013" spans="1:3" ht="14.5" customHeight="1">
      <c r="A2013" s="5" t="s">
        <v>6091</v>
      </c>
      <c r="B2013" s="5" t="s">
        <v>3668</v>
      </c>
      <c r="C2013" s="87">
        <v>81.23</v>
      </c>
    </row>
    <row r="2014" spans="1:3" ht="14.5" customHeight="1">
      <c r="A2014" s="5" t="s">
        <v>6092</v>
      </c>
      <c r="B2014" s="5" t="s">
        <v>3670</v>
      </c>
      <c r="C2014" s="87">
        <v>12.73</v>
      </c>
    </row>
    <row r="2015" spans="1:3" ht="14.5" customHeight="1">
      <c r="A2015" s="5" t="s">
        <v>6093</v>
      </c>
      <c r="B2015" s="5" t="s">
        <v>3672</v>
      </c>
      <c r="C2015" s="87">
        <v>30.45</v>
      </c>
    </row>
    <row r="2016" spans="1:3" ht="14.5" customHeight="1">
      <c r="A2016" s="5" t="s">
        <v>6094</v>
      </c>
      <c r="B2016" s="5" t="s">
        <v>3674</v>
      </c>
      <c r="C2016" s="87">
        <v>5.2</v>
      </c>
    </row>
    <row r="2017" spans="1:3" ht="14.5" customHeight="1">
      <c r="A2017" s="5" t="s">
        <v>6095</v>
      </c>
      <c r="B2017" s="5" t="s">
        <v>3676</v>
      </c>
      <c r="C2017" s="87">
        <v>13.98</v>
      </c>
    </row>
    <row r="2018" spans="1:3" ht="14.5" customHeight="1">
      <c r="A2018" s="5" t="s">
        <v>6096</v>
      </c>
      <c r="B2018" s="5" t="s">
        <v>3678</v>
      </c>
      <c r="C2018" s="87">
        <v>29.31</v>
      </c>
    </row>
    <row r="2019" spans="1:3" ht="14.5" customHeight="1">
      <c r="A2019" s="5" t="s">
        <v>6097</v>
      </c>
      <c r="B2019" s="5" t="s">
        <v>3680</v>
      </c>
      <c r="C2019" s="87">
        <v>20.52</v>
      </c>
    </row>
    <row r="2020" spans="1:3" ht="14.5" customHeight="1">
      <c r="A2020" s="5" t="s">
        <v>6098</v>
      </c>
      <c r="B2020" s="5" t="s">
        <v>4307</v>
      </c>
      <c r="C2020" s="87">
        <v>3.91</v>
      </c>
    </row>
    <row r="2021" spans="1:3" ht="14.5" customHeight="1">
      <c r="A2021" s="5" t="s">
        <v>6099</v>
      </c>
      <c r="B2021" s="5" t="s">
        <v>3682</v>
      </c>
      <c r="C2021" s="87">
        <v>4.0999999999999996</v>
      </c>
    </row>
    <row r="2022" spans="1:3" ht="14.5" customHeight="1">
      <c r="A2022" s="5" t="s">
        <v>6100</v>
      </c>
      <c r="B2022" s="5" t="s">
        <v>3684</v>
      </c>
      <c r="C2022" s="87">
        <v>34.51</v>
      </c>
    </row>
    <row r="2023" spans="1:3" ht="14.5" customHeight="1">
      <c r="A2023" s="5" t="s">
        <v>6101</v>
      </c>
      <c r="B2023" s="5" t="s">
        <v>3686</v>
      </c>
      <c r="C2023" s="87">
        <v>9.41</v>
      </c>
    </row>
    <row r="2024" spans="1:3" ht="14.5" customHeight="1">
      <c r="A2024" s="5" t="s">
        <v>6102</v>
      </c>
      <c r="B2024" s="5" t="s">
        <v>3688</v>
      </c>
      <c r="C2024" s="87">
        <v>11.43</v>
      </c>
    </row>
    <row r="2025" spans="1:3" ht="14.5" customHeight="1">
      <c r="A2025" s="5" t="s">
        <v>6103</v>
      </c>
      <c r="B2025" s="5" t="s">
        <v>6104</v>
      </c>
      <c r="C2025" s="87">
        <v>10</v>
      </c>
    </row>
    <row r="2026" spans="1:3" ht="14.5" customHeight="1">
      <c r="A2026" s="5" t="s">
        <v>6105</v>
      </c>
      <c r="B2026" s="5" t="s">
        <v>3692</v>
      </c>
      <c r="C2026" s="87">
        <v>19.3</v>
      </c>
    </row>
    <row r="2027" spans="1:3" ht="14.5" customHeight="1">
      <c r="A2027" s="5" t="s">
        <v>6106</v>
      </c>
      <c r="B2027" s="5" t="s">
        <v>3694</v>
      </c>
      <c r="C2027" s="87">
        <v>11.87</v>
      </c>
    </row>
    <row r="2028" spans="1:3" ht="14.5" customHeight="1">
      <c r="A2028" s="5" t="s">
        <v>6107</v>
      </c>
      <c r="B2028" s="5" t="s">
        <v>3698</v>
      </c>
      <c r="C2028" s="87">
        <v>7.34</v>
      </c>
    </row>
    <row r="2029" spans="1:3" ht="14.5" customHeight="1">
      <c r="A2029" s="5" t="s">
        <v>6108</v>
      </c>
      <c r="B2029" s="5" t="s">
        <v>3700</v>
      </c>
      <c r="C2029" s="87">
        <v>11.4</v>
      </c>
    </row>
    <row r="2030" spans="1:3" ht="14.5" customHeight="1">
      <c r="A2030" s="5" t="s">
        <v>6109</v>
      </c>
      <c r="B2030" s="5" t="s">
        <v>3702</v>
      </c>
      <c r="C2030" s="87">
        <v>3.53</v>
      </c>
    </row>
    <row r="2031" spans="1:3" ht="14.5" customHeight="1">
      <c r="A2031" s="5" t="s">
        <v>6110</v>
      </c>
      <c r="B2031" s="5" t="s">
        <v>3704</v>
      </c>
      <c r="C2031" s="87">
        <v>45.07</v>
      </c>
    </row>
    <row r="2032" spans="1:3" ht="14.5" customHeight="1">
      <c r="A2032" s="5" t="s">
        <v>6111</v>
      </c>
      <c r="B2032" s="5" t="s">
        <v>3706</v>
      </c>
      <c r="C2032" s="87">
        <v>4.04</v>
      </c>
    </row>
    <row r="2033" spans="1:3" ht="14.5" customHeight="1">
      <c r="A2033" s="5" t="s">
        <v>6112</v>
      </c>
      <c r="B2033" s="5" t="s">
        <v>3708</v>
      </c>
      <c r="C2033" s="87">
        <v>10.5</v>
      </c>
    </row>
    <row r="2034" spans="1:3" ht="14.5" customHeight="1">
      <c r="A2034" s="5" t="s">
        <v>6113</v>
      </c>
      <c r="B2034" s="5" t="s">
        <v>3710</v>
      </c>
      <c r="C2034" s="87">
        <v>31.37</v>
      </c>
    </row>
    <row r="2035" spans="1:3" ht="14.5" customHeight="1">
      <c r="A2035" s="5" t="s">
        <v>6114</v>
      </c>
      <c r="B2035" s="5" t="s">
        <v>3087</v>
      </c>
      <c r="C2035" s="87">
        <v>30.3</v>
      </c>
    </row>
    <row r="2036" spans="1:3" ht="14.5" customHeight="1">
      <c r="A2036" s="5" t="s">
        <v>6115</v>
      </c>
      <c r="B2036" s="5" t="s">
        <v>3712</v>
      </c>
      <c r="C2036" s="87">
        <v>51</v>
      </c>
    </row>
    <row r="2037" spans="1:3" ht="14.5" customHeight="1">
      <c r="A2037" s="5" t="s">
        <v>6116</v>
      </c>
      <c r="B2037" s="5" t="s">
        <v>3091</v>
      </c>
      <c r="C2037" s="87">
        <v>47.21</v>
      </c>
    </row>
    <row r="2038" spans="1:3" ht="14.5" customHeight="1">
      <c r="A2038" s="5" t="s">
        <v>6117</v>
      </c>
      <c r="B2038" s="5" t="s">
        <v>3714</v>
      </c>
      <c r="C2038" s="87">
        <v>11.96</v>
      </c>
    </row>
    <row r="2039" spans="1:3" ht="14.5" customHeight="1">
      <c r="A2039" s="5" t="s">
        <v>6118</v>
      </c>
      <c r="B2039" s="5" t="s">
        <v>3716</v>
      </c>
      <c r="C2039" s="87">
        <v>5.29</v>
      </c>
    </row>
    <row r="2040" spans="1:3" ht="14.5" customHeight="1">
      <c r="A2040" s="5" t="s">
        <v>6119</v>
      </c>
      <c r="B2040" s="5" t="s">
        <v>6120</v>
      </c>
      <c r="C2040" s="87">
        <v>12.99</v>
      </c>
    </row>
    <row r="2041" spans="1:3" ht="14.5" customHeight="1">
      <c r="A2041" s="5" t="s">
        <v>6121</v>
      </c>
      <c r="B2041" s="5" t="s">
        <v>6122</v>
      </c>
      <c r="C2041" s="87">
        <v>2.57</v>
      </c>
    </row>
    <row r="2042" spans="1:3" ht="14.5" customHeight="1">
      <c r="A2042" s="5" t="s">
        <v>6123</v>
      </c>
      <c r="B2042" s="5" t="s">
        <v>3720</v>
      </c>
      <c r="C2042" s="87">
        <v>79</v>
      </c>
    </row>
    <row r="2043" spans="1:3" ht="14.5" customHeight="1">
      <c r="A2043" s="5" t="s">
        <v>6124</v>
      </c>
      <c r="B2043" s="5" t="s">
        <v>3722</v>
      </c>
      <c r="C2043" s="87">
        <v>4.0199999999999996</v>
      </c>
    </row>
    <row r="2044" spans="1:3" ht="14.5" customHeight="1">
      <c r="A2044" s="5" t="s">
        <v>6125</v>
      </c>
      <c r="B2044" s="5" t="s">
        <v>3724</v>
      </c>
      <c r="C2044" s="87">
        <v>25.35</v>
      </c>
    </row>
    <row r="2045" spans="1:3" ht="14.5" customHeight="1">
      <c r="A2045" s="5" t="s">
        <v>6126</v>
      </c>
      <c r="B2045" s="5" t="s">
        <v>3726</v>
      </c>
      <c r="C2045" s="87">
        <v>17.12</v>
      </c>
    </row>
    <row r="2046" spans="1:3" ht="14.5" customHeight="1">
      <c r="A2046" s="5" t="s">
        <v>6127</v>
      </c>
      <c r="B2046" s="5" t="s">
        <v>6128</v>
      </c>
      <c r="C2046" s="87">
        <v>0.57999999999999996</v>
      </c>
    </row>
    <row r="2047" spans="1:3" ht="14.5" customHeight="1">
      <c r="A2047" s="5" t="s">
        <v>6129</v>
      </c>
      <c r="B2047" s="5" t="s">
        <v>3728</v>
      </c>
      <c r="C2047" s="87">
        <v>29.92</v>
      </c>
    </row>
    <row r="2048" spans="1:3" ht="14.5" customHeight="1">
      <c r="A2048" s="5" t="s">
        <v>6130</v>
      </c>
      <c r="B2048" s="5" t="s">
        <v>3730</v>
      </c>
      <c r="C2048" s="87">
        <v>12.38</v>
      </c>
    </row>
    <row r="2049" spans="1:3" ht="14.5" customHeight="1">
      <c r="A2049" s="5" t="s">
        <v>6131</v>
      </c>
      <c r="B2049" s="5" t="s">
        <v>3732</v>
      </c>
      <c r="C2049" s="87">
        <v>14.37</v>
      </c>
    </row>
    <row r="2050" spans="1:3" ht="14.5" customHeight="1">
      <c r="A2050" s="5" t="s">
        <v>6132</v>
      </c>
      <c r="B2050" s="5" t="s">
        <v>6133</v>
      </c>
      <c r="C2050" s="87">
        <v>0.53</v>
      </c>
    </row>
    <row r="2051" spans="1:3" ht="14.5" customHeight="1">
      <c r="A2051" s="5" t="s">
        <v>6134</v>
      </c>
      <c r="B2051" s="5" t="s">
        <v>3734</v>
      </c>
      <c r="C2051" s="87">
        <v>469.11</v>
      </c>
    </row>
    <row r="2052" spans="1:3" ht="14.5" customHeight="1">
      <c r="A2052" s="5" t="s">
        <v>6135</v>
      </c>
      <c r="B2052" s="5" t="s">
        <v>6136</v>
      </c>
      <c r="C2052" s="87">
        <v>219.74</v>
      </c>
    </row>
    <row r="2053" spans="1:3" ht="14.5" customHeight="1">
      <c r="A2053" s="5" t="s">
        <v>6137</v>
      </c>
      <c r="B2053" s="5" t="s">
        <v>3736</v>
      </c>
      <c r="C2053" s="87">
        <v>14.24</v>
      </c>
    </row>
    <row r="2054" spans="1:3" ht="14.5" customHeight="1">
      <c r="A2054" s="5" t="s">
        <v>6138</v>
      </c>
      <c r="B2054" s="5" t="s">
        <v>3153</v>
      </c>
      <c r="C2054" s="87">
        <v>83.94</v>
      </c>
    </row>
    <row r="2055" spans="1:3" ht="14.5" customHeight="1">
      <c r="A2055" s="5" t="s">
        <v>6139</v>
      </c>
      <c r="B2055" s="5" t="s">
        <v>3738</v>
      </c>
      <c r="C2055" s="87">
        <v>9.81</v>
      </c>
    </row>
    <row r="2056" spans="1:3" ht="14.5" customHeight="1">
      <c r="A2056" s="5" t="s">
        <v>6140</v>
      </c>
      <c r="B2056" s="5" t="s">
        <v>3740</v>
      </c>
      <c r="C2056" s="87">
        <v>72.34</v>
      </c>
    </row>
    <row r="2057" spans="1:3" ht="14.5" customHeight="1">
      <c r="A2057" s="5" t="s">
        <v>6141</v>
      </c>
      <c r="B2057" s="5" t="s">
        <v>3742</v>
      </c>
      <c r="C2057" s="87">
        <v>20.9</v>
      </c>
    </row>
    <row r="2058" spans="1:3" ht="14.5" customHeight="1">
      <c r="A2058" s="5" t="s">
        <v>6142</v>
      </c>
      <c r="B2058" s="5" t="s">
        <v>3744</v>
      </c>
      <c r="C2058" s="87">
        <v>61.62</v>
      </c>
    </row>
    <row r="2059" spans="1:3" ht="14.5" customHeight="1">
      <c r="A2059" s="5" t="s">
        <v>6143</v>
      </c>
      <c r="B2059" s="5" t="s">
        <v>3746</v>
      </c>
      <c r="C2059" s="87">
        <v>18.25</v>
      </c>
    </row>
    <row r="2060" spans="1:3" ht="14.5" customHeight="1">
      <c r="A2060" s="5" t="s">
        <v>6144</v>
      </c>
      <c r="B2060" s="5" t="s">
        <v>3748</v>
      </c>
      <c r="C2060" s="87">
        <v>5.98</v>
      </c>
    </row>
    <row r="2061" spans="1:3" ht="14.5" customHeight="1">
      <c r="A2061" s="5" t="s">
        <v>6145</v>
      </c>
      <c r="B2061" s="5" t="s">
        <v>3750</v>
      </c>
      <c r="C2061" s="87">
        <v>11.64</v>
      </c>
    </row>
    <row r="2062" spans="1:3" ht="14.5" customHeight="1">
      <c r="A2062" s="5" t="s">
        <v>6146</v>
      </c>
      <c r="B2062" s="5" t="s">
        <v>3752</v>
      </c>
      <c r="C2062" s="87">
        <v>17.649999999999999</v>
      </c>
    </row>
    <row r="2063" spans="1:3" ht="14.5" customHeight="1">
      <c r="A2063" s="5" t="s">
        <v>6147</v>
      </c>
      <c r="B2063" s="5" t="s">
        <v>6148</v>
      </c>
      <c r="C2063" s="87">
        <v>43.16</v>
      </c>
    </row>
    <row r="2064" spans="1:3" ht="14.5" customHeight="1">
      <c r="A2064" s="5" t="s">
        <v>6149</v>
      </c>
      <c r="B2064" s="5" t="s">
        <v>3754</v>
      </c>
      <c r="C2064" s="87">
        <v>29.39</v>
      </c>
    </row>
    <row r="2065" spans="1:3" ht="14.5" customHeight="1">
      <c r="A2065" s="5" t="s">
        <v>6150</v>
      </c>
      <c r="B2065" s="5" t="s">
        <v>3756</v>
      </c>
      <c r="C2065" s="87">
        <v>9.0500000000000007</v>
      </c>
    </row>
    <row r="2066" spans="1:3" ht="14.5" customHeight="1">
      <c r="A2066" s="5" t="s">
        <v>6151</v>
      </c>
      <c r="B2066" s="5" t="s">
        <v>4414</v>
      </c>
      <c r="C2066" s="87">
        <v>6.39</v>
      </c>
    </row>
    <row r="2067" spans="1:3" ht="14.5" customHeight="1">
      <c r="A2067" s="5" t="s">
        <v>6152</v>
      </c>
      <c r="B2067" s="5" t="s">
        <v>3758</v>
      </c>
      <c r="C2067" s="87">
        <v>24.72</v>
      </c>
    </row>
    <row r="2068" spans="1:3" ht="14.5" customHeight="1">
      <c r="A2068" s="5" t="s">
        <v>6153</v>
      </c>
      <c r="B2068" s="5" t="s">
        <v>3760</v>
      </c>
      <c r="C2068" s="87">
        <v>10.84</v>
      </c>
    </row>
    <row r="2069" spans="1:3" ht="14.5" customHeight="1">
      <c r="A2069" s="5" t="s">
        <v>6154</v>
      </c>
      <c r="B2069" s="5" t="s">
        <v>3762</v>
      </c>
      <c r="C2069" s="87">
        <v>23.24</v>
      </c>
    </row>
    <row r="2070" spans="1:3" ht="14.5" customHeight="1">
      <c r="A2070" s="5" t="s">
        <v>6155</v>
      </c>
      <c r="B2070" s="5" t="s">
        <v>3764</v>
      </c>
      <c r="C2070" s="87">
        <v>18.14</v>
      </c>
    </row>
    <row r="2071" spans="1:3" ht="14.5" customHeight="1">
      <c r="A2071" s="5" t="s">
        <v>6156</v>
      </c>
      <c r="B2071" s="5" t="s">
        <v>3766</v>
      </c>
      <c r="C2071" s="87">
        <v>46.92</v>
      </c>
    </row>
    <row r="2072" spans="1:3" ht="14.5" customHeight="1">
      <c r="A2072" s="5" t="s">
        <v>6157</v>
      </c>
      <c r="B2072" s="5" t="s">
        <v>3768</v>
      </c>
      <c r="C2072" s="87">
        <v>19.21</v>
      </c>
    </row>
    <row r="2073" spans="1:3" ht="14.5" customHeight="1">
      <c r="A2073" s="5" t="s">
        <v>6158</v>
      </c>
      <c r="B2073" s="5" t="s">
        <v>3770</v>
      </c>
      <c r="C2073" s="87">
        <v>12.13</v>
      </c>
    </row>
    <row r="2074" spans="1:3" ht="14.5" customHeight="1">
      <c r="A2074" s="5" t="s">
        <v>6159</v>
      </c>
      <c r="B2074" s="5" t="s">
        <v>3772</v>
      </c>
      <c r="C2074" s="87">
        <v>37.61</v>
      </c>
    </row>
    <row r="2075" spans="1:3" ht="14.5" customHeight="1">
      <c r="A2075" s="5" t="s">
        <v>6160</v>
      </c>
      <c r="B2075" s="5" t="s">
        <v>3774</v>
      </c>
      <c r="C2075" s="87">
        <v>47.3</v>
      </c>
    </row>
    <row r="2076" spans="1:3" ht="14.5" customHeight="1">
      <c r="A2076" s="5" t="s">
        <v>6161</v>
      </c>
      <c r="B2076" s="5" t="s">
        <v>3776</v>
      </c>
      <c r="C2076" s="87">
        <v>24.05</v>
      </c>
    </row>
    <row r="2077" spans="1:3" ht="14.5" customHeight="1">
      <c r="A2077" s="5" t="s">
        <v>6162</v>
      </c>
      <c r="B2077" s="5" t="s">
        <v>6163</v>
      </c>
      <c r="C2077" s="87">
        <v>127.79</v>
      </c>
    </row>
    <row r="2078" spans="1:3" ht="14.5" customHeight="1">
      <c r="A2078" s="5" t="s">
        <v>6164</v>
      </c>
      <c r="B2078" s="5" t="s">
        <v>3189</v>
      </c>
      <c r="C2078" s="87">
        <v>35.15</v>
      </c>
    </row>
    <row r="2079" spans="1:3" ht="14.5" customHeight="1">
      <c r="A2079" s="5" t="s">
        <v>6165</v>
      </c>
      <c r="B2079" s="5" t="s">
        <v>3780</v>
      </c>
      <c r="C2079" s="87">
        <v>20.21</v>
      </c>
    </row>
    <row r="2080" spans="1:3" ht="14.5" customHeight="1">
      <c r="A2080" s="5" t="s">
        <v>6166</v>
      </c>
      <c r="B2080" s="5" t="s">
        <v>3782</v>
      </c>
      <c r="C2080" s="87">
        <v>22.59</v>
      </c>
    </row>
    <row r="2081" spans="1:3" ht="14.5" customHeight="1">
      <c r="A2081" s="5" t="s">
        <v>6167</v>
      </c>
      <c r="B2081" s="5" t="s">
        <v>3784</v>
      </c>
      <c r="C2081" s="87">
        <v>38.29</v>
      </c>
    </row>
    <row r="2082" spans="1:3" ht="14.5" customHeight="1">
      <c r="A2082" s="5" t="s">
        <v>6168</v>
      </c>
      <c r="B2082" s="5" t="s">
        <v>3786</v>
      </c>
      <c r="C2082" s="87">
        <v>18.079999999999998</v>
      </c>
    </row>
    <row r="2083" spans="1:3" ht="14.5" customHeight="1">
      <c r="A2083" s="5" t="s">
        <v>6169</v>
      </c>
      <c r="B2083" s="5" t="s">
        <v>3790</v>
      </c>
      <c r="C2083" s="87">
        <v>8.73</v>
      </c>
    </row>
    <row r="2084" spans="1:3" ht="14.5" customHeight="1">
      <c r="A2084" s="5" t="s">
        <v>6170</v>
      </c>
      <c r="B2084" s="5" t="s">
        <v>3792</v>
      </c>
      <c r="C2084" s="87">
        <v>6.6</v>
      </c>
    </row>
    <row r="2085" spans="1:3" ht="14.5" customHeight="1">
      <c r="A2085" s="5" t="s">
        <v>6171</v>
      </c>
      <c r="B2085" s="5" t="s">
        <v>3794</v>
      </c>
      <c r="C2085" s="87">
        <v>77.73</v>
      </c>
    </row>
    <row r="2086" spans="1:3" ht="14.5" customHeight="1">
      <c r="A2086" s="5" t="s">
        <v>6172</v>
      </c>
      <c r="B2086" s="5" t="s">
        <v>3796</v>
      </c>
      <c r="C2086" s="87">
        <v>48.6</v>
      </c>
    </row>
    <row r="2087" spans="1:3" ht="14.5" customHeight="1">
      <c r="A2087" s="5" t="s">
        <v>6173</v>
      </c>
      <c r="B2087" s="5" t="s">
        <v>3798</v>
      </c>
      <c r="C2087" s="87">
        <v>29.82</v>
      </c>
    </row>
    <row r="2088" spans="1:3" ht="14.5" customHeight="1">
      <c r="A2088" s="5" t="s">
        <v>6174</v>
      </c>
      <c r="B2088" s="5" t="s">
        <v>3800</v>
      </c>
      <c r="C2088" s="87">
        <v>8.8000000000000007</v>
      </c>
    </row>
    <row r="2089" spans="1:3" ht="14.5" customHeight="1">
      <c r="A2089" s="5" t="s">
        <v>6175</v>
      </c>
      <c r="B2089" s="5" t="s">
        <v>3802</v>
      </c>
      <c r="C2089" s="87">
        <v>32.840000000000003</v>
      </c>
    </row>
    <row r="2090" spans="1:3" ht="14.5" customHeight="1">
      <c r="A2090" s="5" t="s">
        <v>6176</v>
      </c>
      <c r="B2090" s="5" t="s">
        <v>3211</v>
      </c>
      <c r="C2090" s="87">
        <v>67.2</v>
      </c>
    </row>
    <row r="2091" spans="1:3" ht="14.5" customHeight="1">
      <c r="A2091" s="5" t="s">
        <v>6177</v>
      </c>
      <c r="B2091" s="5" t="s">
        <v>3804</v>
      </c>
      <c r="C2091" s="87">
        <v>27.41</v>
      </c>
    </row>
    <row r="2092" spans="1:3" ht="14.5" customHeight="1">
      <c r="A2092" s="5" t="s">
        <v>6178</v>
      </c>
      <c r="B2092" s="5" t="s">
        <v>3806</v>
      </c>
      <c r="C2092" s="87">
        <v>12.6</v>
      </c>
    </row>
    <row r="2093" spans="1:3" ht="14.5" customHeight="1">
      <c r="A2093" s="5" t="s">
        <v>6179</v>
      </c>
      <c r="B2093" s="5" t="s">
        <v>3808</v>
      </c>
      <c r="C2093" s="87">
        <v>25.2</v>
      </c>
    </row>
    <row r="2094" spans="1:3" ht="14.5" customHeight="1">
      <c r="A2094" s="5" t="s">
        <v>6180</v>
      </c>
      <c r="B2094" s="5" t="s">
        <v>3810</v>
      </c>
      <c r="C2094" s="87">
        <v>50.01</v>
      </c>
    </row>
    <row r="2095" spans="1:3" ht="14.5" customHeight="1">
      <c r="A2095" s="5" t="s">
        <v>6181</v>
      </c>
      <c r="B2095" s="5" t="s">
        <v>3812</v>
      </c>
      <c r="C2095" s="87">
        <v>168.1</v>
      </c>
    </row>
    <row r="2096" spans="1:3" ht="14.5" customHeight="1">
      <c r="A2096" s="5" t="s">
        <v>6182</v>
      </c>
      <c r="B2096" s="5" t="s">
        <v>3814</v>
      </c>
      <c r="C2096" s="87">
        <v>19.2</v>
      </c>
    </row>
    <row r="2097" spans="1:3" ht="14.5" customHeight="1">
      <c r="A2097" s="5" t="s">
        <v>6183</v>
      </c>
      <c r="B2097" s="5" t="s">
        <v>3217</v>
      </c>
      <c r="C2097" s="87">
        <v>41.3</v>
      </c>
    </row>
    <row r="2098" spans="1:3" ht="14.5" customHeight="1">
      <c r="A2098" s="5" t="s">
        <v>6184</v>
      </c>
      <c r="B2098" s="5" t="s">
        <v>3219</v>
      </c>
      <c r="C2098" s="87">
        <v>295.57</v>
      </c>
    </row>
    <row r="2099" spans="1:3" ht="14.5" customHeight="1">
      <c r="A2099" s="5" t="s">
        <v>6185</v>
      </c>
      <c r="B2099" s="5" t="s">
        <v>3816</v>
      </c>
      <c r="C2099" s="87">
        <v>20.94</v>
      </c>
    </row>
    <row r="2100" spans="1:3" ht="14.5" customHeight="1">
      <c r="A2100" s="5" t="s">
        <v>6186</v>
      </c>
      <c r="B2100" s="5" t="s">
        <v>3818</v>
      </c>
      <c r="C2100" s="87">
        <v>49.74</v>
      </c>
    </row>
    <row r="2101" spans="1:3" ht="14.5" customHeight="1">
      <c r="A2101" s="5" t="s">
        <v>6187</v>
      </c>
      <c r="B2101" s="5" t="s">
        <v>3221</v>
      </c>
      <c r="C2101" s="87">
        <v>54.2</v>
      </c>
    </row>
    <row r="2102" spans="1:3" ht="14.5" customHeight="1">
      <c r="A2102" s="5" t="s">
        <v>6188</v>
      </c>
      <c r="B2102" s="5" t="s">
        <v>3820</v>
      </c>
      <c r="C2102" s="87">
        <v>36.4</v>
      </c>
    </row>
    <row r="2103" spans="1:3" ht="14.5" customHeight="1">
      <c r="A2103" s="5" t="s">
        <v>6189</v>
      </c>
      <c r="B2103" s="5" t="s">
        <v>3822</v>
      </c>
      <c r="C2103" s="87">
        <v>53.11</v>
      </c>
    </row>
    <row r="2104" spans="1:3" ht="14.5" customHeight="1">
      <c r="A2104" s="5" t="s">
        <v>6190</v>
      </c>
      <c r="B2104" s="5" t="s">
        <v>3824</v>
      </c>
      <c r="C2104" s="87">
        <v>19.59</v>
      </c>
    </row>
    <row r="2105" spans="1:3" ht="14.5" customHeight="1">
      <c r="A2105" s="5" t="s">
        <v>6191</v>
      </c>
      <c r="B2105" s="5" t="s">
        <v>6192</v>
      </c>
      <c r="C2105" s="87">
        <v>17.5</v>
      </c>
    </row>
    <row r="2106" spans="1:3" ht="14.5" customHeight="1">
      <c r="A2106" s="5" t="s">
        <v>6193</v>
      </c>
      <c r="B2106" s="5" t="s">
        <v>6194</v>
      </c>
      <c r="C2106" s="87">
        <v>0.92</v>
      </c>
    </row>
    <row r="2107" spans="1:3" ht="14.5" customHeight="1">
      <c r="A2107" s="5" t="s">
        <v>6195</v>
      </c>
      <c r="B2107" s="5" t="s">
        <v>3826</v>
      </c>
      <c r="C2107" s="87">
        <v>80.42</v>
      </c>
    </row>
    <row r="2108" spans="1:3" ht="14.5" customHeight="1">
      <c r="A2108" s="5" t="s">
        <v>6196</v>
      </c>
      <c r="B2108" s="5" t="s">
        <v>3828</v>
      </c>
      <c r="C2108" s="87">
        <v>28.11</v>
      </c>
    </row>
    <row r="2109" spans="1:3" ht="14.5" customHeight="1">
      <c r="A2109" s="5" t="s">
        <v>6197</v>
      </c>
      <c r="B2109" s="5" t="s">
        <v>3225</v>
      </c>
      <c r="C2109" s="87">
        <v>56.63</v>
      </c>
    </row>
    <row r="2110" spans="1:3" ht="14.5" customHeight="1">
      <c r="A2110" s="5" t="s">
        <v>6198</v>
      </c>
      <c r="B2110" s="5" t="s">
        <v>3830</v>
      </c>
      <c r="C2110" s="87">
        <v>149.13999999999999</v>
      </c>
    </row>
    <row r="2111" spans="1:3" ht="14.5" customHeight="1">
      <c r="A2111" s="5" t="s">
        <v>6199</v>
      </c>
      <c r="B2111" s="5" t="s">
        <v>3832</v>
      </c>
      <c r="C2111" s="87">
        <v>18.8</v>
      </c>
    </row>
    <row r="2112" spans="1:3" ht="14.5" customHeight="1">
      <c r="A2112" s="5" t="s">
        <v>6200</v>
      </c>
      <c r="B2112" s="5" t="s">
        <v>3834</v>
      </c>
      <c r="C2112" s="87">
        <v>33.33</v>
      </c>
    </row>
    <row r="2113" spans="1:3" ht="14.5" customHeight="1">
      <c r="A2113" s="5" t="s">
        <v>6201</v>
      </c>
      <c r="B2113" s="5" t="s">
        <v>3231</v>
      </c>
      <c r="C2113" s="87">
        <v>91.36</v>
      </c>
    </row>
    <row r="2114" spans="1:3" ht="14.5" customHeight="1">
      <c r="A2114" s="5" t="s">
        <v>6202</v>
      </c>
      <c r="B2114" s="5" t="s">
        <v>3233</v>
      </c>
      <c r="C2114" s="87">
        <v>75.81</v>
      </c>
    </row>
    <row r="2115" spans="1:3" ht="14.5" customHeight="1">
      <c r="A2115" s="5" t="s">
        <v>6203</v>
      </c>
      <c r="B2115" s="5" t="s">
        <v>3836</v>
      </c>
      <c r="C2115" s="87">
        <v>6.08</v>
      </c>
    </row>
    <row r="2116" spans="1:3" ht="14.5" customHeight="1">
      <c r="A2116" s="5" t="s">
        <v>6204</v>
      </c>
      <c r="B2116" s="5" t="s">
        <v>3235</v>
      </c>
      <c r="C2116" s="87">
        <v>133.61000000000001</v>
      </c>
    </row>
    <row r="2117" spans="1:3" ht="14.5" customHeight="1">
      <c r="A2117" s="5" t="s">
        <v>6205</v>
      </c>
      <c r="B2117" s="5" t="s">
        <v>3838</v>
      </c>
      <c r="C2117" s="87">
        <v>26.16</v>
      </c>
    </row>
    <row r="2118" spans="1:3" ht="14.5" customHeight="1">
      <c r="A2118" s="5" t="s">
        <v>6206</v>
      </c>
      <c r="B2118" s="5" t="s">
        <v>3840</v>
      </c>
      <c r="C2118" s="87">
        <v>30.42</v>
      </c>
    </row>
    <row r="2119" spans="1:3" ht="14.5" customHeight="1">
      <c r="A2119" s="5" t="s">
        <v>6207</v>
      </c>
      <c r="B2119" s="5" t="s">
        <v>3842</v>
      </c>
      <c r="C2119" s="87">
        <v>173.42</v>
      </c>
    </row>
    <row r="2120" spans="1:3" ht="14.5" customHeight="1">
      <c r="A2120" s="5" t="s">
        <v>6208</v>
      </c>
      <c r="B2120" s="5" t="s">
        <v>3237</v>
      </c>
      <c r="C2120" s="87">
        <v>161.68</v>
      </c>
    </row>
    <row r="2121" spans="1:3" ht="14.5" customHeight="1">
      <c r="A2121" s="5" t="s">
        <v>6209</v>
      </c>
      <c r="B2121" s="5" t="s">
        <v>3844</v>
      </c>
      <c r="C2121" s="87">
        <v>150.49</v>
      </c>
    </row>
    <row r="2122" spans="1:3" ht="14.5" customHeight="1">
      <c r="A2122" s="5" t="s">
        <v>6210</v>
      </c>
      <c r="B2122" s="5" t="s">
        <v>3846</v>
      </c>
      <c r="C2122" s="87">
        <v>52.4</v>
      </c>
    </row>
    <row r="2123" spans="1:3" ht="14.5" customHeight="1">
      <c r="A2123" s="5" t="s">
        <v>6211</v>
      </c>
      <c r="B2123" s="5" t="s">
        <v>3848</v>
      </c>
      <c r="C2123" s="87">
        <v>27.16</v>
      </c>
    </row>
    <row r="2124" spans="1:3" ht="14.5" customHeight="1">
      <c r="A2124" s="5" t="s">
        <v>6212</v>
      </c>
      <c r="B2124" s="5" t="s">
        <v>3850</v>
      </c>
      <c r="C2124" s="87">
        <v>19.489999999999998</v>
      </c>
    </row>
    <row r="2125" spans="1:3" ht="14.5" customHeight="1">
      <c r="A2125" s="5" t="s">
        <v>6213</v>
      </c>
      <c r="B2125" s="5" t="s">
        <v>3852</v>
      </c>
      <c r="C2125" s="87">
        <v>30.51</v>
      </c>
    </row>
    <row r="2126" spans="1:3" ht="14.5" customHeight="1">
      <c r="A2126" s="5" t="s">
        <v>6214</v>
      </c>
      <c r="B2126" s="5" t="s">
        <v>3239</v>
      </c>
      <c r="C2126" s="87">
        <v>49.64</v>
      </c>
    </row>
    <row r="2127" spans="1:3" ht="14.5" customHeight="1">
      <c r="A2127" s="5" t="s">
        <v>6215</v>
      </c>
      <c r="B2127" s="5" t="s">
        <v>3854</v>
      </c>
      <c r="C2127" s="87">
        <v>294.89</v>
      </c>
    </row>
    <row r="2128" spans="1:3" ht="14.5" customHeight="1">
      <c r="A2128" s="5" t="s">
        <v>6216</v>
      </c>
      <c r="B2128" s="5" t="s">
        <v>3856</v>
      </c>
      <c r="C2128" s="87">
        <v>75.06</v>
      </c>
    </row>
    <row r="2129" spans="1:3" ht="14.5" customHeight="1">
      <c r="A2129" s="5" t="s">
        <v>6217</v>
      </c>
      <c r="B2129" s="5" t="s">
        <v>3858</v>
      </c>
      <c r="C2129" s="87">
        <v>31</v>
      </c>
    </row>
    <row r="2130" spans="1:3" ht="14.5" customHeight="1">
      <c r="A2130" s="5" t="s">
        <v>6218</v>
      </c>
      <c r="B2130" s="5" t="s">
        <v>3862</v>
      </c>
      <c r="C2130" s="87">
        <v>20</v>
      </c>
    </row>
    <row r="2131" spans="1:3" ht="14.5" customHeight="1">
      <c r="A2131" s="5" t="s">
        <v>6219</v>
      </c>
      <c r="B2131" s="5" t="s">
        <v>3864</v>
      </c>
      <c r="C2131" s="87">
        <v>161.22999999999999</v>
      </c>
    </row>
    <row r="2132" spans="1:3" ht="14.5" customHeight="1">
      <c r="A2132" s="5" t="s">
        <v>6220</v>
      </c>
      <c r="B2132" s="5" t="s">
        <v>3866</v>
      </c>
      <c r="C2132" s="87">
        <v>26.17</v>
      </c>
    </row>
    <row r="2133" spans="1:3" ht="14.5" customHeight="1">
      <c r="A2133" s="5" t="s">
        <v>6221</v>
      </c>
      <c r="B2133" s="5" t="s">
        <v>3241</v>
      </c>
      <c r="C2133" s="87">
        <v>54.81</v>
      </c>
    </row>
    <row r="2134" spans="1:3" ht="14.5" customHeight="1">
      <c r="A2134" s="5" t="s">
        <v>6222</v>
      </c>
      <c r="B2134" s="5" t="s">
        <v>3868</v>
      </c>
      <c r="C2134" s="87">
        <v>11.61</v>
      </c>
    </row>
    <row r="2135" spans="1:3" ht="14.5" customHeight="1">
      <c r="A2135" s="5" t="s">
        <v>6223</v>
      </c>
      <c r="B2135" s="5" t="s">
        <v>3870</v>
      </c>
      <c r="C2135" s="87">
        <v>28</v>
      </c>
    </row>
    <row r="2136" spans="1:3" ht="14.5" customHeight="1">
      <c r="A2136" s="5" t="s">
        <v>6224</v>
      </c>
      <c r="B2136" s="5" t="s">
        <v>3872</v>
      </c>
      <c r="C2136" s="87">
        <v>48.2</v>
      </c>
    </row>
    <row r="2137" spans="1:3" ht="14.5" customHeight="1">
      <c r="A2137" s="5" t="s">
        <v>6225</v>
      </c>
      <c r="B2137" s="5" t="s">
        <v>3874</v>
      </c>
      <c r="C2137" s="87">
        <v>31.94</v>
      </c>
    </row>
    <row r="2138" spans="1:3" ht="14.5" customHeight="1">
      <c r="A2138" s="5" t="s">
        <v>6226</v>
      </c>
      <c r="B2138" s="5" t="s">
        <v>3876</v>
      </c>
      <c r="C2138" s="87">
        <v>19.04</v>
      </c>
    </row>
    <row r="2139" spans="1:3" ht="14.5" customHeight="1">
      <c r="A2139" s="5" t="s">
        <v>6227</v>
      </c>
      <c r="B2139" s="5" t="s">
        <v>3878</v>
      </c>
      <c r="C2139" s="87">
        <v>66.2</v>
      </c>
    </row>
    <row r="2140" spans="1:3" ht="14.5" customHeight="1">
      <c r="A2140" s="5" t="s">
        <v>6228</v>
      </c>
      <c r="B2140" s="5" t="s">
        <v>3880</v>
      </c>
      <c r="C2140" s="87">
        <v>62.62</v>
      </c>
    </row>
    <row r="2141" spans="1:3" ht="14.5" customHeight="1">
      <c r="A2141" s="5" t="s">
        <v>6229</v>
      </c>
      <c r="B2141" s="5" t="s">
        <v>3882</v>
      </c>
      <c r="C2141" s="87">
        <v>19.690000000000001</v>
      </c>
    </row>
    <row r="2142" spans="1:3" ht="14.5" customHeight="1">
      <c r="A2142" s="5" t="s">
        <v>6230</v>
      </c>
      <c r="B2142" s="5" t="s">
        <v>3884</v>
      </c>
      <c r="C2142" s="87">
        <v>63.27</v>
      </c>
    </row>
    <row r="2143" spans="1:3" ht="14.5" customHeight="1">
      <c r="A2143" s="5" t="s">
        <v>6231</v>
      </c>
      <c r="B2143" s="5" t="s">
        <v>3886</v>
      </c>
      <c r="C2143" s="87">
        <v>27.15</v>
      </c>
    </row>
    <row r="2144" spans="1:3" ht="14.5" customHeight="1">
      <c r="A2144" s="5" t="s">
        <v>6232</v>
      </c>
      <c r="B2144" s="5" t="s">
        <v>3888</v>
      </c>
      <c r="C2144" s="87">
        <v>766.78</v>
      </c>
    </row>
    <row r="2145" spans="1:3" ht="14.5" customHeight="1">
      <c r="A2145" s="5" t="s">
        <v>6233</v>
      </c>
      <c r="B2145" s="5" t="s">
        <v>3890</v>
      </c>
      <c r="C2145" s="87">
        <v>29.87</v>
      </c>
    </row>
    <row r="2146" spans="1:3" ht="14.5" customHeight="1">
      <c r="A2146" s="5" t="s">
        <v>6234</v>
      </c>
      <c r="B2146" s="5" t="s">
        <v>3892</v>
      </c>
      <c r="C2146" s="87">
        <v>18.02</v>
      </c>
    </row>
    <row r="2147" spans="1:3" ht="14.5" customHeight="1">
      <c r="A2147" s="5" t="s">
        <v>6235</v>
      </c>
      <c r="B2147" s="5" t="s">
        <v>3894</v>
      </c>
      <c r="C2147" s="87">
        <v>74.7</v>
      </c>
    </row>
    <row r="2148" spans="1:3" ht="14.5" customHeight="1">
      <c r="A2148" s="5" t="s">
        <v>6236</v>
      </c>
      <c r="B2148" s="5" t="s">
        <v>3896</v>
      </c>
      <c r="C2148" s="87">
        <v>35.700000000000003</v>
      </c>
    </row>
    <row r="2149" spans="1:3" ht="14.5" customHeight="1">
      <c r="A2149" s="5" t="s">
        <v>6237</v>
      </c>
      <c r="B2149" s="5" t="s">
        <v>3898</v>
      </c>
      <c r="C2149" s="87">
        <v>35.89</v>
      </c>
    </row>
    <row r="2150" spans="1:3" ht="14.5" customHeight="1">
      <c r="A2150" s="5" t="s">
        <v>6238</v>
      </c>
      <c r="B2150" s="5" t="s">
        <v>3900</v>
      </c>
      <c r="C2150" s="87">
        <v>76.33</v>
      </c>
    </row>
    <row r="2151" spans="1:3" ht="14.5" customHeight="1">
      <c r="A2151" s="5" t="s">
        <v>6239</v>
      </c>
      <c r="B2151" s="5" t="s">
        <v>3902</v>
      </c>
      <c r="C2151" s="87">
        <v>29.4</v>
      </c>
    </row>
    <row r="2152" spans="1:3" ht="14.5" customHeight="1">
      <c r="A2152" s="5" t="s">
        <v>6240</v>
      </c>
      <c r="B2152" s="5" t="s">
        <v>3904</v>
      </c>
      <c r="C2152" s="87">
        <v>33.43</v>
      </c>
    </row>
    <row r="2153" spans="1:3" ht="14.5" customHeight="1">
      <c r="A2153" s="5" t="s">
        <v>6241</v>
      </c>
      <c r="B2153" s="5" t="s">
        <v>3906</v>
      </c>
      <c r="C2153" s="87">
        <v>33</v>
      </c>
    </row>
    <row r="2154" spans="1:3" ht="14.5" customHeight="1">
      <c r="A2154" s="5" t="s">
        <v>6242</v>
      </c>
      <c r="B2154" s="5" t="s">
        <v>3908</v>
      </c>
      <c r="C2154" s="87">
        <v>132.71</v>
      </c>
    </row>
    <row r="2155" spans="1:3" ht="14.5" customHeight="1">
      <c r="A2155" s="5" t="s">
        <v>6243</v>
      </c>
      <c r="B2155" s="5" t="s">
        <v>3910</v>
      </c>
      <c r="C2155" s="87">
        <v>14.44</v>
      </c>
    </row>
    <row r="2156" spans="1:3" ht="14.5" customHeight="1">
      <c r="A2156" s="5" t="s">
        <v>6244</v>
      </c>
      <c r="B2156" s="5" t="s">
        <v>3912</v>
      </c>
      <c r="C2156" s="87">
        <v>63.08</v>
      </c>
    </row>
    <row r="2157" spans="1:3" ht="14.5" customHeight="1">
      <c r="A2157" s="5" t="s">
        <v>6245</v>
      </c>
      <c r="B2157" s="5" t="s">
        <v>3916</v>
      </c>
      <c r="C2157" s="87">
        <v>49.62</v>
      </c>
    </row>
    <row r="2158" spans="1:3" ht="14.5" customHeight="1">
      <c r="A2158" s="5" t="s">
        <v>6246</v>
      </c>
      <c r="B2158" s="5" t="s">
        <v>3918</v>
      </c>
      <c r="C2158" s="87">
        <v>30.69</v>
      </c>
    </row>
    <row r="2159" spans="1:3" ht="14.5" customHeight="1">
      <c r="A2159" s="5" t="s">
        <v>6247</v>
      </c>
      <c r="B2159" s="5" t="s">
        <v>3920</v>
      </c>
      <c r="C2159" s="87">
        <v>145.22</v>
      </c>
    </row>
    <row r="2160" spans="1:3" ht="14.5" customHeight="1">
      <c r="A2160" s="5" t="s">
        <v>6248</v>
      </c>
      <c r="B2160" s="5" t="s">
        <v>3922</v>
      </c>
      <c r="C2160" s="87">
        <v>49.63</v>
      </c>
    </row>
    <row r="2161" spans="1:3" ht="14.5" customHeight="1">
      <c r="A2161" s="5" t="s">
        <v>6249</v>
      </c>
      <c r="B2161" s="5" t="s">
        <v>3926</v>
      </c>
      <c r="C2161" s="87">
        <v>56.33</v>
      </c>
    </row>
    <row r="2162" spans="1:3" ht="14.5" customHeight="1">
      <c r="A2162" s="5" t="s">
        <v>6250</v>
      </c>
      <c r="B2162" s="5" t="s">
        <v>3928</v>
      </c>
      <c r="C2162" s="87">
        <v>158.38999999999999</v>
      </c>
    </row>
    <row r="2163" spans="1:3" ht="14.5" customHeight="1">
      <c r="A2163" s="5" t="s">
        <v>6251</v>
      </c>
      <c r="B2163" s="5" t="s">
        <v>3932</v>
      </c>
      <c r="C2163" s="87">
        <v>235</v>
      </c>
    </row>
    <row r="2164" spans="1:3" ht="14.5" customHeight="1">
      <c r="A2164" s="5" t="s">
        <v>6252</v>
      </c>
      <c r="B2164" s="5" t="s">
        <v>3934</v>
      </c>
      <c r="C2164" s="87">
        <v>30</v>
      </c>
    </row>
    <row r="2165" spans="1:3" ht="14.5" customHeight="1">
      <c r="A2165" s="5" t="s">
        <v>6253</v>
      </c>
      <c r="B2165" s="5" t="s">
        <v>3940</v>
      </c>
      <c r="C2165" s="87">
        <v>23.43</v>
      </c>
    </row>
    <row r="2166" spans="1:3" ht="14.5" customHeight="1">
      <c r="A2166" s="5" t="s">
        <v>6254</v>
      </c>
      <c r="B2166" s="5" t="s">
        <v>3942</v>
      </c>
      <c r="C2166" s="87">
        <v>12.43</v>
      </c>
    </row>
    <row r="2167" spans="1:3" ht="14.5" customHeight="1">
      <c r="A2167" s="5" t="s">
        <v>6255</v>
      </c>
      <c r="B2167" s="5" t="s">
        <v>3946</v>
      </c>
      <c r="C2167" s="87">
        <v>12.29</v>
      </c>
    </row>
    <row r="2168" spans="1:3" ht="14.5" customHeight="1">
      <c r="A2168" s="5" t="s">
        <v>6256</v>
      </c>
      <c r="B2168" s="5" t="s">
        <v>3948</v>
      </c>
      <c r="C2168" s="87">
        <v>55.27</v>
      </c>
    </row>
    <row r="2169" spans="1:3" ht="14.5" customHeight="1">
      <c r="A2169" s="5" t="s">
        <v>6257</v>
      </c>
      <c r="B2169" s="5" t="s">
        <v>6258</v>
      </c>
      <c r="C2169" s="87">
        <v>81.400000000000006</v>
      </c>
    </row>
    <row r="2170" spans="1:3" ht="14.5" customHeight="1">
      <c r="A2170" s="5" t="s">
        <v>6259</v>
      </c>
      <c r="B2170" s="5" t="s">
        <v>6260</v>
      </c>
      <c r="C2170" s="87">
        <v>10.83</v>
      </c>
    </row>
    <row r="2171" spans="1:3" ht="14.5" customHeight="1">
      <c r="A2171" s="5" t="s">
        <v>6261</v>
      </c>
      <c r="B2171" s="5" t="s">
        <v>3952</v>
      </c>
      <c r="C2171" s="87">
        <v>11.22</v>
      </c>
    </row>
    <row r="2172" spans="1:3" ht="14.5" customHeight="1">
      <c r="A2172" s="5" t="s">
        <v>6262</v>
      </c>
      <c r="B2172" s="5" t="s">
        <v>3954</v>
      </c>
      <c r="C2172" s="87">
        <v>29.37</v>
      </c>
    </row>
    <row r="2173" spans="1:3" ht="14.5" customHeight="1">
      <c r="A2173" s="5" t="s">
        <v>6263</v>
      </c>
      <c r="B2173" s="5" t="s">
        <v>3956</v>
      </c>
      <c r="C2173" s="87">
        <v>18.329999999999998</v>
      </c>
    </row>
    <row r="2174" spans="1:3" ht="14.5" customHeight="1">
      <c r="A2174" s="5" t="s">
        <v>6264</v>
      </c>
      <c r="B2174" s="5" t="s">
        <v>3958</v>
      </c>
      <c r="C2174" s="87">
        <v>22.67</v>
      </c>
    </row>
    <row r="2175" spans="1:3" ht="14.5" customHeight="1">
      <c r="A2175" s="5" t="s">
        <v>6265</v>
      </c>
      <c r="B2175" s="5" t="s">
        <v>6266</v>
      </c>
      <c r="C2175" s="87">
        <v>24.39</v>
      </c>
    </row>
    <row r="2176" spans="1:3" ht="14.5" customHeight="1">
      <c r="A2176" s="5" t="s">
        <v>6267</v>
      </c>
      <c r="B2176" s="5" t="s">
        <v>6268</v>
      </c>
      <c r="C2176" s="87">
        <v>3.01</v>
      </c>
    </row>
    <row r="2177" spans="1:3" ht="14.5" customHeight="1">
      <c r="A2177" s="5" t="s">
        <v>6269</v>
      </c>
      <c r="B2177" s="5" t="s">
        <v>3960</v>
      </c>
      <c r="C2177" s="87">
        <v>12.22</v>
      </c>
    </row>
    <row r="2178" spans="1:3" ht="14.5" customHeight="1">
      <c r="A2178" s="5" t="s">
        <v>6270</v>
      </c>
      <c r="B2178" s="5" t="s">
        <v>3962</v>
      </c>
      <c r="C2178" s="87">
        <v>4.18</v>
      </c>
    </row>
    <row r="2179" spans="1:3" ht="14.5" customHeight="1">
      <c r="A2179" s="5" t="s">
        <v>6271</v>
      </c>
      <c r="B2179" s="5" t="s">
        <v>3964</v>
      </c>
      <c r="C2179" s="87">
        <v>64.94</v>
      </c>
    </row>
    <row r="2180" spans="1:3" ht="14.5" customHeight="1">
      <c r="A2180" s="5" t="s">
        <v>6272</v>
      </c>
      <c r="B2180" s="5" t="s">
        <v>3966</v>
      </c>
      <c r="C2180" s="87">
        <v>22.9</v>
      </c>
    </row>
    <row r="2181" spans="1:3" ht="14.5" customHeight="1">
      <c r="A2181" s="5" t="s">
        <v>6273</v>
      </c>
      <c r="B2181" s="5" t="s">
        <v>3968</v>
      </c>
      <c r="C2181" s="87">
        <v>7.26</v>
      </c>
    </row>
    <row r="2182" spans="1:3" ht="14.5" customHeight="1">
      <c r="A2182" s="5" t="s">
        <v>6274</v>
      </c>
      <c r="B2182" s="5" t="s">
        <v>3970</v>
      </c>
      <c r="C2182" s="87">
        <v>152.13999999999999</v>
      </c>
    </row>
    <row r="2183" spans="1:3" ht="14.5" customHeight="1">
      <c r="A2183" s="5" t="s">
        <v>6275</v>
      </c>
      <c r="B2183" s="5" t="s">
        <v>3972</v>
      </c>
      <c r="C2183" s="87">
        <v>19.5</v>
      </c>
    </row>
    <row r="2184" spans="1:3" ht="14.5" customHeight="1">
      <c r="A2184" s="5" t="s">
        <v>6276</v>
      </c>
      <c r="B2184" s="5" t="s">
        <v>3974</v>
      </c>
      <c r="C2184" s="87">
        <v>32.229999999999997</v>
      </c>
    </row>
    <row r="2185" spans="1:3" ht="14.5" customHeight="1">
      <c r="A2185" s="5" t="s">
        <v>6277</v>
      </c>
      <c r="B2185" s="5" t="s">
        <v>3976</v>
      </c>
      <c r="C2185" s="87">
        <v>4.59</v>
      </c>
    </row>
    <row r="2186" spans="1:3" ht="14.5" customHeight="1">
      <c r="A2186" s="5" t="s">
        <v>6278</v>
      </c>
      <c r="B2186" s="5" t="s">
        <v>6279</v>
      </c>
      <c r="C2186" s="87">
        <v>2.39</v>
      </c>
    </row>
    <row r="2187" spans="1:3" ht="14.5" customHeight="1">
      <c r="A2187" s="5" t="s">
        <v>6280</v>
      </c>
      <c r="B2187" s="5" t="s">
        <v>3978</v>
      </c>
      <c r="C2187" s="87">
        <v>19.260000000000002</v>
      </c>
    </row>
    <row r="2188" spans="1:3" ht="14.5" customHeight="1">
      <c r="A2188" s="5" t="s">
        <v>6281</v>
      </c>
      <c r="B2188" s="5" t="s">
        <v>3980</v>
      </c>
      <c r="C2188" s="87">
        <v>24.6</v>
      </c>
    </row>
    <row r="2189" spans="1:3" ht="14.5" customHeight="1">
      <c r="A2189" s="5" t="s">
        <v>6282</v>
      </c>
      <c r="B2189" s="5" t="s">
        <v>3982</v>
      </c>
      <c r="C2189" s="87">
        <v>39.44</v>
      </c>
    </row>
    <row r="2190" spans="1:3" ht="14.5" customHeight="1">
      <c r="A2190" s="5" t="s">
        <v>6283</v>
      </c>
      <c r="B2190" s="5" t="s">
        <v>3984</v>
      </c>
      <c r="C2190" s="87">
        <v>19</v>
      </c>
    </row>
    <row r="2191" spans="1:3" ht="14.5" customHeight="1">
      <c r="A2191" s="5" t="s">
        <v>6284</v>
      </c>
      <c r="B2191" s="5" t="s">
        <v>3986</v>
      </c>
      <c r="C2191" s="87">
        <v>18.100000000000001</v>
      </c>
    </row>
    <row r="2192" spans="1:3" ht="14.5" customHeight="1">
      <c r="A2192" s="5" t="s">
        <v>6285</v>
      </c>
      <c r="B2192" s="5" t="s">
        <v>6286</v>
      </c>
      <c r="C2192" s="87">
        <v>6.23</v>
      </c>
    </row>
    <row r="2193" spans="1:3" ht="14.5" customHeight="1">
      <c r="A2193" s="5" t="s">
        <v>6287</v>
      </c>
      <c r="B2193" s="5" t="s">
        <v>3988</v>
      </c>
      <c r="C2193" s="87">
        <v>5.77</v>
      </c>
    </row>
    <row r="2194" spans="1:3" ht="14.5" customHeight="1">
      <c r="A2194"/>
      <c r="B2194"/>
      <c r="C2194" s="6"/>
    </row>
    <row r="2195" spans="1:3" ht="14.5" customHeight="1">
      <c r="A2195"/>
      <c r="B2195"/>
      <c r="C2195" s="6"/>
    </row>
    <row r="2196" spans="1:3" ht="14.5" customHeight="1">
      <c r="A2196"/>
      <c r="B2196"/>
      <c r="C2196" s="6"/>
    </row>
    <row r="2197" spans="1:3" ht="14.5" customHeight="1">
      <c r="A2197"/>
      <c r="B2197"/>
      <c r="C2197" s="6"/>
    </row>
    <row r="2198" spans="1:3" ht="14.5" customHeight="1">
      <c r="A2198"/>
      <c r="B2198"/>
      <c r="C2198" s="6"/>
    </row>
    <row r="2199" spans="1:3" ht="14.5" customHeight="1">
      <c r="A2199"/>
      <c r="B2199"/>
      <c r="C2199" s="6"/>
    </row>
    <row r="2200" spans="1:3" ht="14.5" customHeight="1">
      <c r="A2200"/>
      <c r="B2200"/>
      <c r="C2200" s="6"/>
    </row>
    <row r="2201" spans="1:3" ht="14.5" customHeight="1">
      <c r="A2201"/>
      <c r="B2201"/>
      <c r="C2201" s="6"/>
    </row>
    <row r="2202" spans="1:3" ht="14.5" customHeight="1">
      <c r="A2202"/>
      <c r="B2202"/>
      <c r="C2202" s="6"/>
    </row>
    <row r="2203" spans="1:3" ht="14.5" customHeight="1">
      <c r="A2203"/>
      <c r="B2203"/>
      <c r="C2203" s="6"/>
    </row>
    <row r="2204" spans="1:3" ht="14.5" customHeight="1">
      <c r="A2204"/>
      <c r="B2204"/>
      <c r="C2204" s="6"/>
    </row>
    <row r="2205" spans="1:3" ht="14.5" customHeight="1">
      <c r="A2205"/>
      <c r="B2205"/>
      <c r="C2205" s="6"/>
    </row>
    <row r="2206" spans="1:3" ht="14.5" customHeight="1">
      <c r="A2206"/>
      <c r="B2206"/>
      <c r="C2206" s="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61CE9-65DF-42E9-B17E-41D8F1B7CCC8}">
  <sheetPr codeName="工作表2"/>
  <dimension ref="A1:D2326"/>
  <sheetViews>
    <sheetView workbookViewId="0">
      <selection sqref="A1:XFD1048576"/>
    </sheetView>
  </sheetViews>
  <sheetFormatPr defaultColWidth="9.8984375" defaultRowHeight="17" customHeight="1"/>
  <cols>
    <col min="1" max="1" width="12.3984375" style="1" bestFit="1" customWidth="1"/>
    <col min="2" max="2" width="39.796875" style="1" bestFit="1" customWidth="1"/>
    <col min="3" max="3" width="18.8984375" style="1" bestFit="1" customWidth="1"/>
    <col min="4" max="4" width="11.09765625" style="1" bestFit="1" customWidth="1"/>
    <col min="5" max="16384" width="9.8984375" style="1"/>
  </cols>
  <sheetData>
    <row r="1" spans="1:4" ht="17" customHeight="1">
      <c r="A1" s="1" t="s">
        <v>4663</v>
      </c>
      <c r="B1" s="1" t="s">
        <v>4664</v>
      </c>
      <c r="C1" s="1" t="s">
        <v>4665</v>
      </c>
      <c r="D1" s="1" t="s">
        <v>4666</v>
      </c>
    </row>
    <row r="2" spans="1:4" ht="17" customHeight="1">
      <c r="A2" s="1">
        <v>1101</v>
      </c>
      <c r="B2" s="1" t="s">
        <v>27</v>
      </c>
      <c r="C2" s="1" t="s">
        <v>28</v>
      </c>
      <c r="D2" s="1" t="s">
        <v>26</v>
      </c>
    </row>
    <row r="3" spans="1:4" ht="17" customHeight="1">
      <c r="A3" s="1">
        <v>1102</v>
      </c>
      <c r="B3" s="1" t="s">
        <v>29</v>
      </c>
      <c r="C3" s="1" t="s">
        <v>30</v>
      </c>
      <c r="D3" s="1" t="s">
        <v>26</v>
      </c>
    </row>
    <row r="4" spans="1:4" ht="17" customHeight="1">
      <c r="A4" s="1">
        <v>1103</v>
      </c>
      <c r="B4" s="1" t="s">
        <v>31</v>
      </c>
      <c r="C4" s="1" t="s">
        <v>32</v>
      </c>
      <c r="D4" s="1" t="s">
        <v>26</v>
      </c>
    </row>
    <row r="5" spans="1:4" ht="17" customHeight="1">
      <c r="A5" s="1">
        <v>1104</v>
      </c>
      <c r="B5" s="1" t="s">
        <v>33</v>
      </c>
      <c r="C5" s="1" t="s">
        <v>34</v>
      </c>
      <c r="D5" s="1" t="s">
        <v>26</v>
      </c>
    </row>
    <row r="6" spans="1:4" ht="17" customHeight="1">
      <c r="A6" s="1">
        <v>1108</v>
      </c>
      <c r="B6" s="1" t="s">
        <v>35</v>
      </c>
      <c r="C6" s="1" t="s">
        <v>36</v>
      </c>
      <c r="D6" s="1" t="s">
        <v>26</v>
      </c>
    </row>
    <row r="7" spans="1:4" ht="17" customHeight="1">
      <c r="A7" s="1">
        <v>1109</v>
      </c>
      <c r="B7" s="1" t="s">
        <v>37</v>
      </c>
      <c r="C7" s="1" t="s">
        <v>38</v>
      </c>
      <c r="D7" s="1" t="s">
        <v>26</v>
      </c>
    </row>
    <row r="8" spans="1:4" ht="17" customHeight="1">
      <c r="A8" s="1">
        <v>1110</v>
      </c>
      <c r="B8" s="1" t="s">
        <v>39</v>
      </c>
      <c r="C8" s="1" t="s">
        <v>40</v>
      </c>
      <c r="D8" s="1" t="s">
        <v>26</v>
      </c>
    </row>
    <row r="9" spans="1:4" ht="17" customHeight="1">
      <c r="A9" s="1">
        <v>1201</v>
      </c>
      <c r="B9" s="1" t="s">
        <v>41</v>
      </c>
      <c r="C9" s="1" t="s">
        <v>42</v>
      </c>
      <c r="D9" s="1" t="s">
        <v>26</v>
      </c>
    </row>
    <row r="10" spans="1:4" ht="17" customHeight="1">
      <c r="A10" s="1">
        <v>1203</v>
      </c>
      <c r="B10" s="1" t="s">
        <v>43</v>
      </c>
      <c r="C10" s="1" t="s">
        <v>44</v>
      </c>
      <c r="D10" s="1" t="s">
        <v>26</v>
      </c>
    </row>
    <row r="11" spans="1:4" ht="17" customHeight="1">
      <c r="A11" s="1">
        <v>1210</v>
      </c>
      <c r="B11" s="1" t="s">
        <v>45</v>
      </c>
      <c r="C11" s="1" t="s">
        <v>46</v>
      </c>
      <c r="D11" s="1" t="s">
        <v>26</v>
      </c>
    </row>
    <row r="12" spans="1:4" ht="17" customHeight="1">
      <c r="A12" s="1">
        <v>1213</v>
      </c>
      <c r="B12" s="1" t="s">
        <v>47</v>
      </c>
      <c r="C12" s="1" t="s">
        <v>48</v>
      </c>
      <c r="D12" s="1" t="s">
        <v>26</v>
      </c>
    </row>
    <row r="13" spans="1:4" ht="17" customHeight="1">
      <c r="A13" s="1">
        <v>1215</v>
      </c>
      <c r="B13" s="1" t="s">
        <v>49</v>
      </c>
      <c r="C13" s="1" t="s">
        <v>50</v>
      </c>
      <c r="D13" s="1" t="s">
        <v>26</v>
      </c>
    </row>
    <row r="14" spans="1:4" ht="17" customHeight="1">
      <c r="A14" s="1">
        <v>1216</v>
      </c>
      <c r="B14" s="1" t="s">
        <v>51</v>
      </c>
      <c r="C14" s="1" t="s">
        <v>52</v>
      </c>
      <c r="D14" s="1" t="s">
        <v>26</v>
      </c>
    </row>
    <row r="15" spans="1:4" ht="17" customHeight="1">
      <c r="A15" s="1">
        <v>1217</v>
      </c>
      <c r="B15" s="1" t="s">
        <v>53</v>
      </c>
      <c r="C15" s="1" t="s">
        <v>54</v>
      </c>
      <c r="D15" s="1" t="s">
        <v>26</v>
      </c>
    </row>
    <row r="16" spans="1:4" ht="17" customHeight="1">
      <c r="A16" s="1">
        <v>1218</v>
      </c>
      <c r="B16" s="1" t="s">
        <v>55</v>
      </c>
      <c r="C16" s="1" t="s">
        <v>56</v>
      </c>
      <c r="D16" s="1" t="s">
        <v>26</v>
      </c>
    </row>
    <row r="17" spans="1:4" ht="17" customHeight="1">
      <c r="A17" s="1">
        <v>1219</v>
      </c>
      <c r="B17" s="1" t="s">
        <v>57</v>
      </c>
      <c r="C17" s="1" t="s">
        <v>58</v>
      </c>
      <c r="D17" s="1" t="s">
        <v>26</v>
      </c>
    </row>
    <row r="18" spans="1:4" ht="17" customHeight="1">
      <c r="A18" s="1">
        <v>1220</v>
      </c>
      <c r="B18" s="1" t="s">
        <v>59</v>
      </c>
      <c r="C18" s="1" t="s">
        <v>60</v>
      </c>
      <c r="D18" s="1" t="s">
        <v>26</v>
      </c>
    </row>
    <row r="19" spans="1:4" ht="17" customHeight="1">
      <c r="A19" s="1">
        <v>1225</v>
      </c>
      <c r="B19" s="1" t="s">
        <v>61</v>
      </c>
      <c r="C19" s="1" t="s">
        <v>62</v>
      </c>
      <c r="D19" s="1" t="s">
        <v>26</v>
      </c>
    </row>
    <row r="20" spans="1:4" ht="17" customHeight="1">
      <c r="A20" s="1">
        <v>1227</v>
      </c>
      <c r="B20" s="1" t="s">
        <v>63</v>
      </c>
      <c r="C20" s="1" t="s">
        <v>64</v>
      </c>
      <c r="D20" s="1" t="s">
        <v>26</v>
      </c>
    </row>
    <row r="21" spans="1:4" ht="17" customHeight="1">
      <c r="A21" s="1">
        <v>1229</v>
      </c>
      <c r="B21" s="1" t="s">
        <v>65</v>
      </c>
      <c r="C21" s="1" t="s">
        <v>66</v>
      </c>
      <c r="D21" s="1" t="s">
        <v>26</v>
      </c>
    </row>
    <row r="22" spans="1:4" ht="17" customHeight="1">
      <c r="A22" s="1">
        <v>1231</v>
      </c>
      <c r="B22" s="1" t="s">
        <v>67</v>
      </c>
      <c r="C22" s="1" t="s">
        <v>68</v>
      </c>
      <c r="D22" s="1" t="s">
        <v>26</v>
      </c>
    </row>
    <row r="23" spans="1:4" ht="17" customHeight="1">
      <c r="A23" s="1">
        <v>1232</v>
      </c>
      <c r="B23" s="1" t="s">
        <v>69</v>
      </c>
      <c r="C23" s="1" t="s">
        <v>70</v>
      </c>
      <c r="D23" s="1" t="s">
        <v>26</v>
      </c>
    </row>
    <row r="24" spans="1:4" ht="17" customHeight="1">
      <c r="A24" s="1">
        <v>1233</v>
      </c>
      <c r="B24" s="1" t="s">
        <v>71</v>
      </c>
      <c r="C24" s="1" t="s">
        <v>72</v>
      </c>
      <c r="D24" s="1" t="s">
        <v>26</v>
      </c>
    </row>
    <row r="25" spans="1:4" ht="17" customHeight="1">
      <c r="A25" s="1">
        <v>1234</v>
      </c>
      <c r="B25" s="1" t="s">
        <v>73</v>
      </c>
      <c r="C25" s="1" t="s">
        <v>74</v>
      </c>
      <c r="D25" s="1" t="s">
        <v>26</v>
      </c>
    </row>
    <row r="26" spans="1:4" ht="17" customHeight="1">
      <c r="A26" s="1">
        <v>1235</v>
      </c>
      <c r="B26" s="1" t="s">
        <v>75</v>
      </c>
      <c r="C26" s="1" t="s">
        <v>76</v>
      </c>
      <c r="D26" s="1" t="s">
        <v>26</v>
      </c>
    </row>
    <row r="27" spans="1:4" ht="17" customHeight="1">
      <c r="A27" s="1">
        <v>1236</v>
      </c>
      <c r="B27" s="1" t="s">
        <v>77</v>
      </c>
      <c r="C27" s="1" t="s">
        <v>78</v>
      </c>
      <c r="D27" s="1" t="s">
        <v>26</v>
      </c>
    </row>
    <row r="28" spans="1:4" ht="17" customHeight="1">
      <c r="A28" s="1">
        <v>1256</v>
      </c>
      <c r="B28" s="1" t="s">
        <v>79</v>
      </c>
      <c r="C28" s="1" t="s">
        <v>80</v>
      </c>
      <c r="D28" s="1" t="s">
        <v>26</v>
      </c>
    </row>
    <row r="29" spans="1:4" ht="17" customHeight="1">
      <c r="A29" s="1">
        <v>1301</v>
      </c>
      <c r="B29" s="1" t="s">
        <v>81</v>
      </c>
      <c r="C29" s="1" t="s">
        <v>82</v>
      </c>
      <c r="D29" s="1" t="s">
        <v>26</v>
      </c>
    </row>
    <row r="30" spans="1:4" ht="17" customHeight="1">
      <c r="A30" s="1">
        <v>1303</v>
      </c>
      <c r="B30" s="1" t="s">
        <v>83</v>
      </c>
      <c r="C30" s="1" t="s">
        <v>84</v>
      </c>
      <c r="D30" s="1" t="s">
        <v>26</v>
      </c>
    </row>
    <row r="31" spans="1:4" ht="17" customHeight="1">
      <c r="A31" s="1">
        <v>1304</v>
      </c>
      <c r="B31" s="1" t="s">
        <v>85</v>
      </c>
      <c r="C31" s="1" t="s">
        <v>86</v>
      </c>
      <c r="D31" s="1" t="s">
        <v>26</v>
      </c>
    </row>
    <row r="32" spans="1:4" ht="17" customHeight="1">
      <c r="A32" s="1">
        <v>1305</v>
      </c>
      <c r="B32" s="1" t="s">
        <v>87</v>
      </c>
      <c r="C32" s="1" t="s">
        <v>88</v>
      </c>
      <c r="D32" s="1" t="s">
        <v>26</v>
      </c>
    </row>
    <row r="33" spans="1:4" ht="17" customHeight="1">
      <c r="A33" s="1">
        <v>1307</v>
      </c>
      <c r="B33" s="1" t="s">
        <v>89</v>
      </c>
      <c r="C33" s="1" t="s">
        <v>90</v>
      </c>
      <c r="D33" s="1" t="s">
        <v>26</v>
      </c>
    </row>
    <row r="34" spans="1:4" ht="17" customHeight="1">
      <c r="A34" s="1">
        <v>1308</v>
      </c>
      <c r="B34" s="1" t="s">
        <v>91</v>
      </c>
      <c r="C34" s="1" t="s">
        <v>92</v>
      </c>
      <c r="D34" s="1" t="s">
        <v>26</v>
      </c>
    </row>
    <row r="35" spans="1:4" ht="17" customHeight="1">
      <c r="A35" s="1">
        <v>1309</v>
      </c>
      <c r="B35" s="1" t="s">
        <v>93</v>
      </c>
      <c r="C35" s="1" t="s">
        <v>94</v>
      </c>
      <c r="D35" s="1" t="s">
        <v>26</v>
      </c>
    </row>
    <row r="36" spans="1:4" ht="17" customHeight="1">
      <c r="A36" s="1">
        <v>1310</v>
      </c>
      <c r="B36" s="1" t="s">
        <v>95</v>
      </c>
      <c r="C36" s="1" t="s">
        <v>96</v>
      </c>
      <c r="D36" s="1" t="s">
        <v>26</v>
      </c>
    </row>
    <row r="37" spans="1:4" ht="17" customHeight="1">
      <c r="A37" s="1">
        <v>1312</v>
      </c>
      <c r="B37" s="1" t="s">
        <v>97</v>
      </c>
      <c r="C37" s="1" t="s">
        <v>98</v>
      </c>
      <c r="D37" s="1" t="s">
        <v>26</v>
      </c>
    </row>
    <row r="38" spans="1:4" ht="17" customHeight="1">
      <c r="A38" s="1">
        <v>1313</v>
      </c>
      <c r="B38" s="1" t="s">
        <v>99</v>
      </c>
      <c r="C38" s="1" t="s">
        <v>100</v>
      </c>
      <c r="D38" s="1" t="s">
        <v>26</v>
      </c>
    </row>
    <row r="39" spans="1:4" ht="17" customHeight="1">
      <c r="A39" s="1">
        <v>1314</v>
      </c>
      <c r="B39" s="1" t="s">
        <v>101</v>
      </c>
      <c r="C39" s="1" t="s">
        <v>102</v>
      </c>
      <c r="D39" s="1" t="s">
        <v>26</v>
      </c>
    </row>
    <row r="40" spans="1:4" ht="17" customHeight="1">
      <c r="A40" s="1">
        <v>1315</v>
      </c>
      <c r="B40" s="1" t="s">
        <v>103</v>
      </c>
      <c r="C40" s="1" t="s">
        <v>104</v>
      </c>
      <c r="D40" s="1" t="s">
        <v>26</v>
      </c>
    </row>
    <row r="41" spans="1:4" ht="17" customHeight="1">
      <c r="A41" s="1">
        <v>1316</v>
      </c>
      <c r="B41" s="1" t="s">
        <v>105</v>
      </c>
      <c r="C41" s="1" t="s">
        <v>106</v>
      </c>
      <c r="D41" s="1" t="s">
        <v>26</v>
      </c>
    </row>
    <row r="42" spans="1:4" ht="17" customHeight="1">
      <c r="A42" s="1">
        <v>1319</v>
      </c>
      <c r="B42" s="1" t="s">
        <v>107</v>
      </c>
      <c r="C42" s="1" t="s">
        <v>108</v>
      </c>
      <c r="D42" s="1" t="s">
        <v>26</v>
      </c>
    </row>
    <row r="43" spans="1:4" ht="17" customHeight="1">
      <c r="A43" s="1">
        <v>1321</v>
      </c>
      <c r="B43" s="1" t="s">
        <v>109</v>
      </c>
      <c r="C43" s="1" t="s">
        <v>110</v>
      </c>
      <c r="D43" s="1" t="s">
        <v>26</v>
      </c>
    </row>
    <row r="44" spans="1:4" ht="17" customHeight="1">
      <c r="A44" s="1">
        <v>1323</v>
      </c>
      <c r="B44" s="1" t="s">
        <v>111</v>
      </c>
      <c r="C44" s="1" t="s">
        <v>112</v>
      </c>
      <c r="D44" s="1" t="s">
        <v>26</v>
      </c>
    </row>
    <row r="45" spans="1:4" ht="17" customHeight="1">
      <c r="A45" s="1">
        <v>1324</v>
      </c>
      <c r="B45" s="1" t="s">
        <v>113</v>
      </c>
      <c r="C45" s="1" t="s">
        <v>114</v>
      </c>
      <c r="D45" s="1" t="s">
        <v>26</v>
      </c>
    </row>
    <row r="46" spans="1:4" ht="17" customHeight="1">
      <c r="A46" s="1">
        <v>1325</v>
      </c>
      <c r="B46" s="1" t="s">
        <v>115</v>
      </c>
      <c r="C46" s="1" t="s">
        <v>116</v>
      </c>
      <c r="D46" s="1" t="s">
        <v>26</v>
      </c>
    </row>
    <row r="47" spans="1:4" ht="17" customHeight="1">
      <c r="A47" s="1">
        <v>1326</v>
      </c>
      <c r="B47" s="1" t="s">
        <v>117</v>
      </c>
      <c r="C47" s="1" t="s">
        <v>118</v>
      </c>
      <c r="D47" s="1" t="s">
        <v>26</v>
      </c>
    </row>
    <row r="48" spans="1:4" ht="17" customHeight="1">
      <c r="A48" s="1">
        <v>1337</v>
      </c>
      <c r="B48" s="1" t="s">
        <v>119</v>
      </c>
      <c r="C48" s="1" t="s">
        <v>120</v>
      </c>
      <c r="D48" s="1" t="s">
        <v>26</v>
      </c>
    </row>
    <row r="49" spans="1:4" ht="17" customHeight="1">
      <c r="A49" s="1">
        <v>1338</v>
      </c>
      <c r="B49" s="1" t="s">
        <v>121</v>
      </c>
      <c r="C49" s="1" t="s">
        <v>122</v>
      </c>
      <c r="D49" s="1" t="s">
        <v>26</v>
      </c>
    </row>
    <row r="50" spans="1:4" ht="17" customHeight="1">
      <c r="A50" s="1">
        <v>1339</v>
      </c>
      <c r="B50" s="1" t="s">
        <v>123</v>
      </c>
      <c r="C50" s="1" t="s">
        <v>124</v>
      </c>
      <c r="D50" s="1" t="s">
        <v>26</v>
      </c>
    </row>
    <row r="51" spans="1:4" ht="17" customHeight="1">
      <c r="A51" s="1">
        <v>1340</v>
      </c>
      <c r="B51" s="1" t="s">
        <v>125</v>
      </c>
      <c r="C51" s="1" t="s">
        <v>126</v>
      </c>
      <c r="D51" s="1" t="s">
        <v>26</v>
      </c>
    </row>
    <row r="52" spans="1:4" ht="17" customHeight="1">
      <c r="A52" s="1">
        <v>1341</v>
      </c>
      <c r="B52" s="1" t="s">
        <v>127</v>
      </c>
      <c r="C52" s="1" t="s">
        <v>128</v>
      </c>
      <c r="D52" s="1" t="s">
        <v>26</v>
      </c>
    </row>
    <row r="53" spans="1:4" ht="17" customHeight="1">
      <c r="A53" s="1">
        <v>1402</v>
      </c>
      <c r="B53" s="1" t="s">
        <v>129</v>
      </c>
      <c r="C53" s="1" t="s">
        <v>130</v>
      </c>
      <c r="D53" s="1" t="s">
        <v>26</v>
      </c>
    </row>
    <row r="54" spans="1:4" ht="17" customHeight="1">
      <c r="A54" s="1">
        <v>1409</v>
      </c>
      <c r="B54" s="1" t="s">
        <v>131</v>
      </c>
      <c r="C54" s="1" t="s">
        <v>132</v>
      </c>
      <c r="D54" s="1" t="s">
        <v>26</v>
      </c>
    </row>
    <row r="55" spans="1:4" ht="17" customHeight="1">
      <c r="A55" s="1">
        <v>1410</v>
      </c>
      <c r="B55" s="1" t="s">
        <v>133</v>
      </c>
      <c r="C55" s="1" t="s">
        <v>134</v>
      </c>
      <c r="D55" s="1" t="s">
        <v>26</v>
      </c>
    </row>
    <row r="56" spans="1:4" ht="17" customHeight="1">
      <c r="A56" s="1">
        <v>1413</v>
      </c>
      <c r="B56" s="1" t="s">
        <v>135</v>
      </c>
      <c r="C56" s="1" t="s">
        <v>136</v>
      </c>
      <c r="D56" s="1" t="s">
        <v>26</v>
      </c>
    </row>
    <row r="57" spans="1:4" ht="17" customHeight="1">
      <c r="A57" s="1">
        <v>1414</v>
      </c>
      <c r="B57" s="1" t="s">
        <v>137</v>
      </c>
      <c r="C57" s="1" t="s">
        <v>138</v>
      </c>
      <c r="D57" s="1" t="s">
        <v>26</v>
      </c>
    </row>
    <row r="58" spans="1:4" ht="17" customHeight="1">
      <c r="A58" s="1">
        <v>1416</v>
      </c>
      <c r="B58" s="1" t="s">
        <v>139</v>
      </c>
      <c r="C58" s="1" t="s">
        <v>140</v>
      </c>
      <c r="D58" s="1" t="s">
        <v>26</v>
      </c>
    </row>
    <row r="59" spans="1:4" ht="17" customHeight="1">
      <c r="A59" s="1">
        <v>1417</v>
      </c>
      <c r="B59" s="1" t="s">
        <v>141</v>
      </c>
      <c r="C59" s="1" t="s">
        <v>142</v>
      </c>
      <c r="D59" s="1" t="s">
        <v>26</v>
      </c>
    </row>
    <row r="60" spans="1:4" ht="17" customHeight="1">
      <c r="A60" s="1">
        <v>1418</v>
      </c>
      <c r="B60" s="1" t="s">
        <v>143</v>
      </c>
      <c r="C60" s="1" t="s">
        <v>144</v>
      </c>
      <c r="D60" s="1" t="s">
        <v>26</v>
      </c>
    </row>
    <row r="61" spans="1:4" ht="17" customHeight="1">
      <c r="A61" s="1">
        <v>1419</v>
      </c>
      <c r="B61" s="1" t="s">
        <v>145</v>
      </c>
      <c r="C61" s="1" t="s">
        <v>146</v>
      </c>
      <c r="D61" s="1" t="s">
        <v>26</v>
      </c>
    </row>
    <row r="62" spans="1:4" ht="17" customHeight="1">
      <c r="A62" s="1">
        <v>1423</v>
      </c>
      <c r="B62" s="1" t="s">
        <v>147</v>
      </c>
      <c r="C62" s="1" t="s">
        <v>148</v>
      </c>
      <c r="D62" s="1" t="s">
        <v>26</v>
      </c>
    </row>
    <row r="63" spans="1:4" ht="17" customHeight="1">
      <c r="A63" s="1">
        <v>1432</v>
      </c>
      <c r="B63" s="1" t="s">
        <v>149</v>
      </c>
      <c r="C63" s="1" t="s">
        <v>150</v>
      </c>
      <c r="D63" s="1" t="s">
        <v>26</v>
      </c>
    </row>
    <row r="64" spans="1:4" ht="17" customHeight="1">
      <c r="A64" s="1">
        <v>1434</v>
      </c>
      <c r="B64" s="1" t="s">
        <v>151</v>
      </c>
      <c r="C64" s="1" t="s">
        <v>152</v>
      </c>
      <c r="D64" s="1" t="s">
        <v>26</v>
      </c>
    </row>
    <row r="65" spans="1:4" ht="17" customHeight="1">
      <c r="A65" s="1">
        <v>1435</v>
      </c>
      <c r="B65" s="1" t="s">
        <v>153</v>
      </c>
      <c r="C65" s="1" t="s">
        <v>154</v>
      </c>
      <c r="D65" s="1" t="s">
        <v>26</v>
      </c>
    </row>
    <row r="66" spans="1:4" ht="17" customHeight="1">
      <c r="A66" s="1">
        <v>1436</v>
      </c>
      <c r="B66" s="1" t="s">
        <v>155</v>
      </c>
      <c r="C66" s="1" t="s">
        <v>156</v>
      </c>
      <c r="D66" s="1" t="s">
        <v>26</v>
      </c>
    </row>
    <row r="67" spans="1:4" ht="17" customHeight="1">
      <c r="A67" s="1">
        <v>1437</v>
      </c>
      <c r="B67" s="1" t="s">
        <v>157</v>
      </c>
      <c r="C67" s="1" t="s">
        <v>158</v>
      </c>
      <c r="D67" s="1" t="s">
        <v>26</v>
      </c>
    </row>
    <row r="68" spans="1:4" ht="17" customHeight="1">
      <c r="A68" s="1">
        <v>1438</v>
      </c>
      <c r="B68" s="1" t="s">
        <v>159</v>
      </c>
      <c r="C68" s="1" t="s">
        <v>160</v>
      </c>
      <c r="D68" s="1" t="s">
        <v>26</v>
      </c>
    </row>
    <row r="69" spans="1:4" ht="17" customHeight="1">
      <c r="A69" s="1">
        <v>1439</v>
      </c>
      <c r="B69" s="1" t="s">
        <v>161</v>
      </c>
      <c r="C69" s="1" t="s">
        <v>162</v>
      </c>
      <c r="D69" s="1" t="s">
        <v>26</v>
      </c>
    </row>
    <row r="70" spans="1:4" ht="17" customHeight="1">
      <c r="A70" s="1">
        <v>1440</v>
      </c>
      <c r="B70" s="1" t="s">
        <v>163</v>
      </c>
      <c r="C70" s="1" t="s">
        <v>164</v>
      </c>
      <c r="D70" s="1" t="s">
        <v>26</v>
      </c>
    </row>
    <row r="71" spans="1:4" ht="17" customHeight="1">
      <c r="A71" s="1">
        <v>1441</v>
      </c>
      <c r="B71" s="1" t="s">
        <v>165</v>
      </c>
      <c r="C71" s="1" t="s">
        <v>166</v>
      </c>
      <c r="D71" s="1" t="s">
        <v>26</v>
      </c>
    </row>
    <row r="72" spans="1:4" ht="17" customHeight="1">
      <c r="A72" s="1">
        <v>1442</v>
      </c>
      <c r="B72" s="1" t="s">
        <v>167</v>
      </c>
      <c r="C72" s="1" t="s">
        <v>168</v>
      </c>
      <c r="D72" s="1" t="s">
        <v>26</v>
      </c>
    </row>
    <row r="73" spans="1:4" ht="17" customHeight="1">
      <c r="A73" s="1">
        <v>1443</v>
      </c>
      <c r="B73" s="1" t="s">
        <v>169</v>
      </c>
      <c r="C73" s="1" t="s">
        <v>170</v>
      </c>
      <c r="D73" s="1" t="s">
        <v>26</v>
      </c>
    </row>
    <row r="74" spans="1:4" ht="17" customHeight="1">
      <c r="A74" s="1">
        <v>1444</v>
      </c>
      <c r="B74" s="1" t="s">
        <v>171</v>
      </c>
      <c r="C74" s="1" t="s">
        <v>172</v>
      </c>
      <c r="D74" s="1" t="s">
        <v>26</v>
      </c>
    </row>
    <row r="75" spans="1:4" ht="17" customHeight="1">
      <c r="A75" s="1">
        <v>1445</v>
      </c>
      <c r="B75" s="1" t="s">
        <v>173</v>
      </c>
      <c r="C75" s="1" t="s">
        <v>174</v>
      </c>
      <c r="D75" s="1" t="s">
        <v>26</v>
      </c>
    </row>
    <row r="76" spans="1:4" ht="17" customHeight="1">
      <c r="A76" s="1">
        <v>1446</v>
      </c>
      <c r="B76" s="1" t="s">
        <v>175</v>
      </c>
      <c r="C76" s="1" t="s">
        <v>176</v>
      </c>
      <c r="D76" s="1" t="s">
        <v>26</v>
      </c>
    </row>
    <row r="77" spans="1:4" ht="17" customHeight="1">
      <c r="A77" s="1">
        <v>1447</v>
      </c>
      <c r="B77" s="1" t="s">
        <v>177</v>
      </c>
      <c r="C77" s="1" t="s">
        <v>178</v>
      </c>
      <c r="D77" s="1" t="s">
        <v>26</v>
      </c>
    </row>
    <row r="78" spans="1:4" ht="17" customHeight="1">
      <c r="A78" s="1">
        <v>1449</v>
      </c>
      <c r="B78" s="1" t="s">
        <v>179</v>
      </c>
      <c r="C78" s="1" t="s">
        <v>180</v>
      </c>
      <c r="D78" s="1" t="s">
        <v>26</v>
      </c>
    </row>
    <row r="79" spans="1:4" ht="17" customHeight="1">
      <c r="A79" s="1">
        <v>1451</v>
      </c>
      <c r="B79" s="1" t="s">
        <v>181</v>
      </c>
      <c r="C79" s="1" t="s">
        <v>182</v>
      </c>
      <c r="D79" s="1" t="s">
        <v>26</v>
      </c>
    </row>
    <row r="80" spans="1:4" ht="17" customHeight="1">
      <c r="A80" s="1">
        <v>1452</v>
      </c>
      <c r="B80" s="1" t="s">
        <v>183</v>
      </c>
      <c r="C80" s="1" t="s">
        <v>184</v>
      </c>
      <c r="D80" s="1" t="s">
        <v>26</v>
      </c>
    </row>
    <row r="81" spans="1:4" ht="17" customHeight="1">
      <c r="A81" s="1">
        <v>1453</v>
      </c>
      <c r="B81" s="1" t="s">
        <v>185</v>
      </c>
      <c r="C81" s="1" t="s">
        <v>186</v>
      </c>
      <c r="D81" s="1" t="s">
        <v>26</v>
      </c>
    </row>
    <row r="82" spans="1:4" ht="17" customHeight="1">
      <c r="A82" s="1">
        <v>1454</v>
      </c>
      <c r="B82" s="1" t="s">
        <v>187</v>
      </c>
      <c r="C82" s="1" t="s">
        <v>188</v>
      </c>
      <c r="D82" s="1" t="s">
        <v>26</v>
      </c>
    </row>
    <row r="83" spans="1:4" ht="17" customHeight="1">
      <c r="A83" s="1">
        <v>1455</v>
      </c>
      <c r="B83" s="1" t="s">
        <v>189</v>
      </c>
      <c r="C83" s="1" t="s">
        <v>190</v>
      </c>
      <c r="D83" s="1" t="s">
        <v>26</v>
      </c>
    </row>
    <row r="84" spans="1:4" ht="17" customHeight="1">
      <c r="A84" s="1">
        <v>1456</v>
      </c>
      <c r="B84" s="1" t="s">
        <v>191</v>
      </c>
      <c r="C84" s="1" t="s">
        <v>192</v>
      </c>
      <c r="D84" s="1" t="s">
        <v>26</v>
      </c>
    </row>
    <row r="85" spans="1:4" ht="17" customHeight="1">
      <c r="A85" s="1">
        <v>1457</v>
      </c>
      <c r="B85" s="1" t="s">
        <v>193</v>
      </c>
      <c r="C85" s="1" t="s">
        <v>194</v>
      </c>
      <c r="D85" s="1" t="s">
        <v>26</v>
      </c>
    </row>
    <row r="86" spans="1:4" ht="17" customHeight="1">
      <c r="A86" s="1">
        <v>1459</v>
      </c>
      <c r="B86" s="1" t="s">
        <v>195</v>
      </c>
      <c r="C86" s="1" t="s">
        <v>196</v>
      </c>
      <c r="D86" s="1" t="s">
        <v>26</v>
      </c>
    </row>
    <row r="87" spans="1:4" ht="17" customHeight="1">
      <c r="A87" s="1">
        <v>1460</v>
      </c>
      <c r="B87" s="1" t="s">
        <v>197</v>
      </c>
      <c r="C87" s="1" t="s">
        <v>198</v>
      </c>
      <c r="D87" s="1" t="s">
        <v>26</v>
      </c>
    </row>
    <row r="88" spans="1:4" ht="17" customHeight="1">
      <c r="A88" s="1">
        <v>1463</v>
      </c>
      <c r="B88" s="1" t="s">
        <v>199</v>
      </c>
      <c r="C88" s="1" t="s">
        <v>200</v>
      </c>
      <c r="D88" s="1" t="s">
        <v>26</v>
      </c>
    </row>
    <row r="89" spans="1:4" ht="17" customHeight="1">
      <c r="A89" s="1">
        <v>1464</v>
      </c>
      <c r="B89" s="1" t="s">
        <v>201</v>
      </c>
      <c r="C89" s="1" t="s">
        <v>202</v>
      </c>
      <c r="D89" s="1" t="s">
        <v>26</v>
      </c>
    </row>
    <row r="90" spans="1:4" ht="17" customHeight="1">
      <c r="A90" s="1">
        <v>1465</v>
      </c>
      <c r="B90" s="1" t="s">
        <v>203</v>
      </c>
      <c r="C90" s="1" t="s">
        <v>204</v>
      </c>
      <c r="D90" s="1" t="s">
        <v>26</v>
      </c>
    </row>
    <row r="91" spans="1:4" ht="17" customHeight="1">
      <c r="A91" s="1">
        <v>1466</v>
      </c>
      <c r="B91" s="1" t="s">
        <v>205</v>
      </c>
      <c r="C91" s="1" t="s">
        <v>206</v>
      </c>
      <c r="D91" s="1" t="s">
        <v>26</v>
      </c>
    </row>
    <row r="92" spans="1:4" ht="17" customHeight="1">
      <c r="A92" s="1">
        <v>1467</v>
      </c>
      <c r="B92" s="1" t="s">
        <v>207</v>
      </c>
      <c r="C92" s="1" t="s">
        <v>208</v>
      </c>
      <c r="D92" s="1" t="s">
        <v>26</v>
      </c>
    </row>
    <row r="93" spans="1:4" ht="17" customHeight="1">
      <c r="A93" s="1">
        <v>1468</v>
      </c>
      <c r="B93" s="1" t="s">
        <v>209</v>
      </c>
      <c r="C93" s="1" t="s">
        <v>210</v>
      </c>
      <c r="D93" s="1" t="s">
        <v>26</v>
      </c>
    </row>
    <row r="94" spans="1:4" ht="17" customHeight="1">
      <c r="A94" s="1">
        <v>1470</v>
      </c>
      <c r="B94" s="1" t="s">
        <v>211</v>
      </c>
      <c r="C94" s="1" t="s">
        <v>212</v>
      </c>
      <c r="D94" s="1" t="s">
        <v>26</v>
      </c>
    </row>
    <row r="95" spans="1:4" ht="17" customHeight="1">
      <c r="A95" s="1">
        <v>1471</v>
      </c>
      <c r="B95" s="1" t="s">
        <v>213</v>
      </c>
      <c r="C95" s="1" t="s">
        <v>214</v>
      </c>
      <c r="D95" s="1" t="s">
        <v>26</v>
      </c>
    </row>
    <row r="96" spans="1:4" ht="17" customHeight="1">
      <c r="A96" s="1">
        <v>1472</v>
      </c>
      <c r="B96" s="1" t="s">
        <v>215</v>
      </c>
      <c r="C96" s="1" t="s">
        <v>216</v>
      </c>
      <c r="D96" s="1" t="s">
        <v>26</v>
      </c>
    </row>
    <row r="97" spans="1:4" ht="17" customHeight="1">
      <c r="A97" s="1">
        <v>1473</v>
      </c>
      <c r="B97" s="1" t="s">
        <v>217</v>
      </c>
      <c r="C97" s="1" t="s">
        <v>218</v>
      </c>
      <c r="D97" s="1" t="s">
        <v>26</v>
      </c>
    </row>
    <row r="98" spans="1:4" ht="17" customHeight="1">
      <c r="A98" s="1">
        <v>1474</v>
      </c>
      <c r="B98" s="1" t="s">
        <v>219</v>
      </c>
      <c r="C98" s="1" t="s">
        <v>220</v>
      </c>
      <c r="D98" s="1" t="s">
        <v>26</v>
      </c>
    </row>
    <row r="99" spans="1:4" ht="17" customHeight="1">
      <c r="A99" s="1">
        <v>1475</v>
      </c>
      <c r="B99" s="1" t="s">
        <v>221</v>
      </c>
      <c r="C99" s="1" t="s">
        <v>222</v>
      </c>
      <c r="D99" s="1" t="s">
        <v>26</v>
      </c>
    </row>
    <row r="100" spans="1:4" ht="17" customHeight="1">
      <c r="A100" s="1">
        <v>1476</v>
      </c>
      <c r="B100" s="1" t="s">
        <v>223</v>
      </c>
      <c r="C100" s="1" t="s">
        <v>224</v>
      </c>
      <c r="D100" s="1" t="s">
        <v>26</v>
      </c>
    </row>
    <row r="101" spans="1:4" ht="17" customHeight="1">
      <c r="A101" s="1">
        <v>1477</v>
      </c>
      <c r="B101" s="1" t="s">
        <v>225</v>
      </c>
      <c r="C101" s="1" t="s">
        <v>226</v>
      </c>
      <c r="D101" s="1" t="s">
        <v>26</v>
      </c>
    </row>
    <row r="102" spans="1:4" ht="17" customHeight="1">
      <c r="A102" s="1">
        <v>1503</v>
      </c>
      <c r="B102" s="1" t="s">
        <v>227</v>
      </c>
      <c r="C102" s="1" t="s">
        <v>228</v>
      </c>
      <c r="D102" s="1" t="s">
        <v>26</v>
      </c>
    </row>
    <row r="103" spans="1:4" ht="17" customHeight="1">
      <c r="A103" s="1">
        <v>1504</v>
      </c>
      <c r="B103" s="1" t="s">
        <v>229</v>
      </c>
      <c r="C103" s="1" t="s">
        <v>230</v>
      </c>
      <c r="D103" s="1" t="s">
        <v>26</v>
      </c>
    </row>
    <row r="104" spans="1:4" ht="17" customHeight="1">
      <c r="A104" s="1">
        <v>1506</v>
      </c>
      <c r="B104" s="1" t="s">
        <v>231</v>
      </c>
      <c r="C104" s="1" t="s">
        <v>232</v>
      </c>
      <c r="D104" s="1" t="s">
        <v>26</v>
      </c>
    </row>
    <row r="105" spans="1:4" ht="17" customHeight="1">
      <c r="A105" s="1">
        <v>1507</v>
      </c>
      <c r="B105" s="1" t="s">
        <v>233</v>
      </c>
      <c r="C105" s="1" t="s">
        <v>234</v>
      </c>
      <c r="D105" s="1" t="s">
        <v>26</v>
      </c>
    </row>
    <row r="106" spans="1:4" ht="17" customHeight="1">
      <c r="A106" s="1">
        <v>1512</v>
      </c>
      <c r="B106" s="1" t="s">
        <v>235</v>
      </c>
      <c r="C106" s="1" t="s">
        <v>236</v>
      </c>
      <c r="D106" s="1" t="s">
        <v>26</v>
      </c>
    </row>
    <row r="107" spans="1:4" ht="17" customHeight="1">
      <c r="A107" s="1">
        <v>1513</v>
      </c>
      <c r="B107" s="1" t="s">
        <v>237</v>
      </c>
      <c r="C107" s="1" t="s">
        <v>238</v>
      </c>
      <c r="D107" s="1" t="s">
        <v>26</v>
      </c>
    </row>
    <row r="108" spans="1:4" ht="17" customHeight="1">
      <c r="A108" s="1">
        <v>1514</v>
      </c>
      <c r="B108" s="1" t="s">
        <v>239</v>
      </c>
      <c r="C108" s="1" t="s">
        <v>240</v>
      </c>
      <c r="D108" s="1" t="s">
        <v>26</v>
      </c>
    </row>
    <row r="109" spans="1:4" ht="17" customHeight="1">
      <c r="A109" s="1">
        <v>1515</v>
      </c>
      <c r="B109" s="1" t="s">
        <v>241</v>
      </c>
      <c r="C109" s="1" t="s">
        <v>242</v>
      </c>
      <c r="D109" s="1" t="s">
        <v>26</v>
      </c>
    </row>
    <row r="110" spans="1:4" ht="17" customHeight="1">
      <c r="A110" s="1">
        <v>1516</v>
      </c>
      <c r="B110" s="1" t="s">
        <v>243</v>
      </c>
      <c r="C110" s="1" t="s">
        <v>244</v>
      </c>
      <c r="D110" s="1" t="s">
        <v>26</v>
      </c>
    </row>
    <row r="111" spans="1:4" ht="17" customHeight="1">
      <c r="A111" s="1">
        <v>1517</v>
      </c>
      <c r="B111" s="1" t="s">
        <v>245</v>
      </c>
      <c r="C111" s="1" t="s">
        <v>246</v>
      </c>
      <c r="D111" s="1" t="s">
        <v>26</v>
      </c>
    </row>
    <row r="112" spans="1:4" ht="17" customHeight="1">
      <c r="A112" s="1">
        <v>1519</v>
      </c>
      <c r="B112" s="1" t="s">
        <v>247</v>
      </c>
      <c r="C112" s="1" t="s">
        <v>248</v>
      </c>
      <c r="D112" s="1" t="s">
        <v>26</v>
      </c>
    </row>
    <row r="113" spans="1:4" ht="17" customHeight="1">
      <c r="A113" s="1">
        <v>1521</v>
      </c>
      <c r="B113" s="1" t="s">
        <v>249</v>
      </c>
      <c r="C113" s="1" t="s">
        <v>250</v>
      </c>
      <c r="D113" s="1" t="s">
        <v>26</v>
      </c>
    </row>
    <row r="114" spans="1:4" ht="17" customHeight="1">
      <c r="A114" s="1">
        <v>1522</v>
      </c>
      <c r="B114" s="1" t="s">
        <v>251</v>
      </c>
      <c r="C114" s="1" t="s">
        <v>252</v>
      </c>
      <c r="D114" s="1" t="s">
        <v>26</v>
      </c>
    </row>
    <row r="115" spans="1:4" ht="17" customHeight="1">
      <c r="A115" s="1">
        <v>1524</v>
      </c>
      <c r="B115" s="1" t="s">
        <v>253</v>
      </c>
      <c r="C115" s="1" t="s">
        <v>254</v>
      </c>
      <c r="D115" s="1" t="s">
        <v>26</v>
      </c>
    </row>
    <row r="116" spans="1:4" ht="17" customHeight="1">
      <c r="A116" s="1">
        <v>1525</v>
      </c>
      <c r="B116" s="1" t="s">
        <v>255</v>
      </c>
      <c r="C116" s="1" t="s">
        <v>256</v>
      </c>
      <c r="D116" s="1" t="s">
        <v>26</v>
      </c>
    </row>
    <row r="117" spans="1:4" ht="17" customHeight="1">
      <c r="A117" s="1">
        <v>1526</v>
      </c>
      <c r="B117" s="1" t="s">
        <v>257</v>
      </c>
      <c r="C117" s="1" t="s">
        <v>258</v>
      </c>
      <c r="D117" s="1" t="s">
        <v>26</v>
      </c>
    </row>
    <row r="118" spans="1:4" ht="17" customHeight="1">
      <c r="A118" s="1">
        <v>1527</v>
      </c>
      <c r="B118" s="1" t="s">
        <v>259</v>
      </c>
      <c r="C118" s="1" t="s">
        <v>260</v>
      </c>
      <c r="D118" s="1" t="s">
        <v>26</v>
      </c>
    </row>
    <row r="119" spans="1:4" ht="17" customHeight="1">
      <c r="A119" s="1">
        <v>1528</v>
      </c>
      <c r="B119" s="1" t="s">
        <v>261</v>
      </c>
      <c r="C119" s="1" t="s">
        <v>262</v>
      </c>
      <c r="D119" s="1" t="s">
        <v>26</v>
      </c>
    </row>
    <row r="120" spans="1:4" ht="17" customHeight="1">
      <c r="A120" s="1">
        <v>1529</v>
      </c>
      <c r="B120" s="1" t="s">
        <v>263</v>
      </c>
      <c r="C120" s="1" t="s">
        <v>264</v>
      </c>
      <c r="D120" s="1" t="s">
        <v>26</v>
      </c>
    </row>
    <row r="121" spans="1:4" ht="17" customHeight="1">
      <c r="A121" s="1">
        <v>1530</v>
      </c>
      <c r="B121" s="1" t="s">
        <v>265</v>
      </c>
      <c r="C121" s="1" t="s">
        <v>266</v>
      </c>
      <c r="D121" s="1" t="s">
        <v>26</v>
      </c>
    </row>
    <row r="122" spans="1:4" ht="17" customHeight="1">
      <c r="A122" s="1">
        <v>1531</v>
      </c>
      <c r="B122" s="1" t="s">
        <v>267</v>
      </c>
      <c r="C122" s="1" t="s">
        <v>268</v>
      </c>
      <c r="D122" s="1" t="s">
        <v>26</v>
      </c>
    </row>
    <row r="123" spans="1:4" ht="17" customHeight="1">
      <c r="A123" s="1">
        <v>1532</v>
      </c>
      <c r="B123" s="1" t="s">
        <v>269</v>
      </c>
      <c r="C123" s="1" t="s">
        <v>270</v>
      </c>
      <c r="D123" s="1" t="s">
        <v>26</v>
      </c>
    </row>
    <row r="124" spans="1:4" ht="17" customHeight="1">
      <c r="A124" s="1">
        <v>1533</v>
      </c>
      <c r="B124" s="1" t="s">
        <v>271</v>
      </c>
      <c r="C124" s="1" t="s">
        <v>272</v>
      </c>
      <c r="D124" s="1" t="s">
        <v>26</v>
      </c>
    </row>
    <row r="125" spans="1:4" ht="17" customHeight="1">
      <c r="A125" s="1">
        <v>1535</v>
      </c>
      <c r="B125" s="1" t="s">
        <v>273</v>
      </c>
      <c r="C125" s="1" t="s">
        <v>274</v>
      </c>
      <c r="D125" s="1" t="s">
        <v>26</v>
      </c>
    </row>
    <row r="126" spans="1:4" ht="17" customHeight="1">
      <c r="A126" s="1">
        <v>1536</v>
      </c>
      <c r="B126" s="1" t="s">
        <v>275</v>
      </c>
      <c r="C126" s="1" t="s">
        <v>276</v>
      </c>
      <c r="D126" s="1" t="s">
        <v>26</v>
      </c>
    </row>
    <row r="127" spans="1:4" ht="17" customHeight="1">
      <c r="A127" s="1">
        <v>1537</v>
      </c>
      <c r="B127" s="1" t="s">
        <v>277</v>
      </c>
      <c r="C127" s="1" t="s">
        <v>278</v>
      </c>
      <c r="D127" s="1" t="s">
        <v>26</v>
      </c>
    </row>
    <row r="128" spans="1:4" ht="17" customHeight="1">
      <c r="A128" s="1">
        <v>1538</v>
      </c>
      <c r="B128" s="1" t="s">
        <v>279</v>
      </c>
      <c r="C128" s="1" t="s">
        <v>280</v>
      </c>
      <c r="D128" s="1" t="s">
        <v>26</v>
      </c>
    </row>
    <row r="129" spans="1:4" ht="17" customHeight="1">
      <c r="A129" s="1">
        <v>1539</v>
      </c>
      <c r="B129" s="1" t="s">
        <v>281</v>
      </c>
      <c r="C129" s="1" t="s">
        <v>282</v>
      </c>
      <c r="D129" s="1" t="s">
        <v>26</v>
      </c>
    </row>
    <row r="130" spans="1:4" ht="17" customHeight="1">
      <c r="A130" s="1">
        <v>1540</v>
      </c>
      <c r="B130" s="1" t="s">
        <v>283</v>
      </c>
      <c r="C130" s="1" t="s">
        <v>284</v>
      </c>
      <c r="D130" s="1" t="s">
        <v>26</v>
      </c>
    </row>
    <row r="131" spans="1:4" ht="17" customHeight="1">
      <c r="A131" s="1">
        <v>1541</v>
      </c>
      <c r="B131" s="1" t="s">
        <v>285</v>
      </c>
      <c r="C131" s="1" t="s">
        <v>286</v>
      </c>
      <c r="D131" s="1" t="s">
        <v>26</v>
      </c>
    </row>
    <row r="132" spans="1:4" ht="17" customHeight="1">
      <c r="A132" s="1">
        <v>1558</v>
      </c>
      <c r="B132" s="1" t="s">
        <v>287</v>
      </c>
      <c r="C132" s="1" t="s">
        <v>288</v>
      </c>
      <c r="D132" s="1" t="s">
        <v>26</v>
      </c>
    </row>
    <row r="133" spans="1:4" ht="17" customHeight="1">
      <c r="A133" s="1">
        <v>1560</v>
      </c>
      <c r="B133" s="1" t="s">
        <v>289</v>
      </c>
      <c r="C133" s="1" t="s">
        <v>290</v>
      </c>
      <c r="D133" s="1" t="s">
        <v>26</v>
      </c>
    </row>
    <row r="134" spans="1:4" ht="17" customHeight="1">
      <c r="A134" s="1">
        <v>1568</v>
      </c>
      <c r="B134" s="1" t="s">
        <v>291</v>
      </c>
      <c r="C134" s="1" t="s">
        <v>292</v>
      </c>
      <c r="D134" s="1" t="s">
        <v>26</v>
      </c>
    </row>
    <row r="135" spans="1:4" ht="17" customHeight="1">
      <c r="A135" s="1">
        <v>1582</v>
      </c>
      <c r="B135" s="1" t="s">
        <v>293</v>
      </c>
      <c r="C135" s="1" t="s">
        <v>294</v>
      </c>
      <c r="D135" s="1" t="s">
        <v>26</v>
      </c>
    </row>
    <row r="136" spans="1:4" ht="17" customHeight="1">
      <c r="A136" s="1">
        <v>1583</v>
      </c>
      <c r="B136" s="1" t="s">
        <v>295</v>
      </c>
      <c r="C136" s="1" t="s">
        <v>296</v>
      </c>
      <c r="D136" s="1" t="s">
        <v>26</v>
      </c>
    </row>
    <row r="137" spans="1:4" ht="17" customHeight="1">
      <c r="A137" s="1">
        <v>1587</v>
      </c>
      <c r="B137" s="1" t="s">
        <v>297</v>
      </c>
      <c r="C137" s="1" t="s">
        <v>298</v>
      </c>
      <c r="D137" s="1" t="s">
        <v>26</v>
      </c>
    </row>
    <row r="138" spans="1:4" ht="17" customHeight="1">
      <c r="A138" s="1">
        <v>1589</v>
      </c>
      <c r="B138" s="1" t="s">
        <v>299</v>
      </c>
      <c r="C138" s="1" t="s">
        <v>300</v>
      </c>
      <c r="D138" s="1" t="s">
        <v>26</v>
      </c>
    </row>
    <row r="139" spans="1:4" ht="17" customHeight="1">
      <c r="A139" s="1">
        <v>1590</v>
      </c>
      <c r="B139" s="1" t="s">
        <v>301</v>
      </c>
      <c r="C139" s="1" t="s">
        <v>302</v>
      </c>
      <c r="D139" s="1" t="s">
        <v>26</v>
      </c>
    </row>
    <row r="140" spans="1:4" ht="17" customHeight="1">
      <c r="A140" s="1">
        <v>1592</v>
      </c>
      <c r="B140" s="1" t="s">
        <v>303</v>
      </c>
      <c r="C140" s="1" t="s">
        <v>304</v>
      </c>
      <c r="D140" s="1" t="s">
        <v>26</v>
      </c>
    </row>
    <row r="141" spans="1:4" ht="17" customHeight="1">
      <c r="A141" s="1">
        <v>1598</v>
      </c>
      <c r="B141" s="1" t="s">
        <v>305</v>
      </c>
      <c r="C141" s="1" t="s">
        <v>306</v>
      </c>
      <c r="D141" s="1" t="s">
        <v>26</v>
      </c>
    </row>
    <row r="142" spans="1:4" ht="17" customHeight="1">
      <c r="A142" s="1">
        <v>1603</v>
      </c>
      <c r="B142" s="1" t="s">
        <v>307</v>
      </c>
      <c r="C142" s="1" t="s">
        <v>308</v>
      </c>
      <c r="D142" s="1" t="s">
        <v>26</v>
      </c>
    </row>
    <row r="143" spans="1:4" ht="17" customHeight="1">
      <c r="A143" s="1">
        <v>1604</v>
      </c>
      <c r="B143" s="1" t="s">
        <v>309</v>
      </c>
      <c r="C143" s="1" t="s">
        <v>310</v>
      </c>
      <c r="D143" s="1" t="s">
        <v>26</v>
      </c>
    </row>
    <row r="144" spans="1:4" ht="17" customHeight="1">
      <c r="A144" s="1">
        <v>1605</v>
      </c>
      <c r="B144" s="1" t="s">
        <v>311</v>
      </c>
      <c r="C144" s="1" t="s">
        <v>312</v>
      </c>
      <c r="D144" s="1" t="s">
        <v>26</v>
      </c>
    </row>
    <row r="145" spans="1:4" ht="17" customHeight="1">
      <c r="A145" s="1">
        <v>1608</v>
      </c>
      <c r="B145" s="1" t="s">
        <v>313</v>
      </c>
      <c r="C145" s="1" t="s">
        <v>314</v>
      </c>
      <c r="D145" s="1" t="s">
        <v>26</v>
      </c>
    </row>
    <row r="146" spans="1:4" ht="17" customHeight="1">
      <c r="A146" s="1">
        <v>1609</v>
      </c>
      <c r="B146" s="1" t="s">
        <v>315</v>
      </c>
      <c r="C146" s="1" t="s">
        <v>316</v>
      </c>
      <c r="D146" s="1" t="s">
        <v>26</v>
      </c>
    </row>
    <row r="147" spans="1:4" ht="17" customHeight="1">
      <c r="A147" s="1">
        <v>1611</v>
      </c>
      <c r="B147" s="1" t="s">
        <v>317</v>
      </c>
      <c r="C147" s="1" t="s">
        <v>318</v>
      </c>
      <c r="D147" s="1" t="s">
        <v>26</v>
      </c>
    </row>
    <row r="148" spans="1:4" ht="17" customHeight="1">
      <c r="A148" s="1">
        <v>1612</v>
      </c>
      <c r="B148" s="1" t="s">
        <v>319</v>
      </c>
      <c r="C148" s="1" t="s">
        <v>320</v>
      </c>
      <c r="D148" s="1" t="s">
        <v>26</v>
      </c>
    </row>
    <row r="149" spans="1:4" ht="17" customHeight="1">
      <c r="A149" s="1">
        <v>1614</v>
      </c>
      <c r="B149" s="1" t="s">
        <v>321</v>
      </c>
      <c r="C149" s="1" t="s">
        <v>322</v>
      </c>
      <c r="D149" s="1" t="s">
        <v>26</v>
      </c>
    </row>
    <row r="150" spans="1:4" ht="17" customHeight="1">
      <c r="A150" s="1">
        <v>1615</v>
      </c>
      <c r="B150" s="1" t="s">
        <v>323</v>
      </c>
      <c r="C150" s="1" t="s">
        <v>324</v>
      </c>
      <c r="D150" s="1" t="s">
        <v>26</v>
      </c>
    </row>
    <row r="151" spans="1:4" ht="17" customHeight="1">
      <c r="A151" s="1">
        <v>1616</v>
      </c>
      <c r="B151" s="1" t="s">
        <v>325</v>
      </c>
      <c r="C151" s="1" t="s">
        <v>326</v>
      </c>
      <c r="D151" s="1" t="s">
        <v>26</v>
      </c>
    </row>
    <row r="152" spans="1:4" ht="17" customHeight="1">
      <c r="A152" s="1">
        <v>1617</v>
      </c>
      <c r="B152" s="1" t="s">
        <v>327</v>
      </c>
      <c r="C152" s="1" t="s">
        <v>328</v>
      </c>
      <c r="D152" s="1" t="s">
        <v>26</v>
      </c>
    </row>
    <row r="153" spans="1:4" ht="17" customHeight="1">
      <c r="A153" s="1">
        <v>1618</v>
      </c>
      <c r="B153" s="1" t="s">
        <v>329</v>
      </c>
      <c r="C153" s="1" t="s">
        <v>330</v>
      </c>
      <c r="D153" s="1" t="s">
        <v>26</v>
      </c>
    </row>
    <row r="154" spans="1:4" ht="17" customHeight="1">
      <c r="A154" s="1">
        <v>1626</v>
      </c>
      <c r="B154" s="1" t="s">
        <v>331</v>
      </c>
      <c r="C154" s="1" t="s">
        <v>332</v>
      </c>
      <c r="D154" s="1" t="s">
        <v>26</v>
      </c>
    </row>
    <row r="155" spans="1:4" ht="17" customHeight="1">
      <c r="A155" s="1">
        <v>1701</v>
      </c>
      <c r="B155" s="1" t="s">
        <v>333</v>
      </c>
      <c r="C155" s="1" t="s">
        <v>334</v>
      </c>
      <c r="D155" s="1" t="s">
        <v>26</v>
      </c>
    </row>
    <row r="156" spans="1:4" ht="17" customHeight="1">
      <c r="A156" s="1">
        <v>1702</v>
      </c>
      <c r="B156" s="1" t="s">
        <v>335</v>
      </c>
      <c r="C156" s="1" t="s">
        <v>336</v>
      </c>
      <c r="D156" s="1" t="s">
        <v>26</v>
      </c>
    </row>
    <row r="157" spans="1:4" ht="17" customHeight="1">
      <c r="A157" s="1">
        <v>1707</v>
      </c>
      <c r="B157" s="1" t="s">
        <v>337</v>
      </c>
      <c r="C157" s="1" t="s">
        <v>338</v>
      </c>
      <c r="D157" s="1" t="s">
        <v>26</v>
      </c>
    </row>
    <row r="158" spans="1:4" ht="17" customHeight="1">
      <c r="A158" s="1">
        <v>1708</v>
      </c>
      <c r="B158" s="1" t="s">
        <v>339</v>
      </c>
      <c r="C158" s="1" t="s">
        <v>340</v>
      </c>
      <c r="D158" s="1" t="s">
        <v>26</v>
      </c>
    </row>
    <row r="159" spans="1:4" ht="17" customHeight="1">
      <c r="A159" s="1">
        <v>1709</v>
      </c>
      <c r="B159" s="1" t="s">
        <v>341</v>
      </c>
      <c r="C159" s="1" t="s">
        <v>342</v>
      </c>
      <c r="D159" s="1" t="s">
        <v>26</v>
      </c>
    </row>
    <row r="160" spans="1:4" ht="17" customHeight="1">
      <c r="A160" s="1">
        <v>1710</v>
      </c>
      <c r="B160" s="1" t="s">
        <v>343</v>
      </c>
      <c r="C160" s="1" t="s">
        <v>344</v>
      </c>
      <c r="D160" s="1" t="s">
        <v>26</v>
      </c>
    </row>
    <row r="161" spans="1:4" ht="17" customHeight="1">
      <c r="A161" s="1">
        <v>1711</v>
      </c>
      <c r="B161" s="1" t="s">
        <v>345</v>
      </c>
      <c r="C161" s="1" t="s">
        <v>346</v>
      </c>
      <c r="D161" s="1" t="s">
        <v>26</v>
      </c>
    </row>
    <row r="162" spans="1:4" ht="17" customHeight="1">
      <c r="A162" s="1">
        <v>1712</v>
      </c>
      <c r="B162" s="1" t="s">
        <v>347</v>
      </c>
      <c r="C162" s="1" t="s">
        <v>348</v>
      </c>
      <c r="D162" s="1" t="s">
        <v>26</v>
      </c>
    </row>
    <row r="163" spans="1:4" ht="17" customHeight="1">
      <c r="A163" s="1">
        <v>1713</v>
      </c>
      <c r="B163" s="1" t="s">
        <v>349</v>
      </c>
      <c r="C163" s="1" t="s">
        <v>350</v>
      </c>
      <c r="D163" s="1" t="s">
        <v>26</v>
      </c>
    </row>
    <row r="164" spans="1:4" ht="17" customHeight="1">
      <c r="A164" s="1">
        <v>1714</v>
      </c>
      <c r="B164" s="1" t="s">
        <v>351</v>
      </c>
      <c r="C164" s="1" t="s">
        <v>352</v>
      </c>
      <c r="D164" s="1" t="s">
        <v>26</v>
      </c>
    </row>
    <row r="165" spans="1:4" ht="17" customHeight="1">
      <c r="A165" s="1">
        <v>1717</v>
      </c>
      <c r="B165" s="1" t="s">
        <v>353</v>
      </c>
      <c r="C165" s="1" t="s">
        <v>354</v>
      </c>
      <c r="D165" s="1" t="s">
        <v>26</v>
      </c>
    </row>
    <row r="166" spans="1:4" ht="17" customHeight="1">
      <c r="A166" s="1">
        <v>1718</v>
      </c>
      <c r="B166" s="1" t="s">
        <v>355</v>
      </c>
      <c r="C166" s="1" t="s">
        <v>356</v>
      </c>
      <c r="D166" s="1" t="s">
        <v>26</v>
      </c>
    </row>
    <row r="167" spans="1:4" ht="17" customHeight="1">
      <c r="A167" s="1">
        <v>1720</v>
      </c>
      <c r="B167" s="1" t="s">
        <v>357</v>
      </c>
      <c r="C167" s="1" t="s">
        <v>358</v>
      </c>
      <c r="D167" s="1" t="s">
        <v>26</v>
      </c>
    </row>
    <row r="168" spans="1:4" ht="17" customHeight="1">
      <c r="A168" s="1">
        <v>1721</v>
      </c>
      <c r="B168" s="1" t="s">
        <v>359</v>
      </c>
      <c r="C168" s="1" t="s">
        <v>360</v>
      </c>
      <c r="D168" s="1" t="s">
        <v>26</v>
      </c>
    </row>
    <row r="169" spans="1:4" ht="17" customHeight="1">
      <c r="A169" s="1">
        <v>1722</v>
      </c>
      <c r="B169" s="1" t="s">
        <v>361</v>
      </c>
      <c r="C169" s="1" t="s">
        <v>362</v>
      </c>
      <c r="D169" s="1" t="s">
        <v>26</v>
      </c>
    </row>
    <row r="170" spans="1:4" ht="17" customHeight="1">
      <c r="A170" s="1">
        <v>1723</v>
      </c>
      <c r="B170" s="1" t="s">
        <v>363</v>
      </c>
      <c r="C170" s="1" t="s">
        <v>364</v>
      </c>
      <c r="D170" s="1" t="s">
        <v>26</v>
      </c>
    </row>
    <row r="171" spans="1:4" ht="17" customHeight="1">
      <c r="A171" s="1">
        <v>1724</v>
      </c>
      <c r="B171" s="1" t="s">
        <v>365</v>
      </c>
      <c r="C171" s="1" t="s">
        <v>366</v>
      </c>
      <c r="D171" s="1" t="s">
        <v>26</v>
      </c>
    </row>
    <row r="172" spans="1:4" ht="17" customHeight="1">
      <c r="A172" s="1">
        <v>1725</v>
      </c>
      <c r="B172" s="1" t="s">
        <v>367</v>
      </c>
      <c r="C172" s="1" t="s">
        <v>368</v>
      </c>
      <c r="D172" s="1" t="s">
        <v>26</v>
      </c>
    </row>
    <row r="173" spans="1:4" ht="17" customHeight="1">
      <c r="A173" s="1">
        <v>1726</v>
      </c>
      <c r="B173" s="1" t="s">
        <v>369</v>
      </c>
      <c r="C173" s="1" t="s">
        <v>370</v>
      </c>
      <c r="D173" s="1" t="s">
        <v>26</v>
      </c>
    </row>
    <row r="174" spans="1:4" ht="17" customHeight="1">
      <c r="A174" s="1">
        <v>1727</v>
      </c>
      <c r="B174" s="1" t="s">
        <v>371</v>
      </c>
      <c r="C174" s="1" t="s">
        <v>372</v>
      </c>
      <c r="D174" s="1" t="s">
        <v>26</v>
      </c>
    </row>
    <row r="175" spans="1:4" ht="17" customHeight="1">
      <c r="A175" s="1">
        <v>1730</v>
      </c>
      <c r="B175" s="1" t="s">
        <v>373</v>
      </c>
      <c r="C175" s="1" t="s">
        <v>374</v>
      </c>
      <c r="D175" s="1" t="s">
        <v>26</v>
      </c>
    </row>
    <row r="176" spans="1:4" ht="17" customHeight="1">
      <c r="A176" s="1">
        <v>1731</v>
      </c>
      <c r="B176" s="1" t="s">
        <v>375</v>
      </c>
      <c r="C176" s="1" t="s">
        <v>376</v>
      </c>
      <c r="D176" s="1" t="s">
        <v>26</v>
      </c>
    </row>
    <row r="177" spans="1:4" ht="17" customHeight="1">
      <c r="A177" s="1">
        <v>1732</v>
      </c>
      <c r="B177" s="1" t="s">
        <v>377</v>
      </c>
      <c r="C177" s="1" t="s">
        <v>378</v>
      </c>
      <c r="D177" s="1" t="s">
        <v>26</v>
      </c>
    </row>
    <row r="178" spans="1:4" ht="17" customHeight="1">
      <c r="A178" s="1">
        <v>1733</v>
      </c>
      <c r="B178" s="1" t="s">
        <v>379</v>
      </c>
      <c r="C178" s="1" t="s">
        <v>380</v>
      </c>
      <c r="D178" s="1" t="s">
        <v>26</v>
      </c>
    </row>
    <row r="179" spans="1:4" ht="17" customHeight="1">
      <c r="A179" s="1">
        <v>1734</v>
      </c>
      <c r="B179" s="1" t="s">
        <v>381</v>
      </c>
      <c r="C179" s="1" t="s">
        <v>382</v>
      </c>
      <c r="D179" s="1" t="s">
        <v>26</v>
      </c>
    </row>
    <row r="180" spans="1:4" ht="17" customHeight="1">
      <c r="A180" s="1">
        <v>1735</v>
      </c>
      <c r="B180" s="1" t="s">
        <v>383</v>
      </c>
      <c r="C180" s="1" t="s">
        <v>384</v>
      </c>
      <c r="D180" s="1" t="s">
        <v>26</v>
      </c>
    </row>
    <row r="181" spans="1:4" ht="17" customHeight="1">
      <c r="A181" s="1">
        <v>1736</v>
      </c>
      <c r="B181" s="1" t="s">
        <v>385</v>
      </c>
      <c r="C181" s="1" t="s">
        <v>386</v>
      </c>
      <c r="D181" s="1" t="s">
        <v>26</v>
      </c>
    </row>
    <row r="182" spans="1:4" ht="17" customHeight="1">
      <c r="A182" s="1">
        <v>1737</v>
      </c>
      <c r="B182" s="1" t="s">
        <v>387</v>
      </c>
      <c r="C182" s="1" t="s">
        <v>388</v>
      </c>
      <c r="D182" s="1" t="s">
        <v>26</v>
      </c>
    </row>
    <row r="183" spans="1:4" ht="17" customHeight="1">
      <c r="A183" s="1">
        <v>1760</v>
      </c>
      <c r="B183" s="1" t="s">
        <v>389</v>
      </c>
      <c r="C183" s="1" t="s">
        <v>390</v>
      </c>
      <c r="D183" s="1" t="s">
        <v>26</v>
      </c>
    </row>
    <row r="184" spans="1:4" ht="17" customHeight="1">
      <c r="A184" s="1">
        <v>1762</v>
      </c>
      <c r="B184" s="1" t="s">
        <v>391</v>
      </c>
      <c r="C184" s="1" t="s">
        <v>392</v>
      </c>
      <c r="D184" s="1" t="s">
        <v>26</v>
      </c>
    </row>
    <row r="185" spans="1:4" ht="17" customHeight="1">
      <c r="A185" s="1">
        <v>1773</v>
      </c>
      <c r="B185" s="1" t="s">
        <v>393</v>
      </c>
      <c r="C185" s="1" t="s">
        <v>394</v>
      </c>
      <c r="D185" s="1" t="s">
        <v>26</v>
      </c>
    </row>
    <row r="186" spans="1:4" ht="17" customHeight="1">
      <c r="A186" s="1">
        <v>1776</v>
      </c>
      <c r="B186" s="1" t="s">
        <v>395</v>
      </c>
      <c r="C186" s="1" t="s">
        <v>396</v>
      </c>
      <c r="D186" s="1" t="s">
        <v>26</v>
      </c>
    </row>
    <row r="187" spans="1:4" ht="17" customHeight="1">
      <c r="A187" s="1">
        <v>1783</v>
      </c>
      <c r="B187" s="1" t="s">
        <v>397</v>
      </c>
      <c r="C187" s="1" t="s">
        <v>398</v>
      </c>
      <c r="D187" s="1" t="s">
        <v>26</v>
      </c>
    </row>
    <row r="188" spans="1:4" ht="17" customHeight="1">
      <c r="A188" s="1">
        <v>1786</v>
      </c>
      <c r="B188" s="1" t="s">
        <v>399</v>
      </c>
      <c r="C188" s="1" t="s">
        <v>400</v>
      </c>
      <c r="D188" s="1" t="s">
        <v>26</v>
      </c>
    </row>
    <row r="189" spans="1:4" ht="17" customHeight="1">
      <c r="A189" s="1">
        <v>1789</v>
      </c>
      <c r="B189" s="1" t="s">
        <v>401</v>
      </c>
      <c r="C189" s="1" t="s">
        <v>402</v>
      </c>
      <c r="D189" s="1" t="s">
        <v>26</v>
      </c>
    </row>
    <row r="190" spans="1:4" ht="17" customHeight="1">
      <c r="A190" s="1">
        <v>1795</v>
      </c>
      <c r="B190" s="1" t="s">
        <v>403</v>
      </c>
      <c r="C190" s="1" t="s">
        <v>404</v>
      </c>
      <c r="D190" s="1" t="s">
        <v>26</v>
      </c>
    </row>
    <row r="191" spans="1:4" ht="17" customHeight="1">
      <c r="A191" s="1">
        <v>1802</v>
      </c>
      <c r="B191" s="1" t="s">
        <v>405</v>
      </c>
      <c r="C191" s="1" t="s">
        <v>406</v>
      </c>
      <c r="D191" s="1" t="s">
        <v>26</v>
      </c>
    </row>
    <row r="192" spans="1:4" ht="17" customHeight="1">
      <c r="A192" s="1">
        <v>1805</v>
      </c>
      <c r="B192" s="1" t="s">
        <v>407</v>
      </c>
      <c r="C192" s="1" t="s">
        <v>408</v>
      </c>
      <c r="D192" s="1" t="s">
        <v>26</v>
      </c>
    </row>
    <row r="193" spans="1:4" ht="17" customHeight="1">
      <c r="A193" s="1">
        <v>1806</v>
      </c>
      <c r="B193" s="1" t="s">
        <v>409</v>
      </c>
      <c r="C193" s="1" t="s">
        <v>410</v>
      </c>
      <c r="D193" s="1" t="s">
        <v>26</v>
      </c>
    </row>
    <row r="194" spans="1:4" ht="17" customHeight="1">
      <c r="A194" s="1">
        <v>1808</v>
      </c>
      <c r="B194" s="1" t="s">
        <v>411</v>
      </c>
      <c r="C194" s="1" t="s">
        <v>412</v>
      </c>
      <c r="D194" s="1" t="s">
        <v>26</v>
      </c>
    </row>
    <row r="195" spans="1:4" ht="17" customHeight="1">
      <c r="A195" s="1">
        <v>1809</v>
      </c>
      <c r="B195" s="1" t="s">
        <v>413</v>
      </c>
      <c r="C195" s="1" t="s">
        <v>414</v>
      </c>
      <c r="D195" s="1" t="s">
        <v>26</v>
      </c>
    </row>
    <row r="196" spans="1:4" ht="17" customHeight="1">
      <c r="A196" s="1">
        <v>1810</v>
      </c>
      <c r="B196" s="1" t="s">
        <v>415</v>
      </c>
      <c r="C196" s="1" t="s">
        <v>416</v>
      </c>
      <c r="D196" s="1" t="s">
        <v>26</v>
      </c>
    </row>
    <row r="197" spans="1:4" ht="17" customHeight="1">
      <c r="A197" s="1">
        <v>1817</v>
      </c>
      <c r="B197" s="1" t="s">
        <v>417</v>
      </c>
      <c r="C197" s="1" t="s">
        <v>418</v>
      </c>
      <c r="D197" s="1" t="s">
        <v>26</v>
      </c>
    </row>
    <row r="198" spans="1:4" ht="17" customHeight="1">
      <c r="A198" s="1">
        <v>1902</v>
      </c>
      <c r="B198" s="1" t="s">
        <v>419</v>
      </c>
      <c r="C198" s="1" t="s">
        <v>420</v>
      </c>
      <c r="D198" s="1" t="s">
        <v>26</v>
      </c>
    </row>
    <row r="199" spans="1:4" ht="17" customHeight="1">
      <c r="A199" s="1">
        <v>1903</v>
      </c>
      <c r="B199" s="1" t="s">
        <v>421</v>
      </c>
      <c r="C199" s="1" t="s">
        <v>422</v>
      </c>
      <c r="D199" s="1" t="s">
        <v>26</v>
      </c>
    </row>
    <row r="200" spans="1:4" ht="17" customHeight="1">
      <c r="A200" s="1">
        <v>1904</v>
      </c>
      <c r="B200" s="1" t="s">
        <v>423</v>
      </c>
      <c r="C200" s="1" t="s">
        <v>424</v>
      </c>
      <c r="D200" s="1" t="s">
        <v>26</v>
      </c>
    </row>
    <row r="201" spans="1:4" ht="17" customHeight="1">
      <c r="A201" s="1">
        <v>1905</v>
      </c>
      <c r="B201" s="1" t="s">
        <v>425</v>
      </c>
      <c r="C201" s="1" t="s">
        <v>426</v>
      </c>
      <c r="D201" s="1" t="s">
        <v>26</v>
      </c>
    </row>
    <row r="202" spans="1:4" ht="17" customHeight="1">
      <c r="A202" s="1">
        <v>1906</v>
      </c>
      <c r="B202" s="1" t="s">
        <v>427</v>
      </c>
      <c r="C202" s="1" t="s">
        <v>428</v>
      </c>
      <c r="D202" s="1" t="s">
        <v>26</v>
      </c>
    </row>
    <row r="203" spans="1:4" ht="17" customHeight="1">
      <c r="A203" s="1">
        <v>1907</v>
      </c>
      <c r="B203" s="1" t="s">
        <v>429</v>
      </c>
      <c r="C203" s="1" t="s">
        <v>430</v>
      </c>
      <c r="D203" s="1" t="s">
        <v>26</v>
      </c>
    </row>
    <row r="204" spans="1:4" ht="17" customHeight="1">
      <c r="A204" s="1">
        <v>1909</v>
      </c>
      <c r="B204" s="1" t="s">
        <v>431</v>
      </c>
      <c r="C204" s="1" t="s">
        <v>432</v>
      </c>
      <c r="D204" s="1" t="s">
        <v>26</v>
      </c>
    </row>
    <row r="205" spans="1:4" ht="17" customHeight="1">
      <c r="A205" s="1">
        <v>2002</v>
      </c>
      <c r="B205" s="1" t="s">
        <v>433</v>
      </c>
      <c r="C205" s="1" t="s">
        <v>434</v>
      </c>
      <c r="D205" s="1" t="s">
        <v>26</v>
      </c>
    </row>
    <row r="206" spans="1:4" ht="17" customHeight="1">
      <c r="A206" s="1">
        <v>2006</v>
      </c>
      <c r="B206" s="1" t="s">
        <v>435</v>
      </c>
      <c r="C206" s="1" t="s">
        <v>436</v>
      </c>
      <c r="D206" s="1" t="s">
        <v>26</v>
      </c>
    </row>
    <row r="207" spans="1:4" ht="17" customHeight="1">
      <c r="A207" s="1">
        <v>2007</v>
      </c>
      <c r="B207" s="1" t="s">
        <v>437</v>
      </c>
      <c r="C207" s="1" t="s">
        <v>438</v>
      </c>
      <c r="D207" s="1" t="s">
        <v>26</v>
      </c>
    </row>
    <row r="208" spans="1:4" ht="17" customHeight="1">
      <c r="A208" s="1">
        <v>2008</v>
      </c>
      <c r="B208" s="1" t="s">
        <v>439</v>
      </c>
      <c r="C208" s="1" t="s">
        <v>440</v>
      </c>
      <c r="D208" s="1" t="s">
        <v>26</v>
      </c>
    </row>
    <row r="209" spans="1:4" ht="17" customHeight="1">
      <c r="A209" s="1">
        <v>2009</v>
      </c>
      <c r="B209" s="1" t="s">
        <v>441</v>
      </c>
      <c r="C209" s="1" t="s">
        <v>442</v>
      </c>
      <c r="D209" s="1" t="s">
        <v>26</v>
      </c>
    </row>
    <row r="210" spans="1:4" ht="17" customHeight="1">
      <c r="A210" s="1">
        <v>2010</v>
      </c>
      <c r="B210" s="1" t="s">
        <v>443</v>
      </c>
      <c r="C210" s="1" t="s">
        <v>444</v>
      </c>
      <c r="D210" s="1" t="s">
        <v>26</v>
      </c>
    </row>
    <row r="211" spans="1:4" ht="17" customHeight="1">
      <c r="A211" s="1">
        <v>2012</v>
      </c>
      <c r="B211" s="1" t="s">
        <v>445</v>
      </c>
      <c r="C211" s="1" t="s">
        <v>446</v>
      </c>
      <c r="D211" s="1" t="s">
        <v>26</v>
      </c>
    </row>
    <row r="212" spans="1:4" ht="17" customHeight="1">
      <c r="A212" s="1">
        <v>2013</v>
      </c>
      <c r="B212" s="1" t="s">
        <v>447</v>
      </c>
      <c r="C212" s="1" t="s">
        <v>448</v>
      </c>
      <c r="D212" s="1" t="s">
        <v>26</v>
      </c>
    </row>
    <row r="213" spans="1:4" ht="17" customHeight="1">
      <c r="A213" s="1">
        <v>2014</v>
      </c>
      <c r="B213" s="1" t="s">
        <v>449</v>
      </c>
      <c r="C213" s="1" t="s">
        <v>450</v>
      </c>
      <c r="D213" s="1" t="s">
        <v>26</v>
      </c>
    </row>
    <row r="214" spans="1:4" ht="17" customHeight="1">
      <c r="A214" s="1">
        <v>2015</v>
      </c>
      <c r="B214" s="1" t="s">
        <v>451</v>
      </c>
      <c r="C214" s="1" t="s">
        <v>452</v>
      </c>
      <c r="D214" s="1" t="s">
        <v>26</v>
      </c>
    </row>
    <row r="215" spans="1:4" ht="17" customHeight="1">
      <c r="A215" s="1">
        <v>2017</v>
      </c>
      <c r="B215" s="1" t="s">
        <v>453</v>
      </c>
      <c r="C215" s="1" t="s">
        <v>454</v>
      </c>
      <c r="D215" s="1" t="s">
        <v>26</v>
      </c>
    </row>
    <row r="216" spans="1:4" ht="17" customHeight="1">
      <c r="A216" s="1">
        <v>2020</v>
      </c>
      <c r="B216" s="1" t="s">
        <v>455</v>
      </c>
      <c r="C216" s="1" t="s">
        <v>456</v>
      </c>
      <c r="D216" s="1" t="s">
        <v>26</v>
      </c>
    </row>
    <row r="217" spans="1:4" ht="17" customHeight="1">
      <c r="A217" s="1">
        <v>2022</v>
      </c>
      <c r="B217" s="1" t="s">
        <v>457</v>
      </c>
      <c r="C217" s="1" t="s">
        <v>458</v>
      </c>
      <c r="D217" s="1" t="s">
        <v>26</v>
      </c>
    </row>
    <row r="218" spans="1:4" ht="17" customHeight="1">
      <c r="A218" s="1">
        <v>2023</v>
      </c>
      <c r="B218" s="1" t="s">
        <v>459</v>
      </c>
      <c r="C218" s="1" t="s">
        <v>460</v>
      </c>
      <c r="D218" s="1" t="s">
        <v>26</v>
      </c>
    </row>
    <row r="219" spans="1:4" ht="17" customHeight="1">
      <c r="A219" s="1">
        <v>2024</v>
      </c>
      <c r="B219" s="1" t="s">
        <v>461</v>
      </c>
      <c r="C219" s="1" t="s">
        <v>462</v>
      </c>
      <c r="D219" s="1" t="s">
        <v>26</v>
      </c>
    </row>
    <row r="220" spans="1:4" ht="17" customHeight="1">
      <c r="A220" s="1">
        <v>2025</v>
      </c>
      <c r="B220" s="1" t="s">
        <v>463</v>
      </c>
      <c r="C220" s="1" t="s">
        <v>464</v>
      </c>
      <c r="D220" s="1" t="s">
        <v>26</v>
      </c>
    </row>
    <row r="221" spans="1:4" ht="17" customHeight="1">
      <c r="A221" s="1">
        <v>2027</v>
      </c>
      <c r="B221" s="1" t="s">
        <v>465</v>
      </c>
      <c r="C221" s="1" t="s">
        <v>466</v>
      </c>
      <c r="D221" s="1" t="s">
        <v>26</v>
      </c>
    </row>
    <row r="222" spans="1:4" ht="17" customHeight="1">
      <c r="A222" s="1">
        <v>2028</v>
      </c>
      <c r="B222" s="1" t="s">
        <v>467</v>
      </c>
      <c r="C222" s="1" t="s">
        <v>468</v>
      </c>
      <c r="D222" s="1" t="s">
        <v>26</v>
      </c>
    </row>
    <row r="223" spans="1:4" ht="17" customHeight="1">
      <c r="A223" s="1">
        <v>2029</v>
      </c>
      <c r="B223" s="1" t="s">
        <v>469</v>
      </c>
      <c r="C223" s="1" t="s">
        <v>470</v>
      </c>
      <c r="D223" s="1" t="s">
        <v>26</v>
      </c>
    </row>
    <row r="224" spans="1:4" ht="17" customHeight="1">
      <c r="A224" s="1">
        <v>2030</v>
      </c>
      <c r="B224" s="1" t="s">
        <v>471</v>
      </c>
      <c r="C224" s="1" t="s">
        <v>472</v>
      </c>
      <c r="D224" s="1" t="s">
        <v>26</v>
      </c>
    </row>
    <row r="225" spans="1:4" ht="17" customHeight="1">
      <c r="A225" s="1">
        <v>2031</v>
      </c>
      <c r="B225" s="1" t="s">
        <v>473</v>
      </c>
      <c r="C225" s="1" t="s">
        <v>474</v>
      </c>
      <c r="D225" s="1" t="s">
        <v>26</v>
      </c>
    </row>
    <row r="226" spans="1:4" ht="17" customHeight="1">
      <c r="A226" s="1">
        <v>2032</v>
      </c>
      <c r="B226" s="1" t="s">
        <v>475</v>
      </c>
      <c r="C226" s="1" t="s">
        <v>476</v>
      </c>
      <c r="D226" s="1" t="s">
        <v>26</v>
      </c>
    </row>
    <row r="227" spans="1:4" ht="17" customHeight="1">
      <c r="A227" s="1">
        <v>2033</v>
      </c>
      <c r="B227" s="1" t="s">
        <v>477</v>
      </c>
      <c r="C227" s="1" t="s">
        <v>478</v>
      </c>
      <c r="D227" s="1" t="s">
        <v>26</v>
      </c>
    </row>
    <row r="228" spans="1:4" ht="17" customHeight="1">
      <c r="A228" s="1">
        <v>2034</v>
      </c>
      <c r="B228" s="1" t="s">
        <v>479</v>
      </c>
      <c r="C228" s="1" t="s">
        <v>480</v>
      </c>
      <c r="D228" s="1" t="s">
        <v>26</v>
      </c>
    </row>
    <row r="229" spans="1:4" ht="17" customHeight="1">
      <c r="A229" s="1">
        <v>2038</v>
      </c>
      <c r="B229" s="1" t="s">
        <v>481</v>
      </c>
      <c r="C229" s="1" t="s">
        <v>482</v>
      </c>
      <c r="D229" s="1" t="s">
        <v>26</v>
      </c>
    </row>
    <row r="230" spans="1:4" ht="17" customHeight="1">
      <c r="A230" s="1">
        <v>2049</v>
      </c>
      <c r="B230" s="1" t="s">
        <v>483</v>
      </c>
      <c r="C230" s="1" t="s">
        <v>484</v>
      </c>
      <c r="D230" s="1" t="s">
        <v>26</v>
      </c>
    </row>
    <row r="231" spans="1:4" ht="17" customHeight="1">
      <c r="A231" s="1">
        <v>2059</v>
      </c>
      <c r="B231" s="1" t="s">
        <v>485</v>
      </c>
      <c r="C231" s="1" t="s">
        <v>486</v>
      </c>
      <c r="D231" s="1" t="s">
        <v>26</v>
      </c>
    </row>
    <row r="232" spans="1:4" ht="17" customHeight="1">
      <c r="A232" s="1">
        <v>2062</v>
      </c>
      <c r="B232" s="1" t="s">
        <v>487</v>
      </c>
      <c r="C232" s="1" t="s">
        <v>488</v>
      </c>
      <c r="D232" s="1" t="s">
        <v>26</v>
      </c>
    </row>
    <row r="233" spans="1:4" ht="17" customHeight="1">
      <c r="A233" s="1">
        <v>2069</v>
      </c>
      <c r="B233" s="1" t="s">
        <v>489</v>
      </c>
      <c r="C233" s="1" t="s">
        <v>490</v>
      </c>
      <c r="D233" s="1" t="s">
        <v>26</v>
      </c>
    </row>
    <row r="234" spans="1:4" ht="17" customHeight="1">
      <c r="A234" s="1">
        <v>2101</v>
      </c>
      <c r="B234" s="1" t="s">
        <v>491</v>
      </c>
      <c r="C234" s="1" t="s">
        <v>492</v>
      </c>
      <c r="D234" s="1" t="s">
        <v>26</v>
      </c>
    </row>
    <row r="235" spans="1:4" ht="17" customHeight="1">
      <c r="A235" s="1">
        <v>2102</v>
      </c>
      <c r="B235" s="1" t="s">
        <v>493</v>
      </c>
      <c r="C235" s="1" t="s">
        <v>494</v>
      </c>
      <c r="D235" s="1" t="s">
        <v>26</v>
      </c>
    </row>
    <row r="236" spans="1:4" ht="17" customHeight="1">
      <c r="A236" s="1">
        <v>2103</v>
      </c>
      <c r="B236" s="1" t="s">
        <v>495</v>
      </c>
      <c r="C236" s="1" t="s">
        <v>496</v>
      </c>
      <c r="D236" s="1" t="s">
        <v>26</v>
      </c>
    </row>
    <row r="237" spans="1:4" ht="17" customHeight="1">
      <c r="A237" s="1">
        <v>2104</v>
      </c>
      <c r="B237" s="1" t="s">
        <v>497</v>
      </c>
      <c r="C237" s="1" t="s">
        <v>498</v>
      </c>
      <c r="D237" s="1" t="s">
        <v>26</v>
      </c>
    </row>
    <row r="238" spans="1:4" ht="17" customHeight="1">
      <c r="A238" s="1">
        <v>2105</v>
      </c>
      <c r="B238" s="1" t="s">
        <v>499</v>
      </c>
      <c r="C238" s="1" t="s">
        <v>500</v>
      </c>
      <c r="D238" s="1" t="s">
        <v>26</v>
      </c>
    </row>
    <row r="239" spans="1:4" ht="17" customHeight="1">
      <c r="A239" s="1">
        <v>2106</v>
      </c>
      <c r="B239" s="1" t="s">
        <v>501</v>
      </c>
      <c r="C239" s="1" t="s">
        <v>502</v>
      </c>
      <c r="D239" s="1" t="s">
        <v>26</v>
      </c>
    </row>
    <row r="240" spans="1:4" ht="17" customHeight="1">
      <c r="A240" s="1">
        <v>2107</v>
      </c>
      <c r="B240" s="1" t="s">
        <v>503</v>
      </c>
      <c r="C240" s="1" t="s">
        <v>504</v>
      </c>
      <c r="D240" s="1" t="s">
        <v>26</v>
      </c>
    </row>
    <row r="241" spans="1:4" ht="17" customHeight="1">
      <c r="A241" s="1">
        <v>2108</v>
      </c>
      <c r="B241" s="1" t="s">
        <v>505</v>
      </c>
      <c r="C241" s="1" t="s">
        <v>506</v>
      </c>
      <c r="D241" s="1" t="s">
        <v>26</v>
      </c>
    </row>
    <row r="242" spans="1:4" ht="17" customHeight="1">
      <c r="A242" s="1">
        <v>2109</v>
      </c>
      <c r="B242" s="1" t="s">
        <v>507</v>
      </c>
      <c r="C242" s="1" t="s">
        <v>508</v>
      </c>
      <c r="D242" s="1" t="s">
        <v>26</v>
      </c>
    </row>
    <row r="243" spans="1:4" ht="17" customHeight="1">
      <c r="A243" s="1">
        <v>2114</v>
      </c>
      <c r="B243" s="1" t="s">
        <v>509</v>
      </c>
      <c r="C243" s="1" t="s">
        <v>510</v>
      </c>
      <c r="D243" s="1" t="s">
        <v>26</v>
      </c>
    </row>
    <row r="244" spans="1:4" ht="17" customHeight="1">
      <c r="A244" s="1">
        <v>2115</v>
      </c>
      <c r="B244" s="1" t="s">
        <v>511</v>
      </c>
      <c r="C244" s="1" t="s">
        <v>512</v>
      </c>
      <c r="D244" s="1" t="s">
        <v>26</v>
      </c>
    </row>
    <row r="245" spans="1:4" ht="17" customHeight="1">
      <c r="A245" s="1">
        <v>2201</v>
      </c>
      <c r="B245" s="1" t="s">
        <v>513</v>
      </c>
      <c r="C245" s="1" t="s">
        <v>514</v>
      </c>
      <c r="D245" s="1" t="s">
        <v>26</v>
      </c>
    </row>
    <row r="246" spans="1:4" ht="17" customHeight="1">
      <c r="A246" s="1">
        <v>2204</v>
      </c>
      <c r="B246" s="1" t="s">
        <v>515</v>
      </c>
      <c r="C246" s="1" t="s">
        <v>516</v>
      </c>
      <c r="D246" s="1" t="s">
        <v>26</v>
      </c>
    </row>
    <row r="247" spans="1:4" ht="17" customHeight="1">
      <c r="A247" s="1">
        <v>2206</v>
      </c>
      <c r="B247" s="1" t="s">
        <v>517</v>
      </c>
      <c r="C247" s="1" t="s">
        <v>518</v>
      </c>
      <c r="D247" s="1" t="s">
        <v>26</v>
      </c>
    </row>
    <row r="248" spans="1:4" ht="17" customHeight="1">
      <c r="A248" s="1">
        <v>2207</v>
      </c>
      <c r="B248" s="1" t="s">
        <v>519</v>
      </c>
      <c r="C248" s="1" t="s">
        <v>520</v>
      </c>
      <c r="D248" s="1" t="s">
        <v>26</v>
      </c>
    </row>
    <row r="249" spans="1:4" ht="17" customHeight="1">
      <c r="A249" s="1">
        <v>2208</v>
      </c>
      <c r="B249" s="1" t="s">
        <v>521</v>
      </c>
      <c r="C249" s="1" t="s">
        <v>522</v>
      </c>
      <c r="D249" s="1" t="s">
        <v>26</v>
      </c>
    </row>
    <row r="250" spans="1:4" ht="17" customHeight="1">
      <c r="A250" s="1">
        <v>2227</v>
      </c>
      <c r="B250" s="1" t="s">
        <v>523</v>
      </c>
      <c r="C250" s="1" t="s">
        <v>524</v>
      </c>
      <c r="D250" s="1" t="s">
        <v>26</v>
      </c>
    </row>
    <row r="251" spans="1:4" ht="17" customHeight="1">
      <c r="A251" s="1">
        <v>2228</v>
      </c>
      <c r="B251" s="1" t="s">
        <v>525</v>
      </c>
      <c r="C251" s="1" t="s">
        <v>526</v>
      </c>
      <c r="D251" s="1" t="s">
        <v>26</v>
      </c>
    </row>
    <row r="252" spans="1:4" ht="17" customHeight="1">
      <c r="A252" s="1">
        <v>2231</v>
      </c>
      <c r="B252" s="1" t="s">
        <v>527</v>
      </c>
      <c r="C252" s="1" t="s">
        <v>528</v>
      </c>
      <c r="D252" s="1" t="s">
        <v>26</v>
      </c>
    </row>
    <row r="253" spans="1:4" ht="17" customHeight="1">
      <c r="A253" s="1">
        <v>2233</v>
      </c>
      <c r="B253" s="1" t="s">
        <v>529</v>
      </c>
      <c r="C253" s="1" t="s">
        <v>530</v>
      </c>
      <c r="D253" s="1" t="s">
        <v>26</v>
      </c>
    </row>
    <row r="254" spans="1:4" ht="17" customHeight="1">
      <c r="A254" s="1">
        <v>2236</v>
      </c>
      <c r="B254" s="1" t="s">
        <v>531</v>
      </c>
      <c r="C254" s="1" t="s">
        <v>532</v>
      </c>
      <c r="D254" s="1" t="s">
        <v>26</v>
      </c>
    </row>
    <row r="255" spans="1:4" ht="17" customHeight="1">
      <c r="A255" s="1">
        <v>2239</v>
      </c>
      <c r="B255" s="1" t="s">
        <v>533</v>
      </c>
      <c r="C255" s="1" t="s">
        <v>534</v>
      </c>
      <c r="D255" s="1" t="s">
        <v>26</v>
      </c>
    </row>
    <row r="256" spans="1:4" ht="17" customHeight="1">
      <c r="A256" s="1">
        <v>2243</v>
      </c>
      <c r="B256" s="1" t="s">
        <v>535</v>
      </c>
      <c r="C256" s="1" t="s">
        <v>536</v>
      </c>
      <c r="D256" s="1" t="s">
        <v>26</v>
      </c>
    </row>
    <row r="257" spans="1:4" ht="17" customHeight="1">
      <c r="A257" s="1">
        <v>2301</v>
      </c>
      <c r="B257" s="1" t="s">
        <v>537</v>
      </c>
      <c r="C257" s="1" t="s">
        <v>538</v>
      </c>
      <c r="D257" s="1" t="s">
        <v>26</v>
      </c>
    </row>
    <row r="258" spans="1:4" ht="17" customHeight="1">
      <c r="A258" s="1">
        <v>2302</v>
      </c>
      <c r="B258" s="1" t="s">
        <v>539</v>
      </c>
      <c r="C258" s="1" t="s">
        <v>540</v>
      </c>
      <c r="D258" s="1" t="s">
        <v>26</v>
      </c>
    </row>
    <row r="259" spans="1:4" ht="17" customHeight="1">
      <c r="A259" s="1">
        <v>2303</v>
      </c>
      <c r="B259" s="1" t="s">
        <v>541</v>
      </c>
      <c r="C259" s="1" t="s">
        <v>542</v>
      </c>
      <c r="D259" s="1" t="s">
        <v>26</v>
      </c>
    </row>
    <row r="260" spans="1:4" ht="17" customHeight="1">
      <c r="A260" s="1">
        <v>2305</v>
      </c>
      <c r="B260" s="1" t="s">
        <v>543</v>
      </c>
      <c r="C260" s="1" t="s">
        <v>544</v>
      </c>
      <c r="D260" s="1" t="s">
        <v>26</v>
      </c>
    </row>
    <row r="261" spans="1:4" ht="17" customHeight="1">
      <c r="A261" s="1">
        <v>2308</v>
      </c>
      <c r="B261" s="1" t="s">
        <v>545</v>
      </c>
      <c r="C261" s="1" t="s">
        <v>546</v>
      </c>
      <c r="D261" s="1" t="s">
        <v>26</v>
      </c>
    </row>
    <row r="262" spans="1:4" ht="17" customHeight="1">
      <c r="A262" s="1">
        <v>2312</v>
      </c>
      <c r="B262" s="1" t="s">
        <v>547</v>
      </c>
      <c r="C262" s="1" t="s">
        <v>548</v>
      </c>
      <c r="D262" s="1" t="s">
        <v>26</v>
      </c>
    </row>
    <row r="263" spans="1:4" ht="17" customHeight="1">
      <c r="A263" s="1">
        <v>2313</v>
      </c>
      <c r="B263" s="1" t="s">
        <v>549</v>
      </c>
      <c r="C263" s="1" t="s">
        <v>550</v>
      </c>
      <c r="D263" s="1" t="s">
        <v>26</v>
      </c>
    </row>
    <row r="264" spans="1:4" ht="17" customHeight="1">
      <c r="A264" s="1">
        <v>2314</v>
      </c>
      <c r="B264" s="1" t="s">
        <v>551</v>
      </c>
      <c r="C264" s="1" t="s">
        <v>552</v>
      </c>
      <c r="D264" s="1" t="s">
        <v>26</v>
      </c>
    </row>
    <row r="265" spans="1:4" ht="17" customHeight="1">
      <c r="A265" s="1">
        <v>2316</v>
      </c>
      <c r="B265" s="1" t="s">
        <v>553</v>
      </c>
      <c r="C265" s="1" t="s">
        <v>554</v>
      </c>
      <c r="D265" s="1" t="s">
        <v>26</v>
      </c>
    </row>
    <row r="266" spans="1:4" ht="17" customHeight="1">
      <c r="A266" s="1">
        <v>2317</v>
      </c>
      <c r="B266" s="1" t="s">
        <v>555</v>
      </c>
      <c r="C266" s="1" t="s">
        <v>1</v>
      </c>
      <c r="D266" s="1" t="s">
        <v>26</v>
      </c>
    </row>
    <row r="267" spans="1:4" ht="17" customHeight="1">
      <c r="A267" s="1">
        <v>2321</v>
      </c>
      <c r="B267" s="1" t="s">
        <v>556</v>
      </c>
      <c r="C267" s="1" t="s">
        <v>557</v>
      </c>
      <c r="D267" s="1" t="s">
        <v>26</v>
      </c>
    </row>
    <row r="268" spans="1:4" ht="17" customHeight="1">
      <c r="A268" s="1">
        <v>2323</v>
      </c>
      <c r="B268" s="1" t="s">
        <v>558</v>
      </c>
      <c r="C268" s="1" t="s">
        <v>559</v>
      </c>
      <c r="D268" s="1" t="s">
        <v>26</v>
      </c>
    </row>
    <row r="269" spans="1:4" ht="17" customHeight="1">
      <c r="A269" s="1">
        <v>2324</v>
      </c>
      <c r="B269" s="1" t="s">
        <v>560</v>
      </c>
      <c r="C269" s="1" t="s">
        <v>4</v>
      </c>
      <c r="D269" s="1" t="s">
        <v>26</v>
      </c>
    </row>
    <row r="270" spans="1:4" ht="17" customHeight="1">
      <c r="A270" s="1">
        <v>2327</v>
      </c>
      <c r="B270" s="1" t="s">
        <v>561</v>
      </c>
      <c r="C270" s="1" t="s">
        <v>562</v>
      </c>
      <c r="D270" s="1" t="s">
        <v>26</v>
      </c>
    </row>
    <row r="271" spans="1:4" ht="17" customHeight="1">
      <c r="A271" s="1">
        <v>2328</v>
      </c>
      <c r="B271" s="1" t="s">
        <v>563</v>
      </c>
      <c r="C271" s="1" t="s">
        <v>564</v>
      </c>
      <c r="D271" s="1" t="s">
        <v>26</v>
      </c>
    </row>
    <row r="272" spans="1:4" ht="17" customHeight="1">
      <c r="A272" s="1">
        <v>2329</v>
      </c>
      <c r="B272" s="1" t="s">
        <v>565</v>
      </c>
      <c r="C272" s="1" t="s">
        <v>566</v>
      </c>
      <c r="D272" s="1" t="s">
        <v>26</v>
      </c>
    </row>
    <row r="273" spans="1:4" ht="17" customHeight="1">
      <c r="A273" s="1">
        <v>2330</v>
      </c>
      <c r="B273" s="1" t="s">
        <v>567</v>
      </c>
      <c r="C273" s="1" t="s">
        <v>568</v>
      </c>
      <c r="D273" s="1" t="s">
        <v>26</v>
      </c>
    </row>
    <row r="274" spans="1:4" ht="17" customHeight="1">
      <c r="A274" s="1">
        <v>2331</v>
      </c>
      <c r="B274" s="1" t="s">
        <v>569</v>
      </c>
      <c r="C274" s="1" t="s">
        <v>570</v>
      </c>
      <c r="D274" s="1" t="s">
        <v>26</v>
      </c>
    </row>
    <row r="275" spans="1:4" ht="17" customHeight="1">
      <c r="A275" s="1">
        <v>2332</v>
      </c>
      <c r="B275" s="1" t="s">
        <v>571</v>
      </c>
      <c r="C275" s="1" t="s">
        <v>572</v>
      </c>
      <c r="D275" s="1" t="s">
        <v>26</v>
      </c>
    </row>
    <row r="276" spans="1:4" ht="17" customHeight="1">
      <c r="A276" s="1">
        <v>2337</v>
      </c>
      <c r="B276" s="1" t="s">
        <v>573</v>
      </c>
      <c r="C276" s="1" t="s">
        <v>574</v>
      </c>
      <c r="D276" s="1" t="s">
        <v>26</v>
      </c>
    </row>
    <row r="277" spans="1:4" ht="17" customHeight="1">
      <c r="A277" s="1">
        <v>2338</v>
      </c>
      <c r="B277" s="1" t="s">
        <v>575</v>
      </c>
      <c r="C277" s="1" t="s">
        <v>576</v>
      </c>
      <c r="D277" s="1" t="s">
        <v>26</v>
      </c>
    </row>
    <row r="278" spans="1:4" ht="17" customHeight="1">
      <c r="A278" s="1">
        <v>2340</v>
      </c>
      <c r="B278" s="1" t="s">
        <v>577</v>
      </c>
      <c r="C278" s="1" t="s">
        <v>578</v>
      </c>
      <c r="D278" s="1" t="s">
        <v>26</v>
      </c>
    </row>
    <row r="279" spans="1:4" ht="17" customHeight="1">
      <c r="A279" s="1">
        <v>2342</v>
      </c>
      <c r="B279" s="1" t="s">
        <v>579</v>
      </c>
      <c r="C279" s="1" t="s">
        <v>580</v>
      </c>
      <c r="D279" s="1" t="s">
        <v>26</v>
      </c>
    </row>
    <row r="280" spans="1:4" ht="17" customHeight="1">
      <c r="A280" s="1">
        <v>2344</v>
      </c>
      <c r="B280" s="1" t="s">
        <v>581</v>
      </c>
      <c r="C280" s="1" t="s">
        <v>582</v>
      </c>
      <c r="D280" s="1" t="s">
        <v>26</v>
      </c>
    </row>
    <row r="281" spans="1:4" ht="17" customHeight="1">
      <c r="A281" s="1">
        <v>2345</v>
      </c>
      <c r="B281" s="1" t="s">
        <v>583</v>
      </c>
      <c r="C281" s="1" t="s">
        <v>584</v>
      </c>
      <c r="D281" s="1" t="s">
        <v>26</v>
      </c>
    </row>
    <row r="282" spans="1:4" ht="17" customHeight="1">
      <c r="A282" s="1">
        <v>2347</v>
      </c>
      <c r="B282" s="1" t="s">
        <v>585</v>
      </c>
      <c r="C282" s="1" t="s">
        <v>586</v>
      </c>
      <c r="D282" s="1" t="s">
        <v>26</v>
      </c>
    </row>
    <row r="283" spans="1:4" ht="17" customHeight="1">
      <c r="A283" s="1">
        <v>2348</v>
      </c>
      <c r="B283" s="1" t="s">
        <v>587</v>
      </c>
      <c r="C283" s="1" t="s">
        <v>588</v>
      </c>
      <c r="D283" s="1" t="s">
        <v>26</v>
      </c>
    </row>
    <row r="284" spans="1:4" ht="17" customHeight="1">
      <c r="A284" s="1">
        <v>2349</v>
      </c>
      <c r="B284" s="1" t="s">
        <v>589</v>
      </c>
      <c r="C284" s="1" t="s">
        <v>590</v>
      </c>
      <c r="D284" s="1" t="s">
        <v>26</v>
      </c>
    </row>
    <row r="285" spans="1:4" ht="17" customHeight="1">
      <c r="A285" s="1">
        <v>2351</v>
      </c>
      <c r="B285" s="1" t="s">
        <v>591</v>
      </c>
      <c r="C285" s="1" t="s">
        <v>592</v>
      </c>
      <c r="D285" s="1" t="s">
        <v>26</v>
      </c>
    </row>
    <row r="286" spans="1:4" ht="17" customHeight="1">
      <c r="A286" s="1">
        <v>2352</v>
      </c>
      <c r="B286" s="1" t="s">
        <v>593</v>
      </c>
      <c r="C286" s="1" t="s">
        <v>594</v>
      </c>
      <c r="D286" s="1" t="s">
        <v>26</v>
      </c>
    </row>
    <row r="287" spans="1:4" ht="17" customHeight="1">
      <c r="A287" s="1">
        <v>2353</v>
      </c>
      <c r="B287" s="1" t="s">
        <v>595</v>
      </c>
      <c r="C287" s="1" t="s">
        <v>596</v>
      </c>
      <c r="D287" s="1" t="s">
        <v>26</v>
      </c>
    </row>
    <row r="288" spans="1:4" ht="17" customHeight="1">
      <c r="A288" s="1">
        <v>2354</v>
      </c>
      <c r="B288" s="1" t="s">
        <v>597</v>
      </c>
      <c r="C288" s="1" t="s">
        <v>598</v>
      </c>
      <c r="D288" s="1" t="s">
        <v>26</v>
      </c>
    </row>
    <row r="289" spans="1:4" ht="17" customHeight="1">
      <c r="A289" s="1">
        <v>2355</v>
      </c>
      <c r="B289" s="1" t="s">
        <v>599</v>
      </c>
      <c r="C289" s="1" t="s">
        <v>600</v>
      </c>
      <c r="D289" s="1" t="s">
        <v>26</v>
      </c>
    </row>
    <row r="290" spans="1:4" ht="17" customHeight="1">
      <c r="A290" s="1">
        <v>2356</v>
      </c>
      <c r="B290" s="1" t="s">
        <v>601</v>
      </c>
      <c r="C290" s="1" t="s">
        <v>5</v>
      </c>
      <c r="D290" s="1" t="s">
        <v>26</v>
      </c>
    </row>
    <row r="291" spans="1:4" ht="17" customHeight="1">
      <c r="A291" s="1">
        <v>2357</v>
      </c>
      <c r="B291" s="1" t="s">
        <v>602</v>
      </c>
      <c r="C291" s="1" t="s">
        <v>603</v>
      </c>
      <c r="D291" s="1" t="s">
        <v>26</v>
      </c>
    </row>
    <row r="292" spans="1:4" ht="17" customHeight="1">
      <c r="A292" s="1">
        <v>2358</v>
      </c>
      <c r="B292" s="1" t="s">
        <v>604</v>
      </c>
      <c r="C292" s="1" t="s">
        <v>605</v>
      </c>
      <c r="D292" s="1" t="s">
        <v>26</v>
      </c>
    </row>
    <row r="293" spans="1:4" ht="17" customHeight="1">
      <c r="A293" s="1">
        <v>2359</v>
      </c>
      <c r="B293" s="1" t="s">
        <v>606</v>
      </c>
      <c r="C293" s="1" t="s">
        <v>607</v>
      </c>
      <c r="D293" s="1" t="s">
        <v>26</v>
      </c>
    </row>
    <row r="294" spans="1:4" ht="17" customHeight="1">
      <c r="A294" s="1">
        <v>2360</v>
      </c>
      <c r="B294" s="1" t="s">
        <v>608</v>
      </c>
      <c r="C294" s="1" t="s">
        <v>609</v>
      </c>
      <c r="D294" s="1" t="s">
        <v>26</v>
      </c>
    </row>
    <row r="295" spans="1:4" ht="17" customHeight="1">
      <c r="A295" s="1">
        <v>2362</v>
      </c>
      <c r="B295" s="1" t="s">
        <v>610</v>
      </c>
      <c r="C295" s="1" t="s">
        <v>611</v>
      </c>
      <c r="D295" s="1" t="s">
        <v>26</v>
      </c>
    </row>
    <row r="296" spans="1:4" ht="17" customHeight="1">
      <c r="A296" s="1">
        <v>2363</v>
      </c>
      <c r="B296" s="1" t="s">
        <v>612</v>
      </c>
      <c r="C296" s="1" t="s">
        <v>613</v>
      </c>
      <c r="D296" s="1" t="s">
        <v>26</v>
      </c>
    </row>
    <row r="297" spans="1:4" ht="17" customHeight="1">
      <c r="A297" s="1">
        <v>2364</v>
      </c>
      <c r="B297" s="1" t="s">
        <v>614</v>
      </c>
      <c r="C297" s="1" t="s">
        <v>615</v>
      </c>
      <c r="D297" s="1" t="s">
        <v>26</v>
      </c>
    </row>
    <row r="298" spans="1:4" ht="17" customHeight="1">
      <c r="A298" s="1">
        <v>2365</v>
      </c>
      <c r="B298" s="1" t="s">
        <v>616</v>
      </c>
      <c r="C298" s="1" t="s">
        <v>617</v>
      </c>
      <c r="D298" s="1" t="s">
        <v>26</v>
      </c>
    </row>
    <row r="299" spans="1:4" ht="17" customHeight="1">
      <c r="A299" s="1">
        <v>2367</v>
      </c>
      <c r="B299" s="1" t="s">
        <v>618</v>
      </c>
      <c r="C299" s="1" t="s">
        <v>619</v>
      </c>
      <c r="D299" s="1" t="s">
        <v>26</v>
      </c>
    </row>
    <row r="300" spans="1:4" ht="17" customHeight="1">
      <c r="A300" s="1">
        <v>2368</v>
      </c>
      <c r="B300" s="1" t="s">
        <v>620</v>
      </c>
      <c r="C300" s="1" t="s">
        <v>621</v>
      </c>
      <c r="D300" s="1" t="s">
        <v>26</v>
      </c>
    </row>
    <row r="301" spans="1:4" ht="17" customHeight="1">
      <c r="A301" s="1">
        <v>2369</v>
      </c>
      <c r="B301" s="1" t="s">
        <v>622</v>
      </c>
      <c r="C301" s="1" t="s">
        <v>623</v>
      </c>
      <c r="D301" s="1" t="s">
        <v>26</v>
      </c>
    </row>
    <row r="302" spans="1:4" ht="17" customHeight="1">
      <c r="A302" s="1">
        <v>2371</v>
      </c>
      <c r="B302" s="1" t="s">
        <v>624</v>
      </c>
      <c r="C302" s="1" t="s">
        <v>625</v>
      </c>
      <c r="D302" s="1" t="s">
        <v>26</v>
      </c>
    </row>
    <row r="303" spans="1:4" ht="17" customHeight="1">
      <c r="A303" s="1">
        <v>2373</v>
      </c>
      <c r="B303" s="1" t="s">
        <v>626</v>
      </c>
      <c r="C303" s="1" t="s">
        <v>627</v>
      </c>
      <c r="D303" s="1" t="s">
        <v>26</v>
      </c>
    </row>
    <row r="304" spans="1:4" ht="17" customHeight="1">
      <c r="A304" s="1">
        <v>2374</v>
      </c>
      <c r="B304" s="1" t="s">
        <v>628</v>
      </c>
      <c r="C304" s="1" t="s">
        <v>629</v>
      </c>
      <c r="D304" s="1" t="s">
        <v>26</v>
      </c>
    </row>
    <row r="305" spans="1:4" ht="17" customHeight="1">
      <c r="A305" s="1">
        <v>2375</v>
      </c>
      <c r="B305" s="1" t="s">
        <v>630</v>
      </c>
      <c r="C305" s="1" t="s">
        <v>631</v>
      </c>
      <c r="D305" s="1" t="s">
        <v>26</v>
      </c>
    </row>
    <row r="306" spans="1:4" ht="17" customHeight="1">
      <c r="A306" s="1">
        <v>2376</v>
      </c>
      <c r="B306" s="1" t="s">
        <v>632</v>
      </c>
      <c r="C306" s="1" t="s">
        <v>633</v>
      </c>
      <c r="D306" s="1" t="s">
        <v>26</v>
      </c>
    </row>
    <row r="307" spans="1:4" ht="17" customHeight="1">
      <c r="A307" s="1">
        <v>2377</v>
      </c>
      <c r="B307" s="1" t="s">
        <v>634</v>
      </c>
      <c r="C307" s="1" t="s">
        <v>7</v>
      </c>
      <c r="D307" s="1" t="s">
        <v>26</v>
      </c>
    </row>
    <row r="308" spans="1:4" ht="17" customHeight="1">
      <c r="A308" s="1">
        <v>2379</v>
      </c>
      <c r="B308" s="1" t="s">
        <v>635</v>
      </c>
      <c r="C308" s="1" t="s">
        <v>636</v>
      </c>
      <c r="D308" s="1" t="s">
        <v>26</v>
      </c>
    </row>
    <row r="309" spans="1:4" ht="17" customHeight="1">
      <c r="A309" s="1">
        <v>2380</v>
      </c>
      <c r="B309" s="1" t="s">
        <v>637</v>
      </c>
      <c r="C309" s="1" t="s">
        <v>638</v>
      </c>
      <c r="D309" s="1" t="s">
        <v>26</v>
      </c>
    </row>
    <row r="310" spans="1:4" ht="17" customHeight="1">
      <c r="A310" s="1">
        <v>2382</v>
      </c>
      <c r="B310" s="1" t="s">
        <v>639</v>
      </c>
      <c r="C310" s="1" t="s">
        <v>3</v>
      </c>
      <c r="D310" s="1" t="s">
        <v>26</v>
      </c>
    </row>
    <row r="311" spans="1:4" ht="17" customHeight="1">
      <c r="A311" s="1">
        <v>2383</v>
      </c>
      <c r="B311" s="1" t="s">
        <v>640</v>
      </c>
      <c r="C311" s="1" t="s">
        <v>641</v>
      </c>
      <c r="D311" s="1" t="s">
        <v>26</v>
      </c>
    </row>
    <row r="312" spans="1:4" ht="17" customHeight="1">
      <c r="A312" s="1">
        <v>2385</v>
      </c>
      <c r="B312" s="1" t="s">
        <v>642</v>
      </c>
      <c r="C312" s="1" t="s">
        <v>643</v>
      </c>
      <c r="D312" s="1" t="s">
        <v>26</v>
      </c>
    </row>
    <row r="313" spans="1:4" ht="17" customHeight="1">
      <c r="A313" s="1">
        <v>2387</v>
      </c>
      <c r="B313" s="1" t="s">
        <v>644</v>
      </c>
      <c r="C313" s="1" t="s">
        <v>645</v>
      </c>
      <c r="D313" s="1" t="s">
        <v>26</v>
      </c>
    </row>
    <row r="314" spans="1:4" ht="17" customHeight="1">
      <c r="A314" s="1">
        <v>2388</v>
      </c>
      <c r="B314" s="1" t="s">
        <v>646</v>
      </c>
      <c r="C314" s="1" t="s">
        <v>647</v>
      </c>
      <c r="D314" s="1" t="s">
        <v>26</v>
      </c>
    </row>
    <row r="315" spans="1:4" ht="17" customHeight="1">
      <c r="A315" s="1">
        <v>2390</v>
      </c>
      <c r="B315" s="1" t="s">
        <v>648</v>
      </c>
      <c r="C315" s="1" t="s">
        <v>649</v>
      </c>
      <c r="D315" s="1" t="s">
        <v>26</v>
      </c>
    </row>
    <row r="316" spans="1:4" ht="17" customHeight="1">
      <c r="A316" s="1">
        <v>2392</v>
      </c>
      <c r="B316" s="1" t="s">
        <v>650</v>
      </c>
      <c r="C316" s="1" t="s">
        <v>651</v>
      </c>
      <c r="D316" s="1" t="s">
        <v>26</v>
      </c>
    </row>
    <row r="317" spans="1:4" ht="17" customHeight="1">
      <c r="A317" s="1">
        <v>2393</v>
      </c>
      <c r="B317" s="1" t="s">
        <v>652</v>
      </c>
      <c r="C317" s="1" t="s">
        <v>653</v>
      </c>
      <c r="D317" s="1" t="s">
        <v>26</v>
      </c>
    </row>
    <row r="318" spans="1:4" ht="17" customHeight="1">
      <c r="A318" s="1">
        <v>2395</v>
      </c>
      <c r="B318" s="1" t="s">
        <v>654</v>
      </c>
      <c r="C318" s="1" t="s">
        <v>655</v>
      </c>
      <c r="D318" s="1" t="s">
        <v>26</v>
      </c>
    </row>
    <row r="319" spans="1:4" ht="17" customHeight="1">
      <c r="A319" s="1">
        <v>2397</v>
      </c>
      <c r="B319" s="1" t="s">
        <v>656</v>
      </c>
      <c r="C319" s="1" t="s">
        <v>657</v>
      </c>
      <c r="D319" s="1" t="s">
        <v>26</v>
      </c>
    </row>
    <row r="320" spans="1:4" ht="17" customHeight="1">
      <c r="A320" s="1">
        <v>2399</v>
      </c>
      <c r="B320" s="1" t="s">
        <v>658</v>
      </c>
      <c r="C320" s="1" t="s">
        <v>659</v>
      </c>
      <c r="D320" s="1" t="s">
        <v>26</v>
      </c>
    </row>
    <row r="321" spans="1:4" ht="17" customHeight="1">
      <c r="A321" s="1">
        <v>2401</v>
      </c>
      <c r="B321" s="1" t="s">
        <v>660</v>
      </c>
      <c r="C321" s="1" t="s">
        <v>661</v>
      </c>
      <c r="D321" s="1" t="s">
        <v>26</v>
      </c>
    </row>
    <row r="322" spans="1:4" ht="17" customHeight="1">
      <c r="A322" s="1">
        <v>2402</v>
      </c>
      <c r="B322" s="1" t="s">
        <v>662</v>
      </c>
      <c r="C322" s="1" t="s">
        <v>663</v>
      </c>
      <c r="D322" s="1" t="s">
        <v>26</v>
      </c>
    </row>
    <row r="323" spans="1:4" ht="17" customHeight="1">
      <c r="A323" s="1">
        <v>2404</v>
      </c>
      <c r="B323" s="1" t="s">
        <v>664</v>
      </c>
      <c r="C323" s="1" t="s">
        <v>665</v>
      </c>
      <c r="D323" s="1" t="s">
        <v>26</v>
      </c>
    </row>
    <row r="324" spans="1:4" ht="17" customHeight="1">
      <c r="A324" s="1">
        <v>2405</v>
      </c>
      <c r="B324" s="1" t="s">
        <v>666</v>
      </c>
      <c r="C324" s="1" t="s">
        <v>667</v>
      </c>
      <c r="D324" s="1" t="s">
        <v>26</v>
      </c>
    </row>
    <row r="325" spans="1:4" ht="17" customHeight="1">
      <c r="A325" s="1">
        <v>2406</v>
      </c>
      <c r="B325" s="1" t="s">
        <v>668</v>
      </c>
      <c r="C325" s="1" t="s">
        <v>669</v>
      </c>
      <c r="D325" s="1" t="s">
        <v>26</v>
      </c>
    </row>
    <row r="326" spans="1:4" ht="17" customHeight="1">
      <c r="A326" s="1">
        <v>2408</v>
      </c>
      <c r="B326" s="1" t="s">
        <v>670</v>
      </c>
      <c r="C326" s="1" t="s">
        <v>671</v>
      </c>
      <c r="D326" s="1" t="s">
        <v>26</v>
      </c>
    </row>
    <row r="327" spans="1:4" ht="17" customHeight="1">
      <c r="A327" s="1">
        <v>2409</v>
      </c>
      <c r="B327" s="1" t="s">
        <v>672</v>
      </c>
      <c r="C327" s="1" t="s">
        <v>673</v>
      </c>
      <c r="D327" s="1" t="s">
        <v>26</v>
      </c>
    </row>
    <row r="328" spans="1:4" ht="17" customHeight="1">
      <c r="A328" s="1">
        <v>2412</v>
      </c>
      <c r="B328" s="1" t="s">
        <v>674</v>
      </c>
      <c r="C328" s="1" t="s">
        <v>675</v>
      </c>
      <c r="D328" s="1" t="s">
        <v>26</v>
      </c>
    </row>
    <row r="329" spans="1:4" ht="17" customHeight="1">
      <c r="A329" s="1">
        <v>2413</v>
      </c>
      <c r="B329" s="1" t="s">
        <v>676</v>
      </c>
      <c r="C329" s="1" t="s">
        <v>677</v>
      </c>
      <c r="D329" s="1" t="s">
        <v>26</v>
      </c>
    </row>
    <row r="330" spans="1:4" ht="17" customHeight="1">
      <c r="A330" s="1">
        <v>2414</v>
      </c>
      <c r="B330" s="1" t="s">
        <v>678</v>
      </c>
      <c r="C330" s="1" t="s">
        <v>679</v>
      </c>
      <c r="D330" s="1" t="s">
        <v>26</v>
      </c>
    </row>
    <row r="331" spans="1:4" ht="17" customHeight="1">
      <c r="A331" s="1">
        <v>2415</v>
      </c>
      <c r="B331" s="1" t="s">
        <v>680</v>
      </c>
      <c r="C331" s="1" t="s">
        <v>681</v>
      </c>
      <c r="D331" s="1" t="s">
        <v>26</v>
      </c>
    </row>
    <row r="332" spans="1:4" ht="17" customHeight="1">
      <c r="A332" s="1">
        <v>2417</v>
      </c>
      <c r="B332" s="1" t="s">
        <v>682</v>
      </c>
      <c r="C332" s="1" t="s">
        <v>683</v>
      </c>
      <c r="D332" s="1" t="s">
        <v>26</v>
      </c>
    </row>
    <row r="333" spans="1:4" ht="17" customHeight="1">
      <c r="A333" s="1">
        <v>2419</v>
      </c>
      <c r="B333" s="1" t="s">
        <v>684</v>
      </c>
      <c r="C333" s="1" t="s">
        <v>685</v>
      </c>
      <c r="D333" s="1" t="s">
        <v>26</v>
      </c>
    </row>
    <row r="334" spans="1:4" ht="17" customHeight="1">
      <c r="A334" s="1">
        <v>2420</v>
      </c>
      <c r="B334" s="1" t="s">
        <v>686</v>
      </c>
      <c r="C334" s="1" t="s">
        <v>687</v>
      </c>
      <c r="D334" s="1" t="s">
        <v>26</v>
      </c>
    </row>
    <row r="335" spans="1:4" ht="17" customHeight="1">
      <c r="A335" s="1">
        <v>2421</v>
      </c>
      <c r="B335" s="1" t="s">
        <v>688</v>
      </c>
      <c r="C335" s="1" t="s">
        <v>689</v>
      </c>
      <c r="D335" s="1" t="s">
        <v>26</v>
      </c>
    </row>
    <row r="336" spans="1:4" ht="17" customHeight="1">
      <c r="A336" s="1">
        <v>2423</v>
      </c>
      <c r="B336" s="1" t="s">
        <v>690</v>
      </c>
      <c r="C336" s="1" t="s">
        <v>691</v>
      </c>
      <c r="D336" s="1" t="s">
        <v>26</v>
      </c>
    </row>
    <row r="337" spans="1:4" ht="17" customHeight="1">
      <c r="A337" s="1">
        <v>2424</v>
      </c>
      <c r="B337" s="1" t="s">
        <v>692</v>
      </c>
      <c r="C337" s="1" t="s">
        <v>693</v>
      </c>
      <c r="D337" s="1" t="s">
        <v>26</v>
      </c>
    </row>
    <row r="338" spans="1:4" ht="17" customHeight="1">
      <c r="A338" s="1">
        <v>2425</v>
      </c>
      <c r="B338" s="1" t="s">
        <v>694</v>
      </c>
      <c r="C338" s="1" t="s">
        <v>695</v>
      </c>
      <c r="D338" s="1" t="s">
        <v>26</v>
      </c>
    </row>
    <row r="339" spans="1:4" ht="17" customHeight="1">
      <c r="A339" s="1">
        <v>2426</v>
      </c>
      <c r="B339" s="1" t="s">
        <v>696</v>
      </c>
      <c r="C339" s="1" t="s">
        <v>697</v>
      </c>
      <c r="D339" s="1" t="s">
        <v>26</v>
      </c>
    </row>
    <row r="340" spans="1:4" ht="17" customHeight="1">
      <c r="A340" s="1">
        <v>2427</v>
      </c>
      <c r="B340" s="1" t="s">
        <v>698</v>
      </c>
      <c r="C340" s="1" t="s">
        <v>699</v>
      </c>
      <c r="D340" s="1" t="s">
        <v>26</v>
      </c>
    </row>
    <row r="341" spans="1:4" ht="17" customHeight="1">
      <c r="A341" s="1">
        <v>2428</v>
      </c>
      <c r="B341" s="1" t="s">
        <v>700</v>
      </c>
      <c r="C341" s="1" t="s">
        <v>701</v>
      </c>
      <c r="D341" s="1" t="s">
        <v>26</v>
      </c>
    </row>
    <row r="342" spans="1:4" ht="17" customHeight="1">
      <c r="A342" s="1">
        <v>2429</v>
      </c>
      <c r="B342" s="1" t="s">
        <v>702</v>
      </c>
      <c r="C342" s="1" t="s">
        <v>703</v>
      </c>
      <c r="D342" s="1" t="s">
        <v>26</v>
      </c>
    </row>
    <row r="343" spans="1:4" ht="17" customHeight="1">
      <c r="A343" s="1">
        <v>2430</v>
      </c>
      <c r="B343" s="1" t="s">
        <v>704</v>
      </c>
      <c r="C343" s="1" t="s">
        <v>705</v>
      </c>
      <c r="D343" s="1" t="s">
        <v>26</v>
      </c>
    </row>
    <row r="344" spans="1:4" ht="17" customHeight="1">
      <c r="A344" s="1">
        <v>2431</v>
      </c>
      <c r="B344" s="1" t="s">
        <v>706</v>
      </c>
      <c r="C344" s="1" t="s">
        <v>707</v>
      </c>
      <c r="D344" s="1" t="s">
        <v>26</v>
      </c>
    </row>
    <row r="345" spans="1:4" ht="17" customHeight="1">
      <c r="A345" s="1">
        <v>2433</v>
      </c>
      <c r="B345" s="1" t="s">
        <v>708</v>
      </c>
      <c r="C345" s="1" t="s">
        <v>709</v>
      </c>
      <c r="D345" s="1" t="s">
        <v>26</v>
      </c>
    </row>
    <row r="346" spans="1:4" ht="17" customHeight="1">
      <c r="A346" s="1">
        <v>2434</v>
      </c>
      <c r="B346" s="1" t="s">
        <v>710</v>
      </c>
      <c r="C346" s="1" t="s">
        <v>711</v>
      </c>
      <c r="D346" s="1" t="s">
        <v>26</v>
      </c>
    </row>
    <row r="347" spans="1:4" ht="17" customHeight="1">
      <c r="A347" s="1">
        <v>2436</v>
      </c>
      <c r="B347" s="1" t="s">
        <v>712</v>
      </c>
      <c r="C347" s="1" t="s">
        <v>713</v>
      </c>
      <c r="D347" s="1" t="s">
        <v>26</v>
      </c>
    </row>
    <row r="348" spans="1:4" ht="17" customHeight="1">
      <c r="A348" s="1">
        <v>2438</v>
      </c>
      <c r="B348" s="1" t="s">
        <v>714</v>
      </c>
      <c r="C348" s="1" t="s">
        <v>715</v>
      </c>
      <c r="D348" s="1" t="s">
        <v>26</v>
      </c>
    </row>
    <row r="349" spans="1:4" ht="17" customHeight="1">
      <c r="A349" s="1">
        <v>2439</v>
      </c>
      <c r="B349" s="1" t="s">
        <v>716</v>
      </c>
      <c r="C349" s="1" t="s">
        <v>717</v>
      </c>
      <c r="D349" s="1" t="s">
        <v>26</v>
      </c>
    </row>
    <row r="350" spans="1:4" ht="17" customHeight="1">
      <c r="A350" s="1">
        <v>2440</v>
      </c>
      <c r="B350" s="1" t="s">
        <v>718</v>
      </c>
      <c r="C350" s="1" t="s">
        <v>719</v>
      </c>
      <c r="D350" s="1" t="s">
        <v>26</v>
      </c>
    </row>
    <row r="351" spans="1:4" ht="17" customHeight="1">
      <c r="A351" s="1">
        <v>2441</v>
      </c>
      <c r="B351" s="1" t="s">
        <v>720</v>
      </c>
      <c r="C351" s="1" t="s">
        <v>721</v>
      </c>
      <c r="D351" s="1" t="s">
        <v>26</v>
      </c>
    </row>
    <row r="352" spans="1:4" ht="17" customHeight="1">
      <c r="A352" s="1">
        <v>2442</v>
      </c>
      <c r="B352" s="1" t="s">
        <v>722</v>
      </c>
      <c r="C352" s="1" t="s">
        <v>723</v>
      </c>
      <c r="D352" s="1" t="s">
        <v>26</v>
      </c>
    </row>
    <row r="353" spans="1:4" ht="17" customHeight="1">
      <c r="A353" s="1">
        <v>2443</v>
      </c>
      <c r="B353" s="1" t="s">
        <v>724</v>
      </c>
      <c r="C353" s="1" t="s">
        <v>725</v>
      </c>
      <c r="D353" s="1" t="s">
        <v>26</v>
      </c>
    </row>
    <row r="354" spans="1:4" ht="17" customHeight="1">
      <c r="A354" s="1">
        <v>2444</v>
      </c>
      <c r="B354" s="1" t="s">
        <v>726</v>
      </c>
      <c r="C354" s="1" t="s">
        <v>727</v>
      </c>
      <c r="D354" s="1" t="s">
        <v>26</v>
      </c>
    </row>
    <row r="355" spans="1:4" ht="17" customHeight="1">
      <c r="A355" s="1">
        <v>2448</v>
      </c>
      <c r="B355" s="1" t="s">
        <v>728</v>
      </c>
      <c r="C355" s="1" t="s">
        <v>729</v>
      </c>
      <c r="D355" s="1" t="s">
        <v>26</v>
      </c>
    </row>
    <row r="356" spans="1:4" ht="17" customHeight="1">
      <c r="A356" s="1">
        <v>2449</v>
      </c>
      <c r="B356" s="1" t="s">
        <v>730</v>
      </c>
      <c r="C356" s="1" t="s">
        <v>731</v>
      </c>
      <c r="D356" s="1" t="s">
        <v>26</v>
      </c>
    </row>
    <row r="357" spans="1:4" ht="17" customHeight="1">
      <c r="A357" s="1">
        <v>2450</v>
      </c>
      <c r="B357" s="1" t="s">
        <v>732</v>
      </c>
      <c r="C357" s="1" t="s">
        <v>733</v>
      </c>
      <c r="D357" s="1" t="s">
        <v>26</v>
      </c>
    </row>
    <row r="358" spans="1:4" ht="17" customHeight="1">
      <c r="A358" s="1">
        <v>2451</v>
      </c>
      <c r="B358" s="1" t="s">
        <v>734</v>
      </c>
      <c r="C358" s="1" t="s">
        <v>735</v>
      </c>
      <c r="D358" s="1" t="s">
        <v>26</v>
      </c>
    </row>
    <row r="359" spans="1:4" ht="17" customHeight="1">
      <c r="A359" s="1">
        <v>2453</v>
      </c>
      <c r="B359" s="1" t="s">
        <v>736</v>
      </c>
      <c r="C359" s="1" t="s">
        <v>737</v>
      </c>
      <c r="D359" s="1" t="s">
        <v>26</v>
      </c>
    </row>
    <row r="360" spans="1:4" ht="17" customHeight="1">
      <c r="A360" s="1">
        <v>2454</v>
      </c>
      <c r="B360" s="1" t="s">
        <v>738</v>
      </c>
      <c r="C360" s="1" t="s">
        <v>739</v>
      </c>
      <c r="D360" s="1" t="s">
        <v>26</v>
      </c>
    </row>
    <row r="361" spans="1:4" ht="17" customHeight="1">
      <c r="A361" s="1">
        <v>2455</v>
      </c>
      <c r="B361" s="1" t="s">
        <v>740</v>
      </c>
      <c r="C361" s="1" t="s">
        <v>741</v>
      </c>
      <c r="D361" s="1" t="s">
        <v>26</v>
      </c>
    </row>
    <row r="362" spans="1:4" ht="17" customHeight="1">
      <c r="A362" s="1">
        <v>2456</v>
      </c>
      <c r="B362" s="1" t="s">
        <v>742</v>
      </c>
      <c r="C362" s="1" t="s">
        <v>743</v>
      </c>
      <c r="D362" s="1" t="s">
        <v>26</v>
      </c>
    </row>
    <row r="363" spans="1:4" ht="17" customHeight="1">
      <c r="A363" s="1">
        <v>2457</v>
      </c>
      <c r="B363" s="1" t="s">
        <v>744</v>
      </c>
      <c r="C363" s="1" t="s">
        <v>745</v>
      </c>
      <c r="D363" s="1" t="s">
        <v>26</v>
      </c>
    </row>
    <row r="364" spans="1:4" ht="17" customHeight="1">
      <c r="A364" s="1">
        <v>2458</v>
      </c>
      <c r="B364" s="1" t="s">
        <v>746</v>
      </c>
      <c r="C364" s="1" t="s">
        <v>747</v>
      </c>
      <c r="D364" s="1" t="s">
        <v>26</v>
      </c>
    </row>
    <row r="365" spans="1:4" ht="17" customHeight="1">
      <c r="A365" s="1">
        <v>2459</v>
      </c>
      <c r="B365" s="1" t="s">
        <v>748</v>
      </c>
      <c r="C365" s="1" t="s">
        <v>749</v>
      </c>
      <c r="D365" s="1" t="s">
        <v>26</v>
      </c>
    </row>
    <row r="366" spans="1:4" ht="17" customHeight="1">
      <c r="A366" s="1">
        <v>2460</v>
      </c>
      <c r="B366" s="1" t="s">
        <v>750</v>
      </c>
      <c r="C366" s="1" t="s">
        <v>751</v>
      </c>
      <c r="D366" s="1" t="s">
        <v>26</v>
      </c>
    </row>
    <row r="367" spans="1:4" ht="17" customHeight="1">
      <c r="A367" s="1">
        <v>2461</v>
      </c>
      <c r="B367" s="1" t="s">
        <v>752</v>
      </c>
      <c r="C367" s="1" t="s">
        <v>753</v>
      </c>
      <c r="D367" s="1" t="s">
        <v>26</v>
      </c>
    </row>
    <row r="368" spans="1:4" ht="17" customHeight="1">
      <c r="A368" s="1">
        <v>2462</v>
      </c>
      <c r="B368" s="1" t="s">
        <v>754</v>
      </c>
      <c r="C368" s="1" t="s">
        <v>755</v>
      </c>
      <c r="D368" s="1" t="s">
        <v>26</v>
      </c>
    </row>
    <row r="369" spans="1:4" ht="17" customHeight="1">
      <c r="A369" s="1">
        <v>2464</v>
      </c>
      <c r="B369" s="1" t="s">
        <v>756</v>
      </c>
      <c r="C369" s="1" t="s">
        <v>757</v>
      </c>
      <c r="D369" s="1" t="s">
        <v>26</v>
      </c>
    </row>
    <row r="370" spans="1:4" ht="17" customHeight="1">
      <c r="A370" s="1">
        <v>2465</v>
      </c>
      <c r="B370" s="1" t="s">
        <v>758</v>
      </c>
      <c r="C370" s="1" t="s">
        <v>759</v>
      </c>
      <c r="D370" s="1" t="s">
        <v>26</v>
      </c>
    </row>
    <row r="371" spans="1:4" ht="17" customHeight="1">
      <c r="A371" s="1">
        <v>2466</v>
      </c>
      <c r="B371" s="1" t="s">
        <v>760</v>
      </c>
      <c r="C371" s="1" t="s">
        <v>761</v>
      </c>
      <c r="D371" s="1" t="s">
        <v>26</v>
      </c>
    </row>
    <row r="372" spans="1:4" ht="17" customHeight="1">
      <c r="A372" s="1">
        <v>2467</v>
      </c>
      <c r="B372" s="1" t="s">
        <v>762</v>
      </c>
      <c r="C372" s="1" t="s">
        <v>763</v>
      </c>
      <c r="D372" s="1" t="s">
        <v>26</v>
      </c>
    </row>
    <row r="373" spans="1:4" ht="17" customHeight="1">
      <c r="A373" s="1">
        <v>2468</v>
      </c>
      <c r="B373" s="1" t="s">
        <v>764</v>
      </c>
      <c r="C373" s="1" t="s">
        <v>765</v>
      </c>
      <c r="D373" s="1" t="s">
        <v>26</v>
      </c>
    </row>
    <row r="374" spans="1:4" ht="17" customHeight="1">
      <c r="A374" s="1">
        <v>2471</v>
      </c>
      <c r="B374" s="1" t="s">
        <v>766</v>
      </c>
      <c r="C374" s="1" t="s">
        <v>767</v>
      </c>
      <c r="D374" s="1" t="s">
        <v>26</v>
      </c>
    </row>
    <row r="375" spans="1:4" ht="17" customHeight="1">
      <c r="A375" s="1">
        <v>2472</v>
      </c>
      <c r="B375" s="1" t="s">
        <v>768</v>
      </c>
      <c r="C375" s="1" t="s">
        <v>769</v>
      </c>
      <c r="D375" s="1" t="s">
        <v>26</v>
      </c>
    </row>
    <row r="376" spans="1:4" ht="17" customHeight="1">
      <c r="A376" s="1">
        <v>2474</v>
      </c>
      <c r="B376" s="1" t="s">
        <v>770</v>
      </c>
      <c r="C376" s="1" t="s">
        <v>771</v>
      </c>
      <c r="D376" s="1" t="s">
        <v>26</v>
      </c>
    </row>
    <row r="377" spans="1:4" ht="17" customHeight="1">
      <c r="A377" s="1">
        <v>2476</v>
      </c>
      <c r="B377" s="1" t="s">
        <v>772</v>
      </c>
      <c r="C377" s="1" t="s">
        <v>773</v>
      </c>
      <c r="D377" s="1" t="s">
        <v>26</v>
      </c>
    </row>
    <row r="378" spans="1:4" ht="17" customHeight="1">
      <c r="A378" s="1">
        <v>2477</v>
      </c>
      <c r="B378" s="1" t="s">
        <v>774</v>
      </c>
      <c r="C378" s="1" t="s">
        <v>775</v>
      </c>
      <c r="D378" s="1" t="s">
        <v>26</v>
      </c>
    </row>
    <row r="379" spans="1:4" ht="17" customHeight="1">
      <c r="A379" s="1">
        <v>2478</v>
      </c>
      <c r="B379" s="1" t="s">
        <v>776</v>
      </c>
      <c r="C379" s="1" t="s">
        <v>777</v>
      </c>
      <c r="D379" s="1" t="s">
        <v>26</v>
      </c>
    </row>
    <row r="380" spans="1:4" ht="17" customHeight="1">
      <c r="A380" s="1">
        <v>2480</v>
      </c>
      <c r="B380" s="1" t="s">
        <v>778</v>
      </c>
      <c r="C380" s="1" t="s">
        <v>779</v>
      </c>
      <c r="D380" s="1" t="s">
        <v>26</v>
      </c>
    </row>
    <row r="381" spans="1:4" ht="17" customHeight="1">
      <c r="A381" s="1">
        <v>2481</v>
      </c>
      <c r="B381" s="1" t="s">
        <v>780</v>
      </c>
      <c r="C381" s="1" t="s">
        <v>781</v>
      </c>
      <c r="D381" s="1" t="s">
        <v>26</v>
      </c>
    </row>
    <row r="382" spans="1:4" ht="17" customHeight="1">
      <c r="A382" s="1">
        <v>2482</v>
      </c>
      <c r="B382" s="1" t="s">
        <v>782</v>
      </c>
      <c r="C382" s="1" t="s">
        <v>783</v>
      </c>
      <c r="D382" s="1" t="s">
        <v>26</v>
      </c>
    </row>
    <row r="383" spans="1:4" ht="17" customHeight="1">
      <c r="A383" s="1">
        <v>2483</v>
      </c>
      <c r="B383" s="1" t="s">
        <v>784</v>
      </c>
      <c r="C383" s="1" t="s">
        <v>785</v>
      </c>
      <c r="D383" s="1" t="s">
        <v>26</v>
      </c>
    </row>
    <row r="384" spans="1:4" ht="17" customHeight="1">
      <c r="A384" s="1">
        <v>2484</v>
      </c>
      <c r="B384" s="1" t="s">
        <v>786</v>
      </c>
      <c r="C384" s="1" t="s">
        <v>787</v>
      </c>
      <c r="D384" s="1" t="s">
        <v>26</v>
      </c>
    </row>
    <row r="385" spans="1:4" ht="17" customHeight="1">
      <c r="A385" s="1">
        <v>2485</v>
      </c>
      <c r="B385" s="1" t="s">
        <v>788</v>
      </c>
      <c r="C385" s="1" t="s">
        <v>789</v>
      </c>
      <c r="D385" s="1" t="s">
        <v>26</v>
      </c>
    </row>
    <row r="386" spans="1:4" ht="17" customHeight="1">
      <c r="A386" s="1">
        <v>2486</v>
      </c>
      <c r="B386" s="1" t="s">
        <v>790</v>
      </c>
      <c r="C386" s="1" t="s">
        <v>791</v>
      </c>
      <c r="D386" s="1" t="s">
        <v>26</v>
      </c>
    </row>
    <row r="387" spans="1:4" ht="17" customHeight="1">
      <c r="A387" s="1">
        <v>2488</v>
      </c>
      <c r="B387" s="1" t="s">
        <v>792</v>
      </c>
      <c r="C387" s="1" t="s">
        <v>793</v>
      </c>
      <c r="D387" s="1" t="s">
        <v>26</v>
      </c>
    </row>
    <row r="388" spans="1:4" ht="17" customHeight="1">
      <c r="A388" s="1">
        <v>2489</v>
      </c>
      <c r="B388" s="1" t="s">
        <v>794</v>
      </c>
      <c r="C388" s="1" t="s">
        <v>795</v>
      </c>
      <c r="D388" s="1" t="s">
        <v>26</v>
      </c>
    </row>
    <row r="389" spans="1:4" ht="17" customHeight="1">
      <c r="A389" s="1">
        <v>2491</v>
      </c>
      <c r="B389" s="1" t="s">
        <v>796</v>
      </c>
      <c r="C389" s="1" t="s">
        <v>797</v>
      </c>
      <c r="D389" s="1" t="s">
        <v>26</v>
      </c>
    </row>
    <row r="390" spans="1:4" ht="17" customHeight="1">
      <c r="A390" s="1">
        <v>2492</v>
      </c>
      <c r="B390" s="1" t="s">
        <v>798</v>
      </c>
      <c r="C390" s="1" t="s">
        <v>799</v>
      </c>
      <c r="D390" s="1" t="s">
        <v>26</v>
      </c>
    </row>
    <row r="391" spans="1:4" ht="17" customHeight="1">
      <c r="A391" s="1">
        <v>2493</v>
      </c>
      <c r="B391" s="1" t="s">
        <v>800</v>
      </c>
      <c r="C391" s="1" t="s">
        <v>801</v>
      </c>
      <c r="D391" s="1" t="s">
        <v>26</v>
      </c>
    </row>
    <row r="392" spans="1:4" ht="17" customHeight="1">
      <c r="A392" s="1">
        <v>2495</v>
      </c>
      <c r="B392" s="1" t="s">
        <v>802</v>
      </c>
      <c r="C392" s="1" t="s">
        <v>803</v>
      </c>
      <c r="D392" s="1" t="s">
        <v>26</v>
      </c>
    </row>
    <row r="393" spans="1:4" ht="17" customHeight="1">
      <c r="A393" s="1">
        <v>2496</v>
      </c>
      <c r="B393" s="1" t="s">
        <v>804</v>
      </c>
      <c r="C393" s="1" t="s">
        <v>805</v>
      </c>
      <c r="D393" s="1" t="s">
        <v>26</v>
      </c>
    </row>
    <row r="394" spans="1:4" ht="17" customHeight="1">
      <c r="A394" s="1">
        <v>2497</v>
      </c>
      <c r="B394" s="1" t="s">
        <v>806</v>
      </c>
      <c r="C394" s="1" t="s">
        <v>807</v>
      </c>
      <c r="D394" s="1" t="s">
        <v>26</v>
      </c>
    </row>
    <row r="395" spans="1:4" ht="17" customHeight="1">
      <c r="A395" s="1">
        <v>2498</v>
      </c>
      <c r="B395" s="1" t="s">
        <v>808</v>
      </c>
      <c r="C395" s="1" t="s">
        <v>809</v>
      </c>
      <c r="D395" s="1" t="s">
        <v>26</v>
      </c>
    </row>
    <row r="396" spans="1:4" ht="17" customHeight="1">
      <c r="A396" s="1">
        <v>2499</v>
      </c>
      <c r="B396" s="1" t="s">
        <v>810</v>
      </c>
      <c r="C396" s="1" t="s">
        <v>811</v>
      </c>
      <c r="D396" s="1" t="s">
        <v>26</v>
      </c>
    </row>
    <row r="397" spans="1:4" ht="17" customHeight="1">
      <c r="A397" s="1">
        <v>2501</v>
      </c>
      <c r="B397" s="1" t="s">
        <v>812</v>
      </c>
      <c r="C397" s="1" t="s">
        <v>813</v>
      </c>
      <c r="D397" s="1" t="s">
        <v>26</v>
      </c>
    </row>
    <row r="398" spans="1:4" ht="17" customHeight="1">
      <c r="A398" s="1">
        <v>2504</v>
      </c>
      <c r="B398" s="1" t="s">
        <v>814</v>
      </c>
      <c r="C398" s="1" t="s">
        <v>815</v>
      </c>
      <c r="D398" s="1" t="s">
        <v>26</v>
      </c>
    </row>
    <row r="399" spans="1:4" ht="17" customHeight="1">
      <c r="A399" s="1">
        <v>2505</v>
      </c>
      <c r="B399" s="1" t="s">
        <v>816</v>
      </c>
      <c r="C399" s="1" t="s">
        <v>817</v>
      </c>
      <c r="D399" s="1" t="s">
        <v>26</v>
      </c>
    </row>
    <row r="400" spans="1:4" ht="17" customHeight="1">
      <c r="A400" s="1">
        <v>2506</v>
      </c>
      <c r="B400" s="1" t="s">
        <v>818</v>
      </c>
      <c r="C400" s="1" t="s">
        <v>819</v>
      </c>
      <c r="D400" s="1" t="s">
        <v>26</v>
      </c>
    </row>
    <row r="401" spans="1:4" ht="17" customHeight="1">
      <c r="A401" s="1">
        <v>2509</v>
      </c>
      <c r="B401" s="1" t="s">
        <v>820</v>
      </c>
      <c r="C401" s="1" t="s">
        <v>821</v>
      </c>
      <c r="D401" s="1" t="s">
        <v>26</v>
      </c>
    </row>
    <row r="402" spans="1:4" ht="17" customHeight="1">
      <c r="A402" s="1">
        <v>2511</v>
      </c>
      <c r="B402" s="1" t="s">
        <v>822</v>
      </c>
      <c r="C402" s="1" t="s">
        <v>823</v>
      </c>
      <c r="D402" s="1" t="s">
        <v>26</v>
      </c>
    </row>
    <row r="403" spans="1:4" ht="17" customHeight="1">
      <c r="A403" s="1">
        <v>2514</v>
      </c>
      <c r="B403" s="1" t="s">
        <v>824</v>
      </c>
      <c r="C403" s="1" t="s">
        <v>825</v>
      </c>
      <c r="D403" s="1" t="s">
        <v>26</v>
      </c>
    </row>
    <row r="404" spans="1:4" ht="17" customHeight="1">
      <c r="A404" s="1">
        <v>2515</v>
      </c>
      <c r="B404" s="1" t="s">
        <v>826</v>
      </c>
      <c r="C404" s="1" t="s">
        <v>827</v>
      </c>
      <c r="D404" s="1" t="s">
        <v>26</v>
      </c>
    </row>
    <row r="405" spans="1:4" ht="17" customHeight="1">
      <c r="A405" s="1">
        <v>2516</v>
      </c>
      <c r="B405" s="1" t="s">
        <v>828</v>
      </c>
      <c r="C405" s="1" t="s">
        <v>829</v>
      </c>
      <c r="D405" s="1" t="s">
        <v>26</v>
      </c>
    </row>
    <row r="406" spans="1:4" ht="17" customHeight="1">
      <c r="A406" s="1">
        <v>2520</v>
      </c>
      <c r="B406" s="1" t="s">
        <v>830</v>
      </c>
      <c r="C406" s="1" t="s">
        <v>831</v>
      </c>
      <c r="D406" s="1" t="s">
        <v>26</v>
      </c>
    </row>
    <row r="407" spans="1:4" ht="17" customHeight="1">
      <c r="A407" s="1">
        <v>2524</v>
      </c>
      <c r="B407" s="1" t="s">
        <v>832</v>
      </c>
      <c r="C407" s="1" t="s">
        <v>833</v>
      </c>
      <c r="D407" s="1" t="s">
        <v>26</v>
      </c>
    </row>
    <row r="408" spans="1:4" ht="17" customHeight="1">
      <c r="A408" s="1">
        <v>2527</v>
      </c>
      <c r="B408" s="1" t="s">
        <v>834</v>
      </c>
      <c r="C408" s="1" t="s">
        <v>835</v>
      </c>
      <c r="D408" s="1" t="s">
        <v>26</v>
      </c>
    </row>
    <row r="409" spans="1:4" ht="17" customHeight="1">
      <c r="A409" s="1">
        <v>2528</v>
      </c>
      <c r="B409" s="1" t="s">
        <v>836</v>
      </c>
      <c r="C409" s="1" t="s">
        <v>837</v>
      </c>
      <c r="D409" s="1" t="s">
        <v>26</v>
      </c>
    </row>
    <row r="410" spans="1:4" ht="17" customHeight="1">
      <c r="A410" s="1">
        <v>2530</v>
      </c>
      <c r="B410" s="1" t="s">
        <v>838</v>
      </c>
      <c r="C410" s="1" t="s">
        <v>839</v>
      </c>
      <c r="D410" s="1" t="s">
        <v>26</v>
      </c>
    </row>
    <row r="411" spans="1:4" ht="17" customHeight="1">
      <c r="A411" s="1">
        <v>2534</v>
      </c>
      <c r="B411" s="1" t="s">
        <v>840</v>
      </c>
      <c r="C411" s="1" t="s">
        <v>841</v>
      </c>
      <c r="D411" s="1" t="s">
        <v>26</v>
      </c>
    </row>
    <row r="412" spans="1:4" ht="17" customHeight="1">
      <c r="A412" s="1">
        <v>2535</v>
      </c>
      <c r="B412" s="1" t="s">
        <v>842</v>
      </c>
      <c r="C412" s="1" t="s">
        <v>843</v>
      </c>
      <c r="D412" s="1" t="s">
        <v>26</v>
      </c>
    </row>
    <row r="413" spans="1:4" ht="17" customHeight="1">
      <c r="A413" s="1">
        <v>2536</v>
      </c>
      <c r="B413" s="1" t="s">
        <v>844</v>
      </c>
      <c r="C413" s="1" t="s">
        <v>845</v>
      </c>
      <c r="D413" s="1" t="s">
        <v>26</v>
      </c>
    </row>
    <row r="414" spans="1:4" ht="17" customHeight="1">
      <c r="A414" s="1">
        <v>2537</v>
      </c>
      <c r="B414" s="1" t="s">
        <v>846</v>
      </c>
      <c r="C414" s="1" t="s">
        <v>847</v>
      </c>
      <c r="D414" s="1" t="s">
        <v>26</v>
      </c>
    </row>
    <row r="415" spans="1:4" ht="17" customHeight="1">
      <c r="A415" s="1">
        <v>2538</v>
      </c>
      <c r="B415" s="1" t="s">
        <v>848</v>
      </c>
      <c r="C415" s="1" t="s">
        <v>849</v>
      </c>
      <c r="D415" s="1" t="s">
        <v>26</v>
      </c>
    </row>
    <row r="416" spans="1:4" ht="17" customHeight="1">
      <c r="A416" s="1">
        <v>2539</v>
      </c>
      <c r="B416" s="1" t="s">
        <v>850</v>
      </c>
      <c r="C416" s="1" t="s">
        <v>851</v>
      </c>
      <c r="D416" s="1" t="s">
        <v>26</v>
      </c>
    </row>
    <row r="417" spans="1:4" ht="17" customHeight="1">
      <c r="A417" s="1">
        <v>2540</v>
      </c>
      <c r="B417" s="1" t="s">
        <v>852</v>
      </c>
      <c r="C417" s="1" t="s">
        <v>853</v>
      </c>
      <c r="D417" s="1" t="s">
        <v>26</v>
      </c>
    </row>
    <row r="418" spans="1:4" ht="17" customHeight="1">
      <c r="A418" s="1">
        <v>2542</v>
      </c>
      <c r="B418" s="1" t="s">
        <v>854</v>
      </c>
      <c r="C418" s="1" t="s">
        <v>855</v>
      </c>
      <c r="D418" s="1" t="s">
        <v>26</v>
      </c>
    </row>
    <row r="419" spans="1:4" ht="17" customHeight="1">
      <c r="A419" s="1">
        <v>2543</v>
      </c>
      <c r="B419" s="1" t="s">
        <v>856</v>
      </c>
      <c r="C419" s="1" t="s">
        <v>857</v>
      </c>
      <c r="D419" s="1" t="s">
        <v>26</v>
      </c>
    </row>
    <row r="420" spans="1:4" ht="17" customHeight="1">
      <c r="A420" s="1">
        <v>2545</v>
      </c>
      <c r="B420" s="1" t="s">
        <v>858</v>
      </c>
      <c r="C420" s="1" t="s">
        <v>859</v>
      </c>
      <c r="D420" s="1" t="s">
        <v>26</v>
      </c>
    </row>
    <row r="421" spans="1:4" ht="17" customHeight="1">
      <c r="A421" s="1">
        <v>2546</v>
      </c>
      <c r="B421" s="1" t="s">
        <v>860</v>
      </c>
      <c r="C421" s="1" t="s">
        <v>861</v>
      </c>
      <c r="D421" s="1" t="s">
        <v>26</v>
      </c>
    </row>
    <row r="422" spans="1:4" ht="17" customHeight="1">
      <c r="A422" s="1">
        <v>2547</v>
      </c>
      <c r="B422" s="1" t="s">
        <v>862</v>
      </c>
      <c r="C422" s="1" t="s">
        <v>863</v>
      </c>
      <c r="D422" s="1" t="s">
        <v>26</v>
      </c>
    </row>
    <row r="423" spans="1:4" ht="17" customHeight="1">
      <c r="A423" s="1">
        <v>2548</v>
      </c>
      <c r="B423" s="1" t="s">
        <v>864</v>
      </c>
      <c r="C423" s="1" t="s">
        <v>865</v>
      </c>
      <c r="D423" s="1" t="s">
        <v>26</v>
      </c>
    </row>
    <row r="424" spans="1:4" ht="17" customHeight="1">
      <c r="A424" s="1">
        <v>2597</v>
      </c>
      <c r="B424" s="1" t="s">
        <v>866</v>
      </c>
      <c r="C424" s="1" t="s">
        <v>867</v>
      </c>
      <c r="D424" s="1" t="s">
        <v>26</v>
      </c>
    </row>
    <row r="425" spans="1:4" ht="17" customHeight="1">
      <c r="A425" s="1">
        <v>2601</v>
      </c>
      <c r="B425" s="1" t="s">
        <v>868</v>
      </c>
      <c r="C425" s="1" t="s">
        <v>869</v>
      </c>
      <c r="D425" s="1" t="s">
        <v>26</v>
      </c>
    </row>
    <row r="426" spans="1:4" ht="17" customHeight="1">
      <c r="A426" s="1">
        <v>2603</v>
      </c>
      <c r="B426" s="1" t="s">
        <v>870</v>
      </c>
      <c r="C426" s="1" t="s">
        <v>871</v>
      </c>
      <c r="D426" s="1" t="s">
        <v>26</v>
      </c>
    </row>
    <row r="427" spans="1:4" ht="17" customHeight="1">
      <c r="A427" s="1">
        <v>2605</v>
      </c>
      <c r="B427" s="1" t="s">
        <v>872</v>
      </c>
      <c r="C427" s="1" t="s">
        <v>873</v>
      </c>
      <c r="D427" s="1" t="s">
        <v>26</v>
      </c>
    </row>
    <row r="428" spans="1:4" ht="17" customHeight="1">
      <c r="A428" s="1">
        <v>2606</v>
      </c>
      <c r="B428" s="1" t="s">
        <v>874</v>
      </c>
      <c r="C428" s="1" t="s">
        <v>875</v>
      </c>
      <c r="D428" s="1" t="s">
        <v>26</v>
      </c>
    </row>
    <row r="429" spans="1:4" ht="17" customHeight="1">
      <c r="A429" s="1">
        <v>2607</v>
      </c>
      <c r="B429" s="1" t="s">
        <v>876</v>
      </c>
      <c r="C429" s="1" t="s">
        <v>877</v>
      </c>
      <c r="D429" s="1" t="s">
        <v>26</v>
      </c>
    </row>
    <row r="430" spans="1:4" ht="17" customHeight="1">
      <c r="A430" s="1">
        <v>2608</v>
      </c>
      <c r="B430" s="1" t="s">
        <v>878</v>
      </c>
      <c r="C430" s="1" t="s">
        <v>879</v>
      </c>
      <c r="D430" s="1" t="s">
        <v>26</v>
      </c>
    </row>
    <row r="431" spans="1:4" ht="17" customHeight="1">
      <c r="A431" s="1">
        <v>2609</v>
      </c>
      <c r="B431" s="1" t="s">
        <v>880</v>
      </c>
      <c r="C431" s="1" t="s">
        <v>881</v>
      </c>
      <c r="D431" s="1" t="s">
        <v>26</v>
      </c>
    </row>
    <row r="432" spans="1:4" ht="17" customHeight="1">
      <c r="A432" s="1">
        <v>2610</v>
      </c>
      <c r="B432" s="1" t="s">
        <v>882</v>
      </c>
      <c r="C432" s="1" t="s">
        <v>883</v>
      </c>
      <c r="D432" s="1" t="s">
        <v>26</v>
      </c>
    </row>
    <row r="433" spans="1:4" ht="17" customHeight="1">
      <c r="A433" s="1">
        <v>2611</v>
      </c>
      <c r="B433" s="1" t="s">
        <v>884</v>
      </c>
      <c r="C433" s="1" t="s">
        <v>885</v>
      </c>
      <c r="D433" s="1" t="s">
        <v>26</v>
      </c>
    </row>
    <row r="434" spans="1:4" ht="17" customHeight="1">
      <c r="A434" s="1">
        <v>2612</v>
      </c>
      <c r="B434" s="1" t="s">
        <v>886</v>
      </c>
      <c r="C434" s="1" t="s">
        <v>887</v>
      </c>
      <c r="D434" s="1" t="s">
        <v>26</v>
      </c>
    </row>
    <row r="435" spans="1:4" ht="17" customHeight="1">
      <c r="A435" s="1">
        <v>2613</v>
      </c>
      <c r="B435" s="1" t="s">
        <v>888</v>
      </c>
      <c r="C435" s="1" t="s">
        <v>889</v>
      </c>
      <c r="D435" s="1" t="s">
        <v>26</v>
      </c>
    </row>
    <row r="436" spans="1:4" ht="17" customHeight="1">
      <c r="A436" s="1">
        <v>2614</v>
      </c>
      <c r="B436" s="1" t="s">
        <v>890</v>
      </c>
      <c r="C436" s="1" t="s">
        <v>891</v>
      </c>
      <c r="D436" s="1" t="s">
        <v>26</v>
      </c>
    </row>
    <row r="437" spans="1:4" ht="17" customHeight="1">
      <c r="A437" s="1">
        <v>2615</v>
      </c>
      <c r="B437" s="1" t="s">
        <v>892</v>
      </c>
      <c r="C437" s="1" t="s">
        <v>893</v>
      </c>
      <c r="D437" s="1" t="s">
        <v>26</v>
      </c>
    </row>
    <row r="438" spans="1:4" ht="17" customHeight="1">
      <c r="A438" s="1">
        <v>2616</v>
      </c>
      <c r="B438" s="1" t="s">
        <v>894</v>
      </c>
      <c r="C438" s="1" t="s">
        <v>895</v>
      </c>
      <c r="D438" s="1" t="s">
        <v>26</v>
      </c>
    </row>
    <row r="439" spans="1:4" ht="17" customHeight="1">
      <c r="A439" s="1">
        <v>2617</v>
      </c>
      <c r="B439" s="1" t="s">
        <v>896</v>
      </c>
      <c r="C439" s="1" t="s">
        <v>897</v>
      </c>
      <c r="D439" s="1" t="s">
        <v>26</v>
      </c>
    </row>
    <row r="440" spans="1:4" ht="17" customHeight="1">
      <c r="A440" s="1">
        <v>2618</v>
      </c>
      <c r="B440" s="1" t="s">
        <v>898</v>
      </c>
      <c r="C440" s="1" t="s">
        <v>899</v>
      </c>
      <c r="D440" s="1" t="s">
        <v>26</v>
      </c>
    </row>
    <row r="441" spans="1:4" ht="17" customHeight="1">
      <c r="A441" s="1">
        <v>2630</v>
      </c>
      <c r="B441" s="1" t="s">
        <v>900</v>
      </c>
      <c r="C441" s="1" t="s">
        <v>901</v>
      </c>
      <c r="D441" s="1" t="s">
        <v>26</v>
      </c>
    </row>
    <row r="442" spans="1:4" ht="17" customHeight="1">
      <c r="A442" s="1">
        <v>2633</v>
      </c>
      <c r="B442" s="1" t="s">
        <v>902</v>
      </c>
      <c r="C442" s="1" t="s">
        <v>903</v>
      </c>
      <c r="D442" s="1" t="s">
        <v>26</v>
      </c>
    </row>
    <row r="443" spans="1:4" ht="17" customHeight="1">
      <c r="A443" s="1">
        <v>2634</v>
      </c>
      <c r="B443" s="1" t="s">
        <v>904</v>
      </c>
      <c r="C443" s="1" t="s">
        <v>905</v>
      </c>
      <c r="D443" s="1" t="s">
        <v>26</v>
      </c>
    </row>
    <row r="444" spans="1:4" ht="17" customHeight="1">
      <c r="A444" s="1">
        <v>2636</v>
      </c>
      <c r="B444" s="1" t="s">
        <v>906</v>
      </c>
      <c r="C444" s="1" t="s">
        <v>907</v>
      </c>
      <c r="D444" s="1" t="s">
        <v>26</v>
      </c>
    </row>
    <row r="445" spans="1:4" ht="17" customHeight="1">
      <c r="A445" s="1">
        <v>2637</v>
      </c>
      <c r="B445" s="1" t="s">
        <v>908</v>
      </c>
      <c r="C445" s="1" t="s">
        <v>909</v>
      </c>
      <c r="D445" s="1" t="s">
        <v>26</v>
      </c>
    </row>
    <row r="446" spans="1:4" ht="17" customHeight="1">
      <c r="A446" s="1">
        <v>2642</v>
      </c>
      <c r="B446" s="1" t="s">
        <v>910</v>
      </c>
      <c r="C446" s="1" t="s">
        <v>911</v>
      </c>
      <c r="D446" s="1" t="s">
        <v>26</v>
      </c>
    </row>
    <row r="447" spans="1:4" ht="17" customHeight="1">
      <c r="A447" s="1">
        <v>2701</v>
      </c>
      <c r="B447" s="1" t="s">
        <v>912</v>
      </c>
      <c r="C447" s="1" t="s">
        <v>913</v>
      </c>
      <c r="D447" s="1" t="s">
        <v>26</v>
      </c>
    </row>
    <row r="448" spans="1:4" ht="17" customHeight="1">
      <c r="A448" s="1">
        <v>2702</v>
      </c>
      <c r="B448" s="1" t="s">
        <v>914</v>
      </c>
      <c r="C448" s="1" t="s">
        <v>915</v>
      </c>
      <c r="D448" s="1" t="s">
        <v>26</v>
      </c>
    </row>
    <row r="449" spans="1:4" ht="17" customHeight="1">
      <c r="A449" s="1">
        <v>2704</v>
      </c>
      <c r="B449" s="1" t="s">
        <v>916</v>
      </c>
      <c r="C449" s="1" t="s">
        <v>917</v>
      </c>
      <c r="D449" s="1" t="s">
        <v>26</v>
      </c>
    </row>
    <row r="450" spans="1:4" ht="17" customHeight="1">
      <c r="A450" s="1">
        <v>2705</v>
      </c>
      <c r="B450" s="1" t="s">
        <v>918</v>
      </c>
      <c r="C450" s="1" t="s">
        <v>919</v>
      </c>
      <c r="D450" s="1" t="s">
        <v>26</v>
      </c>
    </row>
    <row r="451" spans="1:4" ht="17" customHeight="1">
      <c r="A451" s="1">
        <v>2706</v>
      </c>
      <c r="B451" s="1" t="s">
        <v>920</v>
      </c>
      <c r="C451" s="1" t="s">
        <v>921</v>
      </c>
      <c r="D451" s="1" t="s">
        <v>26</v>
      </c>
    </row>
    <row r="452" spans="1:4" ht="17" customHeight="1">
      <c r="A452" s="1">
        <v>2707</v>
      </c>
      <c r="B452" s="1" t="s">
        <v>922</v>
      </c>
      <c r="C452" s="1" t="s">
        <v>923</v>
      </c>
      <c r="D452" s="1" t="s">
        <v>26</v>
      </c>
    </row>
    <row r="453" spans="1:4" ht="17" customHeight="1">
      <c r="A453" s="1">
        <v>2712</v>
      </c>
      <c r="B453" s="1" t="s">
        <v>924</v>
      </c>
      <c r="C453" s="1" t="s">
        <v>925</v>
      </c>
      <c r="D453" s="1" t="s">
        <v>26</v>
      </c>
    </row>
    <row r="454" spans="1:4" ht="17" customHeight="1">
      <c r="A454" s="1">
        <v>2722</v>
      </c>
      <c r="B454" s="1" t="s">
        <v>926</v>
      </c>
      <c r="C454" s="1" t="s">
        <v>927</v>
      </c>
      <c r="D454" s="1" t="s">
        <v>26</v>
      </c>
    </row>
    <row r="455" spans="1:4" ht="17" customHeight="1">
      <c r="A455" s="1">
        <v>2723</v>
      </c>
      <c r="B455" s="1" t="s">
        <v>928</v>
      </c>
      <c r="C455" s="1" t="s">
        <v>929</v>
      </c>
      <c r="D455" s="1" t="s">
        <v>26</v>
      </c>
    </row>
    <row r="456" spans="1:4" ht="17" customHeight="1">
      <c r="A456" s="1">
        <v>2727</v>
      </c>
      <c r="B456" s="1" t="s">
        <v>930</v>
      </c>
      <c r="C456" s="1" t="s">
        <v>931</v>
      </c>
      <c r="D456" s="1" t="s">
        <v>26</v>
      </c>
    </row>
    <row r="457" spans="1:4" ht="17" customHeight="1">
      <c r="A457" s="1">
        <v>2731</v>
      </c>
      <c r="B457" s="1" t="s">
        <v>932</v>
      </c>
      <c r="C457" s="1" t="s">
        <v>933</v>
      </c>
      <c r="D457" s="1" t="s">
        <v>26</v>
      </c>
    </row>
    <row r="458" spans="1:4" ht="17" customHeight="1">
      <c r="A458" s="1">
        <v>2739</v>
      </c>
      <c r="B458" s="1" t="s">
        <v>934</v>
      </c>
      <c r="C458" s="1" t="s">
        <v>935</v>
      </c>
      <c r="D458" s="1" t="s">
        <v>26</v>
      </c>
    </row>
    <row r="459" spans="1:4" ht="17" customHeight="1">
      <c r="A459" s="1">
        <v>2748</v>
      </c>
      <c r="B459" s="1" t="s">
        <v>936</v>
      </c>
      <c r="C459" s="1" t="s">
        <v>937</v>
      </c>
      <c r="D459" s="1" t="s">
        <v>26</v>
      </c>
    </row>
    <row r="460" spans="1:4" ht="17" customHeight="1">
      <c r="A460" s="1">
        <v>2801</v>
      </c>
      <c r="B460" s="1" t="s">
        <v>938</v>
      </c>
      <c r="C460" s="1" t="s">
        <v>939</v>
      </c>
      <c r="D460" s="1" t="s">
        <v>26</v>
      </c>
    </row>
    <row r="461" spans="1:4" ht="17" customHeight="1">
      <c r="A461" s="1">
        <v>2809</v>
      </c>
      <c r="B461" s="1" t="s">
        <v>940</v>
      </c>
      <c r="C461" s="1" t="s">
        <v>941</v>
      </c>
      <c r="D461" s="1" t="s">
        <v>26</v>
      </c>
    </row>
    <row r="462" spans="1:4" ht="17" customHeight="1">
      <c r="A462" s="1">
        <v>2812</v>
      </c>
      <c r="B462" s="1" t="s">
        <v>942</v>
      </c>
      <c r="C462" s="1" t="s">
        <v>943</v>
      </c>
      <c r="D462" s="1" t="s">
        <v>26</v>
      </c>
    </row>
    <row r="463" spans="1:4" ht="17" customHeight="1">
      <c r="A463" s="1">
        <v>2816</v>
      </c>
      <c r="B463" s="1" t="s">
        <v>944</v>
      </c>
      <c r="C463" s="1" t="s">
        <v>945</v>
      </c>
      <c r="D463" s="1" t="s">
        <v>26</v>
      </c>
    </row>
    <row r="464" spans="1:4" ht="17" customHeight="1">
      <c r="A464" s="1">
        <v>2820</v>
      </c>
      <c r="B464" s="1" t="s">
        <v>946</v>
      </c>
      <c r="C464" s="1" t="s">
        <v>947</v>
      </c>
      <c r="D464" s="1" t="s">
        <v>26</v>
      </c>
    </row>
    <row r="465" spans="1:4" ht="17" customHeight="1">
      <c r="A465" s="1">
        <v>2823</v>
      </c>
      <c r="B465" s="1" t="s">
        <v>948</v>
      </c>
      <c r="C465" s="1" t="s">
        <v>949</v>
      </c>
      <c r="D465" s="1" t="s">
        <v>26</v>
      </c>
    </row>
    <row r="466" spans="1:4" ht="17" customHeight="1">
      <c r="A466" s="1">
        <v>2832</v>
      </c>
      <c r="B466" s="1" t="s">
        <v>950</v>
      </c>
      <c r="C466" s="1" t="s">
        <v>951</v>
      </c>
      <c r="D466" s="1" t="s">
        <v>26</v>
      </c>
    </row>
    <row r="467" spans="1:4" ht="17" customHeight="1">
      <c r="A467" s="1">
        <v>2834</v>
      </c>
      <c r="B467" s="1" t="s">
        <v>952</v>
      </c>
      <c r="C467" s="1" t="s">
        <v>953</v>
      </c>
      <c r="D467" s="1" t="s">
        <v>26</v>
      </c>
    </row>
    <row r="468" spans="1:4" ht="17" customHeight="1">
      <c r="A468" s="1">
        <v>2836</v>
      </c>
      <c r="B468" s="1" t="s">
        <v>954</v>
      </c>
      <c r="C468" s="1" t="s">
        <v>955</v>
      </c>
      <c r="D468" s="1" t="s">
        <v>26</v>
      </c>
    </row>
    <row r="469" spans="1:4" ht="17" customHeight="1">
      <c r="A469" s="1">
        <v>2838</v>
      </c>
      <c r="B469" s="1" t="s">
        <v>956</v>
      </c>
      <c r="C469" s="1" t="s">
        <v>957</v>
      </c>
      <c r="D469" s="1" t="s">
        <v>26</v>
      </c>
    </row>
    <row r="470" spans="1:4" ht="17" customHeight="1">
      <c r="A470" s="1">
        <v>2841</v>
      </c>
      <c r="B470" s="1" t="s">
        <v>958</v>
      </c>
      <c r="C470" s="1" t="s">
        <v>959</v>
      </c>
      <c r="D470" s="1" t="s">
        <v>26</v>
      </c>
    </row>
    <row r="471" spans="1:4" ht="17" customHeight="1">
      <c r="A471" s="1">
        <v>2845</v>
      </c>
      <c r="B471" s="1" t="s">
        <v>960</v>
      </c>
      <c r="C471" s="1" t="s">
        <v>961</v>
      </c>
      <c r="D471" s="1" t="s">
        <v>26</v>
      </c>
    </row>
    <row r="472" spans="1:4" ht="17" customHeight="1">
      <c r="A472" s="1">
        <v>2849</v>
      </c>
      <c r="B472" s="1" t="s">
        <v>962</v>
      </c>
      <c r="C472" s="1" t="s">
        <v>963</v>
      </c>
      <c r="D472" s="1" t="s">
        <v>26</v>
      </c>
    </row>
    <row r="473" spans="1:4" ht="17" customHeight="1">
      <c r="A473" s="1">
        <v>2850</v>
      </c>
      <c r="B473" s="1" t="s">
        <v>964</v>
      </c>
      <c r="C473" s="1" t="s">
        <v>965</v>
      </c>
      <c r="D473" s="1" t="s">
        <v>26</v>
      </c>
    </row>
    <row r="474" spans="1:4" ht="17" customHeight="1">
      <c r="A474" s="1">
        <v>2851</v>
      </c>
      <c r="B474" s="1" t="s">
        <v>966</v>
      </c>
      <c r="C474" s="1" t="s">
        <v>967</v>
      </c>
      <c r="D474" s="1" t="s">
        <v>26</v>
      </c>
    </row>
    <row r="475" spans="1:4" ht="17" customHeight="1">
      <c r="A475" s="1">
        <v>2852</v>
      </c>
      <c r="B475" s="1" t="s">
        <v>968</v>
      </c>
      <c r="C475" s="1" t="s">
        <v>969</v>
      </c>
      <c r="D475" s="1" t="s">
        <v>26</v>
      </c>
    </row>
    <row r="476" spans="1:4" ht="17" customHeight="1">
      <c r="A476" s="1">
        <v>2855</v>
      </c>
      <c r="B476" s="1" t="s">
        <v>970</v>
      </c>
      <c r="C476" s="1" t="s">
        <v>971</v>
      </c>
      <c r="D476" s="1" t="s">
        <v>26</v>
      </c>
    </row>
    <row r="477" spans="1:4" ht="17" customHeight="1">
      <c r="A477" s="1">
        <v>2867</v>
      </c>
      <c r="B477" s="1" t="s">
        <v>972</v>
      </c>
      <c r="C477" s="1" t="s">
        <v>973</v>
      </c>
      <c r="D477" s="1" t="s">
        <v>26</v>
      </c>
    </row>
    <row r="478" spans="1:4" ht="17" customHeight="1">
      <c r="A478" s="1">
        <v>2880</v>
      </c>
      <c r="B478" s="1" t="s">
        <v>974</v>
      </c>
      <c r="C478" s="1" t="s">
        <v>975</v>
      </c>
      <c r="D478" s="1" t="s">
        <v>26</v>
      </c>
    </row>
    <row r="479" spans="1:4" ht="17" customHeight="1">
      <c r="A479" s="1">
        <v>2881</v>
      </c>
      <c r="B479" s="1" t="s">
        <v>976</v>
      </c>
      <c r="C479" s="1" t="s">
        <v>977</v>
      </c>
      <c r="D479" s="1" t="s">
        <v>26</v>
      </c>
    </row>
    <row r="480" spans="1:4" ht="17" customHeight="1">
      <c r="A480" s="1">
        <v>2882</v>
      </c>
      <c r="B480" s="1" t="s">
        <v>978</v>
      </c>
      <c r="C480" s="1" t="s">
        <v>979</v>
      </c>
      <c r="D480" s="1" t="s">
        <v>26</v>
      </c>
    </row>
    <row r="481" spans="1:4" ht="17" customHeight="1">
      <c r="A481" s="1">
        <v>2883</v>
      </c>
      <c r="B481" s="1" t="s">
        <v>980</v>
      </c>
      <c r="C481" s="1" t="s">
        <v>981</v>
      </c>
      <c r="D481" s="1" t="s">
        <v>26</v>
      </c>
    </row>
    <row r="482" spans="1:4" ht="17" customHeight="1">
      <c r="A482" s="1">
        <v>2884</v>
      </c>
      <c r="B482" s="1" t="s">
        <v>982</v>
      </c>
      <c r="C482" s="1" t="s">
        <v>983</v>
      </c>
      <c r="D482" s="1" t="s">
        <v>26</v>
      </c>
    </row>
    <row r="483" spans="1:4" ht="17" customHeight="1">
      <c r="A483" s="1">
        <v>2885</v>
      </c>
      <c r="B483" s="1" t="s">
        <v>984</v>
      </c>
      <c r="C483" s="1" t="s">
        <v>985</v>
      </c>
      <c r="D483" s="1" t="s">
        <v>26</v>
      </c>
    </row>
    <row r="484" spans="1:4" ht="17" customHeight="1">
      <c r="A484" s="1">
        <v>2886</v>
      </c>
      <c r="B484" s="1" t="s">
        <v>986</v>
      </c>
      <c r="C484" s="1" t="s">
        <v>987</v>
      </c>
      <c r="D484" s="1" t="s">
        <v>26</v>
      </c>
    </row>
    <row r="485" spans="1:4" ht="17" customHeight="1">
      <c r="A485" s="1">
        <v>2887</v>
      </c>
      <c r="B485" s="1" t="s">
        <v>988</v>
      </c>
      <c r="C485" s="1" t="s">
        <v>989</v>
      </c>
      <c r="D485" s="1" t="s">
        <v>26</v>
      </c>
    </row>
    <row r="486" spans="1:4" ht="17" customHeight="1">
      <c r="A486" s="1">
        <v>2888</v>
      </c>
      <c r="B486" s="1" t="s">
        <v>990</v>
      </c>
      <c r="C486" s="1" t="s">
        <v>991</v>
      </c>
      <c r="D486" s="1" t="s">
        <v>26</v>
      </c>
    </row>
    <row r="487" spans="1:4" ht="17" customHeight="1">
      <c r="A487" s="1">
        <v>2889</v>
      </c>
      <c r="B487" s="1" t="s">
        <v>992</v>
      </c>
      <c r="C487" s="1" t="s">
        <v>993</v>
      </c>
      <c r="D487" s="1" t="s">
        <v>26</v>
      </c>
    </row>
    <row r="488" spans="1:4" ht="17" customHeight="1">
      <c r="A488" s="1">
        <v>2890</v>
      </c>
      <c r="B488" s="1" t="s">
        <v>994</v>
      </c>
      <c r="C488" s="1" t="s">
        <v>995</v>
      </c>
      <c r="D488" s="1" t="s">
        <v>26</v>
      </c>
    </row>
    <row r="489" spans="1:4" ht="17" customHeight="1">
      <c r="A489" s="1">
        <v>2891</v>
      </c>
      <c r="B489" s="1" t="s">
        <v>996</v>
      </c>
      <c r="C489" s="1" t="s">
        <v>997</v>
      </c>
      <c r="D489" s="1" t="s">
        <v>26</v>
      </c>
    </row>
    <row r="490" spans="1:4" ht="17" customHeight="1">
      <c r="A490" s="1">
        <v>2892</v>
      </c>
      <c r="B490" s="1" t="s">
        <v>998</v>
      </c>
      <c r="C490" s="1" t="s">
        <v>999</v>
      </c>
      <c r="D490" s="1" t="s">
        <v>26</v>
      </c>
    </row>
    <row r="491" spans="1:4" ht="17" customHeight="1">
      <c r="A491" s="1">
        <v>2897</v>
      </c>
      <c r="B491" s="1" t="s">
        <v>1000</v>
      </c>
      <c r="C491" s="1" t="s">
        <v>1001</v>
      </c>
      <c r="D491" s="1" t="s">
        <v>26</v>
      </c>
    </row>
    <row r="492" spans="1:4" ht="17" customHeight="1">
      <c r="A492" s="1">
        <v>2901</v>
      </c>
      <c r="B492" s="1" t="s">
        <v>1002</v>
      </c>
      <c r="C492" s="1" t="s">
        <v>1003</v>
      </c>
      <c r="D492" s="1" t="s">
        <v>26</v>
      </c>
    </row>
    <row r="493" spans="1:4" ht="17" customHeight="1">
      <c r="A493" s="1">
        <v>2903</v>
      </c>
      <c r="B493" s="1" t="s">
        <v>1004</v>
      </c>
      <c r="C493" s="1" t="s">
        <v>1005</v>
      </c>
      <c r="D493" s="1" t="s">
        <v>26</v>
      </c>
    </row>
    <row r="494" spans="1:4" ht="17" customHeight="1">
      <c r="A494" s="1">
        <v>2904</v>
      </c>
      <c r="B494" s="1" t="s">
        <v>1006</v>
      </c>
      <c r="C494" s="1" t="s">
        <v>1007</v>
      </c>
      <c r="D494" s="1" t="s">
        <v>26</v>
      </c>
    </row>
    <row r="495" spans="1:4" ht="17" customHeight="1">
      <c r="A495" s="1">
        <v>2905</v>
      </c>
      <c r="B495" s="1" t="s">
        <v>1008</v>
      </c>
      <c r="C495" s="1" t="s">
        <v>1009</v>
      </c>
      <c r="D495" s="1" t="s">
        <v>26</v>
      </c>
    </row>
    <row r="496" spans="1:4" ht="17" customHeight="1">
      <c r="A496" s="1">
        <v>2906</v>
      </c>
      <c r="B496" s="1" t="s">
        <v>1010</v>
      </c>
      <c r="C496" s="1" t="s">
        <v>1011</v>
      </c>
      <c r="D496" s="1" t="s">
        <v>26</v>
      </c>
    </row>
    <row r="497" spans="1:4" ht="17" customHeight="1">
      <c r="A497" s="1">
        <v>2908</v>
      </c>
      <c r="B497" s="1" t="s">
        <v>1012</v>
      </c>
      <c r="C497" s="1" t="s">
        <v>1013</v>
      </c>
      <c r="D497" s="1" t="s">
        <v>26</v>
      </c>
    </row>
    <row r="498" spans="1:4" ht="17" customHeight="1">
      <c r="A498" s="1">
        <v>2910</v>
      </c>
      <c r="B498" s="1" t="s">
        <v>1014</v>
      </c>
      <c r="C498" s="1" t="s">
        <v>1015</v>
      </c>
      <c r="D498" s="1" t="s">
        <v>26</v>
      </c>
    </row>
    <row r="499" spans="1:4" ht="17" customHeight="1">
      <c r="A499" s="1">
        <v>2911</v>
      </c>
      <c r="B499" s="1" t="s">
        <v>1016</v>
      </c>
      <c r="C499" s="1" t="s">
        <v>1017</v>
      </c>
      <c r="D499" s="1" t="s">
        <v>26</v>
      </c>
    </row>
    <row r="500" spans="1:4" ht="17" customHeight="1">
      <c r="A500" s="1">
        <v>2912</v>
      </c>
      <c r="B500" s="1" t="s">
        <v>1018</v>
      </c>
      <c r="C500" s="1" t="s">
        <v>1019</v>
      </c>
      <c r="D500" s="1" t="s">
        <v>26</v>
      </c>
    </row>
    <row r="501" spans="1:4" ht="17" customHeight="1">
      <c r="A501" s="1">
        <v>2913</v>
      </c>
      <c r="B501" s="1" t="s">
        <v>1020</v>
      </c>
      <c r="C501" s="1" t="s">
        <v>1021</v>
      </c>
      <c r="D501" s="1" t="s">
        <v>26</v>
      </c>
    </row>
    <row r="502" spans="1:4" ht="17" customHeight="1">
      <c r="A502" s="1">
        <v>2915</v>
      </c>
      <c r="B502" s="1" t="s">
        <v>1022</v>
      </c>
      <c r="C502" s="1" t="s">
        <v>1023</v>
      </c>
      <c r="D502" s="1" t="s">
        <v>26</v>
      </c>
    </row>
    <row r="503" spans="1:4" ht="17" customHeight="1">
      <c r="A503" s="1">
        <v>2923</v>
      </c>
      <c r="B503" s="1" t="s">
        <v>1024</v>
      </c>
      <c r="C503" s="1" t="s">
        <v>1025</v>
      </c>
      <c r="D503" s="1" t="s">
        <v>26</v>
      </c>
    </row>
    <row r="504" spans="1:4" ht="17" customHeight="1">
      <c r="A504" s="1">
        <v>2929</v>
      </c>
      <c r="B504" s="1" t="s">
        <v>1026</v>
      </c>
      <c r="C504" s="1" t="s">
        <v>1027</v>
      </c>
      <c r="D504" s="1" t="s">
        <v>26</v>
      </c>
    </row>
    <row r="505" spans="1:4" ht="17" customHeight="1">
      <c r="A505" s="1">
        <v>2936</v>
      </c>
      <c r="B505" s="1" t="s">
        <v>1028</v>
      </c>
      <c r="C505" s="1" t="s">
        <v>1029</v>
      </c>
      <c r="D505" s="1" t="s">
        <v>26</v>
      </c>
    </row>
    <row r="506" spans="1:4" ht="17" customHeight="1">
      <c r="A506" s="1">
        <v>2939</v>
      </c>
      <c r="B506" s="1" t="s">
        <v>1030</v>
      </c>
      <c r="C506" s="1" t="s">
        <v>1031</v>
      </c>
      <c r="D506" s="1" t="s">
        <v>26</v>
      </c>
    </row>
    <row r="507" spans="1:4" ht="17" customHeight="1">
      <c r="A507" s="1">
        <v>3002</v>
      </c>
      <c r="B507" s="1" t="s">
        <v>1032</v>
      </c>
      <c r="C507" s="1" t="s">
        <v>1033</v>
      </c>
      <c r="D507" s="1" t="s">
        <v>26</v>
      </c>
    </row>
    <row r="508" spans="1:4" ht="17" customHeight="1">
      <c r="A508" s="1">
        <v>3003</v>
      </c>
      <c r="B508" s="1" t="s">
        <v>1034</v>
      </c>
      <c r="C508" s="1" t="s">
        <v>1035</v>
      </c>
      <c r="D508" s="1" t="s">
        <v>26</v>
      </c>
    </row>
    <row r="509" spans="1:4" ht="17" customHeight="1">
      <c r="A509" s="1">
        <v>3004</v>
      </c>
      <c r="B509" s="1" t="s">
        <v>1036</v>
      </c>
      <c r="C509" s="1" t="s">
        <v>1037</v>
      </c>
      <c r="D509" s="1" t="s">
        <v>26</v>
      </c>
    </row>
    <row r="510" spans="1:4" ht="17" customHeight="1">
      <c r="A510" s="1">
        <v>3005</v>
      </c>
      <c r="B510" s="1" t="s">
        <v>1038</v>
      </c>
      <c r="C510" s="1" t="s">
        <v>1039</v>
      </c>
      <c r="D510" s="1" t="s">
        <v>26</v>
      </c>
    </row>
    <row r="511" spans="1:4" ht="17" customHeight="1">
      <c r="A511" s="1">
        <v>3006</v>
      </c>
      <c r="B511" s="1" t="s">
        <v>1040</v>
      </c>
      <c r="C511" s="1" t="s">
        <v>1041</v>
      </c>
      <c r="D511" s="1" t="s">
        <v>26</v>
      </c>
    </row>
    <row r="512" spans="1:4" ht="17" customHeight="1">
      <c r="A512" s="1">
        <v>3008</v>
      </c>
      <c r="B512" s="1" t="s">
        <v>1042</v>
      </c>
      <c r="C512" s="1" t="s">
        <v>1043</v>
      </c>
      <c r="D512" s="1" t="s">
        <v>26</v>
      </c>
    </row>
    <row r="513" spans="1:4" ht="17" customHeight="1">
      <c r="A513" s="1">
        <v>3010</v>
      </c>
      <c r="B513" s="1" t="s">
        <v>1044</v>
      </c>
      <c r="C513" s="1" t="s">
        <v>1045</v>
      </c>
      <c r="D513" s="1" t="s">
        <v>26</v>
      </c>
    </row>
    <row r="514" spans="1:4" ht="17" customHeight="1">
      <c r="A514" s="1">
        <v>3011</v>
      </c>
      <c r="B514" s="1" t="s">
        <v>1046</v>
      </c>
      <c r="C514" s="1" t="s">
        <v>1047</v>
      </c>
      <c r="D514" s="1" t="s">
        <v>26</v>
      </c>
    </row>
    <row r="515" spans="1:4" ht="17" customHeight="1">
      <c r="A515" s="1">
        <v>3013</v>
      </c>
      <c r="B515" s="1" t="s">
        <v>1048</v>
      </c>
      <c r="C515" s="1" t="s">
        <v>1049</v>
      </c>
      <c r="D515" s="1" t="s">
        <v>26</v>
      </c>
    </row>
    <row r="516" spans="1:4" ht="17" customHeight="1">
      <c r="A516" s="1">
        <v>3014</v>
      </c>
      <c r="B516" s="1" t="s">
        <v>1050</v>
      </c>
      <c r="C516" s="1" t="s">
        <v>1051</v>
      </c>
      <c r="D516" s="1" t="s">
        <v>26</v>
      </c>
    </row>
    <row r="517" spans="1:4" ht="17" customHeight="1">
      <c r="A517" s="1">
        <v>3015</v>
      </c>
      <c r="B517" s="1" t="s">
        <v>1052</v>
      </c>
      <c r="C517" s="1" t="s">
        <v>1053</v>
      </c>
      <c r="D517" s="1" t="s">
        <v>26</v>
      </c>
    </row>
    <row r="518" spans="1:4" ht="17" customHeight="1">
      <c r="A518" s="1">
        <v>3016</v>
      </c>
      <c r="B518" s="1" t="s">
        <v>1054</v>
      </c>
      <c r="C518" s="1" t="s">
        <v>1055</v>
      </c>
      <c r="D518" s="1" t="s">
        <v>26</v>
      </c>
    </row>
    <row r="519" spans="1:4" ht="17" customHeight="1">
      <c r="A519" s="1">
        <v>3017</v>
      </c>
      <c r="B519" s="1" t="s">
        <v>1056</v>
      </c>
      <c r="C519" s="1" t="s">
        <v>1057</v>
      </c>
      <c r="D519" s="1" t="s">
        <v>26</v>
      </c>
    </row>
    <row r="520" spans="1:4" ht="17" customHeight="1">
      <c r="A520" s="1">
        <v>3018</v>
      </c>
      <c r="B520" s="1" t="s">
        <v>1058</v>
      </c>
      <c r="C520" s="1" t="s">
        <v>1059</v>
      </c>
      <c r="D520" s="1" t="s">
        <v>26</v>
      </c>
    </row>
    <row r="521" spans="1:4" ht="17" customHeight="1">
      <c r="A521" s="1">
        <v>3019</v>
      </c>
      <c r="B521" s="1" t="s">
        <v>1060</v>
      </c>
      <c r="C521" s="1" t="s">
        <v>1061</v>
      </c>
      <c r="D521" s="1" t="s">
        <v>26</v>
      </c>
    </row>
    <row r="522" spans="1:4" ht="17" customHeight="1">
      <c r="A522" s="1">
        <v>3021</v>
      </c>
      <c r="B522" s="1" t="s">
        <v>1062</v>
      </c>
      <c r="C522" s="1" t="s">
        <v>1063</v>
      </c>
      <c r="D522" s="1" t="s">
        <v>26</v>
      </c>
    </row>
    <row r="523" spans="1:4" ht="17" customHeight="1">
      <c r="A523" s="1">
        <v>3022</v>
      </c>
      <c r="B523" s="1" t="s">
        <v>1064</v>
      </c>
      <c r="C523" s="1" t="s">
        <v>1065</v>
      </c>
      <c r="D523" s="1" t="s">
        <v>26</v>
      </c>
    </row>
    <row r="524" spans="1:4" ht="17" customHeight="1">
      <c r="A524" s="1">
        <v>3023</v>
      </c>
      <c r="B524" s="1" t="s">
        <v>1066</v>
      </c>
      <c r="C524" s="1" t="s">
        <v>1067</v>
      </c>
      <c r="D524" s="1" t="s">
        <v>26</v>
      </c>
    </row>
    <row r="525" spans="1:4" ht="17" customHeight="1">
      <c r="A525" s="1">
        <v>3024</v>
      </c>
      <c r="B525" s="1" t="s">
        <v>1068</v>
      </c>
      <c r="C525" s="1" t="s">
        <v>1069</v>
      </c>
      <c r="D525" s="1" t="s">
        <v>26</v>
      </c>
    </row>
    <row r="526" spans="1:4" ht="17" customHeight="1">
      <c r="A526" s="1">
        <v>3025</v>
      </c>
      <c r="B526" s="1" t="s">
        <v>1070</v>
      </c>
      <c r="C526" s="1" t="s">
        <v>1071</v>
      </c>
      <c r="D526" s="1" t="s">
        <v>26</v>
      </c>
    </row>
    <row r="527" spans="1:4" ht="17" customHeight="1">
      <c r="A527" s="1">
        <v>3026</v>
      </c>
      <c r="B527" s="1" t="s">
        <v>1072</v>
      </c>
      <c r="C527" s="1" t="s">
        <v>1073</v>
      </c>
      <c r="D527" s="1" t="s">
        <v>26</v>
      </c>
    </row>
    <row r="528" spans="1:4" ht="17" customHeight="1">
      <c r="A528" s="1">
        <v>3027</v>
      </c>
      <c r="B528" s="1" t="s">
        <v>1074</v>
      </c>
      <c r="C528" s="1" t="s">
        <v>1075</v>
      </c>
      <c r="D528" s="1" t="s">
        <v>26</v>
      </c>
    </row>
    <row r="529" spans="1:4" ht="17" customHeight="1">
      <c r="A529" s="1">
        <v>3028</v>
      </c>
      <c r="B529" s="1" t="s">
        <v>1076</v>
      </c>
      <c r="C529" s="1" t="s">
        <v>1077</v>
      </c>
      <c r="D529" s="1" t="s">
        <v>26</v>
      </c>
    </row>
    <row r="530" spans="1:4" ht="17" customHeight="1">
      <c r="A530" s="1">
        <v>3029</v>
      </c>
      <c r="B530" s="1" t="s">
        <v>1078</v>
      </c>
      <c r="C530" s="1" t="s">
        <v>1079</v>
      </c>
      <c r="D530" s="1" t="s">
        <v>26</v>
      </c>
    </row>
    <row r="531" spans="1:4" ht="17" customHeight="1">
      <c r="A531" s="1">
        <v>3030</v>
      </c>
      <c r="B531" s="1" t="s">
        <v>1080</v>
      </c>
      <c r="C531" s="1" t="s">
        <v>1081</v>
      </c>
      <c r="D531" s="1" t="s">
        <v>26</v>
      </c>
    </row>
    <row r="532" spans="1:4" ht="17" customHeight="1">
      <c r="A532" s="1">
        <v>3031</v>
      </c>
      <c r="B532" s="1" t="s">
        <v>1082</v>
      </c>
      <c r="C532" s="1" t="s">
        <v>1083</v>
      </c>
      <c r="D532" s="1" t="s">
        <v>26</v>
      </c>
    </row>
    <row r="533" spans="1:4" ht="17" customHeight="1">
      <c r="A533" s="1">
        <v>3032</v>
      </c>
      <c r="B533" s="1" t="s">
        <v>1084</v>
      </c>
      <c r="C533" s="1" t="s">
        <v>1085</v>
      </c>
      <c r="D533" s="1" t="s">
        <v>26</v>
      </c>
    </row>
    <row r="534" spans="1:4" ht="17" customHeight="1">
      <c r="A534" s="1">
        <v>3033</v>
      </c>
      <c r="B534" s="1" t="s">
        <v>1086</v>
      </c>
      <c r="C534" s="1" t="s">
        <v>1087</v>
      </c>
      <c r="D534" s="1" t="s">
        <v>26</v>
      </c>
    </row>
    <row r="535" spans="1:4" ht="17" customHeight="1">
      <c r="A535" s="1">
        <v>3034</v>
      </c>
      <c r="B535" s="1" t="s">
        <v>1088</v>
      </c>
      <c r="C535" s="1" t="s">
        <v>1089</v>
      </c>
      <c r="D535" s="1" t="s">
        <v>26</v>
      </c>
    </row>
    <row r="536" spans="1:4" ht="17" customHeight="1">
      <c r="A536" s="1">
        <v>3035</v>
      </c>
      <c r="B536" s="1" t="s">
        <v>1090</v>
      </c>
      <c r="C536" s="1" t="s">
        <v>1091</v>
      </c>
      <c r="D536" s="1" t="s">
        <v>26</v>
      </c>
    </row>
    <row r="537" spans="1:4" ht="17" customHeight="1">
      <c r="A537" s="1">
        <v>3036</v>
      </c>
      <c r="B537" s="1" t="s">
        <v>1092</v>
      </c>
      <c r="C537" s="1" t="s">
        <v>1093</v>
      </c>
      <c r="D537" s="1" t="s">
        <v>26</v>
      </c>
    </row>
    <row r="538" spans="1:4" ht="17" customHeight="1">
      <c r="A538" s="1">
        <v>3037</v>
      </c>
      <c r="B538" s="1" t="s">
        <v>1094</v>
      </c>
      <c r="C538" s="1" t="s">
        <v>1095</v>
      </c>
      <c r="D538" s="1" t="s">
        <v>26</v>
      </c>
    </row>
    <row r="539" spans="1:4" ht="17" customHeight="1">
      <c r="A539" s="1">
        <v>3038</v>
      </c>
      <c r="B539" s="1" t="s">
        <v>1096</v>
      </c>
      <c r="C539" s="1" t="s">
        <v>1097</v>
      </c>
      <c r="D539" s="1" t="s">
        <v>26</v>
      </c>
    </row>
    <row r="540" spans="1:4" ht="17" customHeight="1">
      <c r="A540" s="1">
        <v>3040</v>
      </c>
      <c r="B540" s="1" t="s">
        <v>1098</v>
      </c>
      <c r="C540" s="1" t="s">
        <v>1099</v>
      </c>
      <c r="D540" s="1" t="s">
        <v>26</v>
      </c>
    </row>
    <row r="541" spans="1:4" ht="17" customHeight="1">
      <c r="A541" s="1">
        <v>3041</v>
      </c>
      <c r="B541" s="1" t="s">
        <v>1100</v>
      </c>
      <c r="C541" s="1" t="s">
        <v>1101</v>
      </c>
      <c r="D541" s="1" t="s">
        <v>26</v>
      </c>
    </row>
    <row r="542" spans="1:4" ht="17" customHeight="1">
      <c r="A542" s="1">
        <v>3042</v>
      </c>
      <c r="B542" s="1" t="s">
        <v>1102</v>
      </c>
      <c r="C542" s="1" t="s">
        <v>1103</v>
      </c>
      <c r="D542" s="1" t="s">
        <v>26</v>
      </c>
    </row>
    <row r="543" spans="1:4" ht="17" customHeight="1">
      <c r="A543" s="1">
        <v>3043</v>
      </c>
      <c r="B543" s="1" t="s">
        <v>1104</v>
      </c>
      <c r="C543" s="1" t="s">
        <v>1105</v>
      </c>
      <c r="D543" s="1" t="s">
        <v>26</v>
      </c>
    </row>
    <row r="544" spans="1:4" ht="17" customHeight="1">
      <c r="A544" s="1">
        <v>3044</v>
      </c>
      <c r="B544" s="1" t="s">
        <v>1106</v>
      </c>
      <c r="C544" s="1" t="s">
        <v>1107</v>
      </c>
      <c r="D544" s="1" t="s">
        <v>26</v>
      </c>
    </row>
    <row r="545" spans="1:4" ht="17" customHeight="1">
      <c r="A545" s="1">
        <v>3045</v>
      </c>
      <c r="B545" s="1" t="s">
        <v>1108</v>
      </c>
      <c r="C545" s="1" t="s">
        <v>1109</v>
      </c>
      <c r="D545" s="1" t="s">
        <v>26</v>
      </c>
    </row>
    <row r="546" spans="1:4" ht="17" customHeight="1">
      <c r="A546" s="1">
        <v>3046</v>
      </c>
      <c r="B546" s="1" t="s">
        <v>1110</v>
      </c>
      <c r="C546" s="1" t="s">
        <v>1111</v>
      </c>
      <c r="D546" s="1" t="s">
        <v>26</v>
      </c>
    </row>
    <row r="547" spans="1:4" ht="17" customHeight="1">
      <c r="A547" s="1">
        <v>3047</v>
      </c>
      <c r="B547" s="1" t="s">
        <v>1112</v>
      </c>
      <c r="C547" s="1" t="s">
        <v>1113</v>
      </c>
      <c r="D547" s="1" t="s">
        <v>26</v>
      </c>
    </row>
    <row r="548" spans="1:4" ht="17" customHeight="1">
      <c r="A548" s="1">
        <v>3048</v>
      </c>
      <c r="B548" s="1" t="s">
        <v>1114</v>
      </c>
      <c r="C548" s="1" t="s">
        <v>1115</v>
      </c>
      <c r="D548" s="1" t="s">
        <v>26</v>
      </c>
    </row>
    <row r="549" spans="1:4" ht="17" customHeight="1">
      <c r="A549" s="1">
        <v>3049</v>
      </c>
      <c r="B549" s="1" t="s">
        <v>1116</v>
      </c>
      <c r="C549" s="1" t="s">
        <v>1117</v>
      </c>
      <c r="D549" s="1" t="s">
        <v>26</v>
      </c>
    </row>
    <row r="550" spans="1:4" ht="17" customHeight="1">
      <c r="A550" s="1">
        <v>3050</v>
      </c>
      <c r="B550" s="1" t="s">
        <v>1118</v>
      </c>
      <c r="C550" s="1" t="s">
        <v>1119</v>
      </c>
      <c r="D550" s="1" t="s">
        <v>26</v>
      </c>
    </row>
    <row r="551" spans="1:4" ht="17" customHeight="1">
      <c r="A551" s="1">
        <v>3051</v>
      </c>
      <c r="B551" s="1" t="s">
        <v>1120</v>
      </c>
      <c r="C551" s="1" t="s">
        <v>1121</v>
      </c>
      <c r="D551" s="1" t="s">
        <v>26</v>
      </c>
    </row>
    <row r="552" spans="1:4" ht="17" customHeight="1">
      <c r="A552" s="1">
        <v>3052</v>
      </c>
      <c r="B552" s="1" t="s">
        <v>1122</v>
      </c>
      <c r="C552" s="1" t="s">
        <v>1123</v>
      </c>
      <c r="D552" s="1" t="s">
        <v>26</v>
      </c>
    </row>
    <row r="553" spans="1:4" ht="17" customHeight="1">
      <c r="A553" s="1">
        <v>3054</v>
      </c>
      <c r="B553" s="1" t="s">
        <v>1124</v>
      </c>
      <c r="C553" s="1" t="s">
        <v>1125</v>
      </c>
      <c r="D553" s="1" t="s">
        <v>26</v>
      </c>
    </row>
    <row r="554" spans="1:4" ht="17" customHeight="1">
      <c r="A554" s="1">
        <v>3055</v>
      </c>
      <c r="B554" s="1" t="s">
        <v>1126</v>
      </c>
      <c r="C554" s="1" t="s">
        <v>1127</v>
      </c>
      <c r="D554" s="1" t="s">
        <v>26</v>
      </c>
    </row>
    <row r="555" spans="1:4" ht="17" customHeight="1">
      <c r="A555" s="1">
        <v>3056</v>
      </c>
      <c r="B555" s="1" t="s">
        <v>1128</v>
      </c>
      <c r="C555" s="1" t="s">
        <v>1129</v>
      </c>
      <c r="D555" s="1" t="s">
        <v>26</v>
      </c>
    </row>
    <row r="556" spans="1:4" ht="17" customHeight="1">
      <c r="A556" s="1">
        <v>3057</v>
      </c>
      <c r="B556" s="1" t="s">
        <v>1130</v>
      </c>
      <c r="C556" s="1" t="s">
        <v>1131</v>
      </c>
      <c r="D556" s="1" t="s">
        <v>26</v>
      </c>
    </row>
    <row r="557" spans="1:4" ht="17" customHeight="1">
      <c r="A557" s="1">
        <v>3058</v>
      </c>
      <c r="B557" s="1" t="s">
        <v>1132</v>
      </c>
      <c r="C557" s="1" t="s">
        <v>1133</v>
      </c>
      <c r="D557" s="1" t="s">
        <v>26</v>
      </c>
    </row>
    <row r="558" spans="1:4" ht="17" customHeight="1">
      <c r="A558" s="1">
        <v>3059</v>
      </c>
      <c r="B558" s="1" t="s">
        <v>1134</v>
      </c>
      <c r="C558" s="1" t="s">
        <v>1135</v>
      </c>
      <c r="D558" s="1" t="s">
        <v>26</v>
      </c>
    </row>
    <row r="559" spans="1:4" ht="17" customHeight="1">
      <c r="A559" s="1">
        <v>3060</v>
      </c>
      <c r="B559" s="1" t="s">
        <v>1136</v>
      </c>
      <c r="C559" s="1" t="s">
        <v>1137</v>
      </c>
      <c r="D559" s="1" t="s">
        <v>26</v>
      </c>
    </row>
    <row r="560" spans="1:4" ht="17" customHeight="1">
      <c r="A560" s="1">
        <v>3062</v>
      </c>
      <c r="B560" s="1" t="s">
        <v>1138</v>
      </c>
      <c r="C560" s="1" t="s">
        <v>1139</v>
      </c>
      <c r="D560" s="1" t="s">
        <v>26</v>
      </c>
    </row>
    <row r="561" spans="1:4" ht="17" customHeight="1">
      <c r="A561" s="1">
        <v>3090</v>
      </c>
      <c r="B561" s="1" t="s">
        <v>1140</v>
      </c>
      <c r="C561" s="1" t="s">
        <v>1141</v>
      </c>
      <c r="D561" s="1" t="s">
        <v>26</v>
      </c>
    </row>
    <row r="562" spans="1:4" ht="17" customHeight="1">
      <c r="A562" s="1">
        <v>3094</v>
      </c>
      <c r="B562" s="1" t="s">
        <v>1142</v>
      </c>
      <c r="C562" s="1" t="s">
        <v>1143</v>
      </c>
      <c r="D562" s="1" t="s">
        <v>26</v>
      </c>
    </row>
    <row r="563" spans="1:4" ht="17" customHeight="1">
      <c r="A563" s="1">
        <v>3130</v>
      </c>
      <c r="B563" s="1" t="s">
        <v>1144</v>
      </c>
      <c r="C563" s="1" t="s">
        <v>1145</v>
      </c>
      <c r="D563" s="1" t="s">
        <v>26</v>
      </c>
    </row>
    <row r="564" spans="1:4" ht="17" customHeight="1">
      <c r="A564" s="1">
        <v>3149</v>
      </c>
      <c r="B564" s="1" t="s">
        <v>1146</v>
      </c>
      <c r="C564" s="1" t="s">
        <v>1147</v>
      </c>
      <c r="D564" s="1" t="s">
        <v>26</v>
      </c>
    </row>
    <row r="565" spans="1:4" ht="17" customHeight="1">
      <c r="A565" s="1">
        <v>3164</v>
      </c>
      <c r="B565" s="1" t="s">
        <v>1148</v>
      </c>
      <c r="C565" s="1" t="s">
        <v>1149</v>
      </c>
      <c r="D565" s="1" t="s">
        <v>26</v>
      </c>
    </row>
    <row r="566" spans="1:4" ht="17" customHeight="1">
      <c r="A566" s="1">
        <v>3167</v>
      </c>
      <c r="B566" s="1" t="s">
        <v>1150</v>
      </c>
      <c r="C566" s="1" t="s">
        <v>1151</v>
      </c>
      <c r="D566" s="1" t="s">
        <v>26</v>
      </c>
    </row>
    <row r="567" spans="1:4" ht="17" customHeight="1">
      <c r="A567" s="1">
        <v>3189</v>
      </c>
      <c r="B567" s="1" t="s">
        <v>1152</v>
      </c>
      <c r="C567" s="1" t="s">
        <v>11</v>
      </c>
      <c r="D567" s="1" t="s">
        <v>26</v>
      </c>
    </row>
    <row r="568" spans="1:4" ht="17" customHeight="1">
      <c r="A568" s="1">
        <v>3209</v>
      </c>
      <c r="B568" s="1" t="s">
        <v>1153</v>
      </c>
      <c r="C568" s="1" t="s">
        <v>1154</v>
      </c>
      <c r="D568" s="1" t="s">
        <v>26</v>
      </c>
    </row>
    <row r="569" spans="1:4" ht="17" customHeight="1">
      <c r="A569" s="1">
        <v>3229</v>
      </c>
      <c r="B569" s="1" t="s">
        <v>1155</v>
      </c>
      <c r="C569" s="1" t="s">
        <v>1156</v>
      </c>
      <c r="D569" s="1" t="s">
        <v>26</v>
      </c>
    </row>
    <row r="570" spans="1:4" ht="17" customHeight="1">
      <c r="A570" s="1">
        <v>3231</v>
      </c>
      <c r="B570" s="1" t="s">
        <v>1157</v>
      </c>
      <c r="C570" s="1" t="s">
        <v>6</v>
      </c>
      <c r="D570" s="1" t="s">
        <v>26</v>
      </c>
    </row>
    <row r="571" spans="1:4" ht="17" customHeight="1">
      <c r="A571" s="1">
        <v>3257</v>
      </c>
      <c r="B571" s="1" t="s">
        <v>1158</v>
      </c>
      <c r="C571" s="1" t="s">
        <v>1159</v>
      </c>
      <c r="D571" s="1" t="s">
        <v>26</v>
      </c>
    </row>
    <row r="572" spans="1:4" ht="17" customHeight="1">
      <c r="A572" s="1">
        <v>3266</v>
      </c>
      <c r="B572" s="1" t="s">
        <v>1160</v>
      </c>
      <c r="C572" s="1" t="s">
        <v>1161</v>
      </c>
      <c r="D572" s="1" t="s">
        <v>26</v>
      </c>
    </row>
    <row r="573" spans="1:4" ht="17" customHeight="1">
      <c r="A573" s="1">
        <v>3296</v>
      </c>
      <c r="B573" s="1" t="s">
        <v>1162</v>
      </c>
      <c r="C573" s="1" t="s">
        <v>1163</v>
      </c>
      <c r="D573" s="1" t="s">
        <v>26</v>
      </c>
    </row>
    <row r="574" spans="1:4" ht="17" customHeight="1">
      <c r="A574" s="1">
        <v>3305</v>
      </c>
      <c r="B574" s="1" t="s">
        <v>1164</v>
      </c>
      <c r="C574" s="1" t="s">
        <v>1165</v>
      </c>
      <c r="D574" s="1" t="s">
        <v>26</v>
      </c>
    </row>
    <row r="575" spans="1:4" ht="17" customHeight="1">
      <c r="A575" s="1">
        <v>3308</v>
      </c>
      <c r="B575" s="1" t="s">
        <v>1166</v>
      </c>
      <c r="C575" s="1" t="s">
        <v>1167</v>
      </c>
      <c r="D575" s="1" t="s">
        <v>26</v>
      </c>
    </row>
    <row r="576" spans="1:4" ht="17" customHeight="1">
      <c r="A576" s="1">
        <v>3311</v>
      </c>
      <c r="B576" s="1" t="s">
        <v>14</v>
      </c>
      <c r="C576" s="1" t="s">
        <v>1168</v>
      </c>
      <c r="D576" s="1" t="s">
        <v>26</v>
      </c>
    </row>
    <row r="577" spans="1:4" ht="17" customHeight="1">
      <c r="A577" s="1">
        <v>3312</v>
      </c>
      <c r="B577" s="1" t="s">
        <v>1169</v>
      </c>
      <c r="C577" s="1" t="s">
        <v>1170</v>
      </c>
      <c r="D577" s="1" t="s">
        <v>26</v>
      </c>
    </row>
    <row r="578" spans="1:4" ht="17" customHeight="1">
      <c r="A578" s="1">
        <v>3321</v>
      </c>
      <c r="B578" s="1" t="s">
        <v>1171</v>
      </c>
      <c r="C578" s="1" t="s">
        <v>1172</v>
      </c>
      <c r="D578" s="1" t="s">
        <v>26</v>
      </c>
    </row>
    <row r="579" spans="1:4" ht="17" customHeight="1">
      <c r="A579" s="1">
        <v>3338</v>
      </c>
      <c r="B579" s="1" t="s">
        <v>1173</v>
      </c>
      <c r="C579" s="1" t="s">
        <v>1174</v>
      </c>
      <c r="D579" s="1" t="s">
        <v>26</v>
      </c>
    </row>
    <row r="580" spans="1:4" ht="17" customHeight="1">
      <c r="A580" s="1">
        <v>3346</v>
      </c>
      <c r="B580" s="1" t="s">
        <v>1175</v>
      </c>
      <c r="C580" s="1" t="s">
        <v>1176</v>
      </c>
      <c r="D580" s="1" t="s">
        <v>26</v>
      </c>
    </row>
    <row r="581" spans="1:4" ht="17" customHeight="1">
      <c r="A581" s="1">
        <v>3356</v>
      </c>
      <c r="B581" s="1" t="s">
        <v>1177</v>
      </c>
      <c r="C581" s="1" t="s">
        <v>1178</v>
      </c>
      <c r="D581" s="1" t="s">
        <v>26</v>
      </c>
    </row>
    <row r="582" spans="1:4" ht="17" customHeight="1">
      <c r="A582" s="1">
        <v>3376</v>
      </c>
      <c r="B582" s="1" t="s">
        <v>1179</v>
      </c>
      <c r="C582" s="1" t="s">
        <v>1180</v>
      </c>
      <c r="D582" s="1" t="s">
        <v>26</v>
      </c>
    </row>
    <row r="583" spans="1:4" ht="17" customHeight="1">
      <c r="A583" s="1">
        <v>3380</v>
      </c>
      <c r="B583" s="1" t="s">
        <v>1181</v>
      </c>
      <c r="C583" s="1" t="s">
        <v>1182</v>
      </c>
      <c r="D583" s="1" t="s">
        <v>26</v>
      </c>
    </row>
    <row r="584" spans="1:4" ht="17" customHeight="1">
      <c r="A584" s="1">
        <v>3383</v>
      </c>
      <c r="B584" s="1" t="s">
        <v>1183</v>
      </c>
      <c r="C584" s="1" t="s">
        <v>1184</v>
      </c>
      <c r="D584" s="1" t="s">
        <v>26</v>
      </c>
    </row>
    <row r="585" spans="1:4" ht="17" customHeight="1">
      <c r="A585" s="1">
        <v>3406</v>
      </c>
      <c r="B585" s="1" t="s">
        <v>1185</v>
      </c>
      <c r="C585" s="1" t="s">
        <v>1186</v>
      </c>
      <c r="D585" s="1" t="s">
        <v>26</v>
      </c>
    </row>
    <row r="586" spans="1:4" ht="17" customHeight="1">
      <c r="A586" s="1">
        <v>3413</v>
      </c>
      <c r="B586" s="1" t="s">
        <v>1187</v>
      </c>
      <c r="C586" s="1" t="s">
        <v>1188</v>
      </c>
      <c r="D586" s="1" t="s">
        <v>26</v>
      </c>
    </row>
    <row r="587" spans="1:4" ht="17" customHeight="1">
      <c r="A587" s="1">
        <v>3416</v>
      </c>
      <c r="B587" s="1" t="s">
        <v>1189</v>
      </c>
      <c r="C587" s="1" t="s">
        <v>1190</v>
      </c>
      <c r="D587" s="1" t="s">
        <v>26</v>
      </c>
    </row>
    <row r="588" spans="1:4" ht="17" customHeight="1">
      <c r="A588" s="1">
        <v>3419</v>
      </c>
      <c r="B588" s="1" t="s">
        <v>1191</v>
      </c>
      <c r="C588" s="1" t="s">
        <v>1192</v>
      </c>
      <c r="D588" s="1" t="s">
        <v>26</v>
      </c>
    </row>
    <row r="589" spans="1:4" ht="17" customHeight="1">
      <c r="A589" s="1">
        <v>3432</v>
      </c>
      <c r="B589" s="1" t="s">
        <v>1193</v>
      </c>
      <c r="C589" s="1" t="s">
        <v>1194</v>
      </c>
      <c r="D589" s="1" t="s">
        <v>26</v>
      </c>
    </row>
    <row r="590" spans="1:4" ht="17" customHeight="1">
      <c r="A590" s="1">
        <v>3437</v>
      </c>
      <c r="B590" s="1" t="s">
        <v>1195</v>
      </c>
      <c r="C590" s="1" t="s">
        <v>1196</v>
      </c>
      <c r="D590" s="1" t="s">
        <v>26</v>
      </c>
    </row>
    <row r="591" spans="1:4" ht="17" customHeight="1">
      <c r="A591" s="1">
        <v>3443</v>
      </c>
      <c r="B591" s="1" t="s">
        <v>1197</v>
      </c>
      <c r="C591" s="1" t="s">
        <v>1198</v>
      </c>
      <c r="D591" s="1" t="s">
        <v>26</v>
      </c>
    </row>
    <row r="592" spans="1:4" ht="17" customHeight="1">
      <c r="A592" s="1">
        <v>3450</v>
      </c>
      <c r="B592" s="1" t="s">
        <v>1199</v>
      </c>
      <c r="C592" s="1" t="s">
        <v>1200</v>
      </c>
      <c r="D592" s="1" t="s">
        <v>26</v>
      </c>
    </row>
    <row r="593" spans="1:4" ht="17" customHeight="1">
      <c r="A593" s="1">
        <v>3454</v>
      </c>
      <c r="B593" s="1" t="s">
        <v>1201</v>
      </c>
      <c r="C593" s="1" t="s">
        <v>1202</v>
      </c>
      <c r="D593" s="1" t="s">
        <v>26</v>
      </c>
    </row>
    <row r="594" spans="1:4" ht="17" customHeight="1">
      <c r="A594" s="1">
        <v>3481</v>
      </c>
      <c r="B594" s="1" t="s">
        <v>1203</v>
      </c>
      <c r="C594" s="1" t="s">
        <v>1204</v>
      </c>
      <c r="D594" s="1" t="s">
        <v>26</v>
      </c>
    </row>
    <row r="595" spans="1:4" ht="17" customHeight="1">
      <c r="A595" s="1">
        <v>3494</v>
      </c>
      <c r="B595" s="1" t="s">
        <v>1205</v>
      </c>
      <c r="C595" s="1" t="s">
        <v>1206</v>
      </c>
      <c r="D595" s="1" t="s">
        <v>26</v>
      </c>
    </row>
    <row r="596" spans="1:4" ht="17" customHeight="1">
      <c r="A596" s="1">
        <v>3501</v>
      </c>
      <c r="B596" s="1" t="s">
        <v>1207</v>
      </c>
      <c r="C596" s="1" t="s">
        <v>1208</v>
      </c>
      <c r="D596" s="1" t="s">
        <v>26</v>
      </c>
    </row>
    <row r="597" spans="1:4" ht="17" customHeight="1">
      <c r="A597" s="1">
        <v>3504</v>
      </c>
      <c r="B597" s="1" t="s">
        <v>1209</v>
      </c>
      <c r="C597" s="1" t="s">
        <v>1210</v>
      </c>
      <c r="D597" s="1" t="s">
        <v>26</v>
      </c>
    </row>
    <row r="598" spans="1:4" ht="17" customHeight="1">
      <c r="A598" s="1">
        <v>3515</v>
      </c>
      <c r="B598" s="1" t="s">
        <v>1211</v>
      </c>
      <c r="C598" s="1" t="s">
        <v>10</v>
      </c>
      <c r="D598" s="1" t="s">
        <v>26</v>
      </c>
    </row>
    <row r="599" spans="1:4" ht="17" customHeight="1">
      <c r="A599" s="1">
        <v>3518</v>
      </c>
      <c r="B599" s="1" t="s">
        <v>1212</v>
      </c>
      <c r="C599" s="1" t="s">
        <v>1213</v>
      </c>
      <c r="D599" s="1" t="s">
        <v>26</v>
      </c>
    </row>
    <row r="600" spans="1:4" ht="17" customHeight="1">
      <c r="A600" s="1">
        <v>3528</v>
      </c>
      <c r="B600" s="1" t="s">
        <v>1214</v>
      </c>
      <c r="C600" s="1" t="s">
        <v>1215</v>
      </c>
      <c r="D600" s="1" t="s">
        <v>26</v>
      </c>
    </row>
    <row r="601" spans="1:4" ht="17" customHeight="1">
      <c r="A601" s="1">
        <v>3530</v>
      </c>
      <c r="B601" s="1" t="s">
        <v>1216</v>
      </c>
      <c r="C601" s="1" t="s">
        <v>1217</v>
      </c>
      <c r="D601" s="1" t="s">
        <v>26</v>
      </c>
    </row>
    <row r="602" spans="1:4" ht="17" customHeight="1">
      <c r="A602" s="1">
        <v>3532</v>
      </c>
      <c r="B602" s="1" t="s">
        <v>1218</v>
      </c>
      <c r="C602" s="1" t="s">
        <v>1219</v>
      </c>
      <c r="D602" s="1" t="s">
        <v>26</v>
      </c>
    </row>
    <row r="603" spans="1:4" ht="17" customHeight="1">
      <c r="A603" s="1">
        <v>3533</v>
      </c>
      <c r="B603" s="1" t="s">
        <v>1220</v>
      </c>
      <c r="C603" s="1" t="s">
        <v>1221</v>
      </c>
      <c r="D603" s="1" t="s">
        <v>26</v>
      </c>
    </row>
    <row r="604" spans="1:4" ht="17" customHeight="1">
      <c r="A604" s="1">
        <v>3535</v>
      </c>
      <c r="B604" s="1" t="s">
        <v>1222</v>
      </c>
      <c r="C604" s="1" t="s">
        <v>1223</v>
      </c>
      <c r="D604" s="1" t="s">
        <v>26</v>
      </c>
    </row>
    <row r="605" spans="1:4" ht="17" customHeight="1">
      <c r="A605" s="1">
        <v>3536</v>
      </c>
      <c r="B605" s="1" t="s">
        <v>1224</v>
      </c>
      <c r="C605" s="1" t="s">
        <v>1225</v>
      </c>
      <c r="D605" s="1" t="s">
        <v>26</v>
      </c>
    </row>
    <row r="606" spans="1:4" ht="17" customHeight="1">
      <c r="A606" s="1">
        <v>3543</v>
      </c>
      <c r="B606" s="1" t="s">
        <v>3565</v>
      </c>
      <c r="C606" s="1" t="s">
        <v>3566</v>
      </c>
      <c r="D606" s="1" t="s">
        <v>26</v>
      </c>
    </row>
    <row r="607" spans="1:4" ht="17" customHeight="1">
      <c r="A607" s="1">
        <v>3545</v>
      </c>
      <c r="B607" s="1" t="s">
        <v>1226</v>
      </c>
      <c r="C607" s="1" t="s">
        <v>1227</v>
      </c>
      <c r="D607" s="1" t="s">
        <v>26</v>
      </c>
    </row>
    <row r="608" spans="1:4" ht="17" customHeight="1">
      <c r="A608" s="1">
        <v>3550</v>
      </c>
      <c r="B608" s="1" t="s">
        <v>1228</v>
      </c>
      <c r="C608" s="1" t="s">
        <v>1229</v>
      </c>
      <c r="D608" s="1" t="s">
        <v>26</v>
      </c>
    </row>
    <row r="609" spans="1:4" ht="17" customHeight="1">
      <c r="A609" s="1">
        <v>3557</v>
      </c>
      <c r="B609" s="1" t="s">
        <v>1230</v>
      </c>
      <c r="C609" s="1" t="s">
        <v>1231</v>
      </c>
      <c r="D609" s="1" t="s">
        <v>26</v>
      </c>
    </row>
    <row r="610" spans="1:4" ht="17" customHeight="1">
      <c r="A610" s="1">
        <v>3563</v>
      </c>
      <c r="B610" s="1" t="s">
        <v>1232</v>
      </c>
      <c r="C610" s="1" t="s">
        <v>1233</v>
      </c>
      <c r="D610" s="1" t="s">
        <v>26</v>
      </c>
    </row>
    <row r="611" spans="1:4" ht="17" customHeight="1">
      <c r="A611" s="1">
        <v>3576</v>
      </c>
      <c r="B611" s="1" t="s">
        <v>1234</v>
      </c>
      <c r="C611" s="1" t="s">
        <v>1235</v>
      </c>
      <c r="D611" s="1" t="s">
        <v>26</v>
      </c>
    </row>
    <row r="612" spans="1:4" ht="17" customHeight="1">
      <c r="A612" s="1">
        <v>3583</v>
      </c>
      <c r="B612" s="1" t="s">
        <v>1236</v>
      </c>
      <c r="C612" s="1" t="s">
        <v>1237</v>
      </c>
      <c r="D612" s="1" t="s">
        <v>26</v>
      </c>
    </row>
    <row r="613" spans="1:4" ht="17" customHeight="1">
      <c r="A613" s="1">
        <v>3588</v>
      </c>
      <c r="B613" s="1" t="s">
        <v>1238</v>
      </c>
      <c r="C613" s="1" t="s">
        <v>1239</v>
      </c>
      <c r="D613" s="1" t="s">
        <v>26</v>
      </c>
    </row>
    <row r="614" spans="1:4" ht="17" customHeight="1">
      <c r="A614" s="1">
        <v>3591</v>
      </c>
      <c r="B614" s="1" t="s">
        <v>1240</v>
      </c>
      <c r="C614" s="1" t="s">
        <v>1241</v>
      </c>
      <c r="D614" s="1" t="s">
        <v>26</v>
      </c>
    </row>
    <row r="615" spans="1:4" ht="17" customHeight="1">
      <c r="A615" s="1">
        <v>3593</v>
      </c>
      <c r="B615" s="1" t="s">
        <v>1242</v>
      </c>
      <c r="C615" s="1" t="s">
        <v>1243</v>
      </c>
      <c r="D615" s="1" t="s">
        <v>26</v>
      </c>
    </row>
    <row r="616" spans="1:4" ht="17" customHeight="1">
      <c r="A616" s="1">
        <v>3596</v>
      </c>
      <c r="B616" s="1" t="s">
        <v>1244</v>
      </c>
      <c r="C616" s="1" t="s">
        <v>1245</v>
      </c>
      <c r="D616" s="1" t="s">
        <v>26</v>
      </c>
    </row>
    <row r="617" spans="1:4" ht="17" customHeight="1">
      <c r="A617" s="1">
        <v>3605</v>
      </c>
      <c r="B617" s="1" t="s">
        <v>1246</v>
      </c>
      <c r="C617" s="1" t="s">
        <v>1247</v>
      </c>
      <c r="D617" s="1" t="s">
        <v>26</v>
      </c>
    </row>
    <row r="618" spans="1:4" ht="17" customHeight="1">
      <c r="A618" s="1">
        <v>3607</v>
      </c>
      <c r="B618" s="1" t="s">
        <v>1248</v>
      </c>
      <c r="C618" s="1" t="s">
        <v>1249</v>
      </c>
      <c r="D618" s="1" t="s">
        <v>26</v>
      </c>
    </row>
    <row r="619" spans="1:4" ht="17" customHeight="1">
      <c r="A619" s="1">
        <v>3617</v>
      </c>
      <c r="B619" s="1" t="s">
        <v>1250</v>
      </c>
      <c r="C619" s="1" t="s">
        <v>1251</v>
      </c>
      <c r="D619" s="1" t="s">
        <v>26</v>
      </c>
    </row>
    <row r="620" spans="1:4" ht="17" customHeight="1">
      <c r="A620" s="1">
        <v>3622</v>
      </c>
      <c r="B620" s="1" t="s">
        <v>1252</v>
      </c>
      <c r="C620" s="1" t="s">
        <v>1253</v>
      </c>
      <c r="D620" s="1" t="s">
        <v>26</v>
      </c>
    </row>
    <row r="621" spans="1:4" ht="17" customHeight="1">
      <c r="A621" s="1">
        <v>3645</v>
      </c>
      <c r="B621" s="1" t="s">
        <v>1254</v>
      </c>
      <c r="C621" s="1" t="s">
        <v>1255</v>
      </c>
      <c r="D621" s="1" t="s">
        <v>26</v>
      </c>
    </row>
    <row r="622" spans="1:4" ht="17" customHeight="1">
      <c r="A622" s="1">
        <v>3653</v>
      </c>
      <c r="B622" s="1" t="s">
        <v>1256</v>
      </c>
      <c r="C622" s="1" t="s">
        <v>1257</v>
      </c>
      <c r="D622" s="1" t="s">
        <v>26</v>
      </c>
    </row>
    <row r="623" spans="1:4" ht="17" customHeight="1">
      <c r="A623" s="1">
        <v>3661</v>
      </c>
      <c r="B623" s="1" t="s">
        <v>1258</v>
      </c>
      <c r="C623" s="1" t="s">
        <v>1259</v>
      </c>
      <c r="D623" s="1" t="s">
        <v>26</v>
      </c>
    </row>
    <row r="624" spans="1:4" ht="17" customHeight="1">
      <c r="A624" s="1">
        <v>3665</v>
      </c>
      <c r="B624" s="1" t="s">
        <v>1260</v>
      </c>
      <c r="C624" s="1" t="s">
        <v>1261</v>
      </c>
      <c r="D624" s="1" t="s">
        <v>26</v>
      </c>
    </row>
    <row r="625" spans="1:4" ht="17" customHeight="1">
      <c r="A625" s="1">
        <v>3669</v>
      </c>
      <c r="B625" s="1" t="s">
        <v>1262</v>
      </c>
      <c r="C625" s="1" t="s">
        <v>1263</v>
      </c>
      <c r="D625" s="1" t="s">
        <v>26</v>
      </c>
    </row>
    <row r="626" spans="1:4" ht="17" customHeight="1">
      <c r="A626" s="1">
        <v>3673</v>
      </c>
      <c r="B626" s="1" t="s">
        <v>1264</v>
      </c>
      <c r="C626" s="1" t="s">
        <v>1265</v>
      </c>
      <c r="D626" s="1" t="s">
        <v>26</v>
      </c>
    </row>
    <row r="627" spans="1:4" ht="17" customHeight="1">
      <c r="A627" s="1">
        <v>3679</v>
      </c>
      <c r="B627" s="1" t="s">
        <v>1266</v>
      </c>
      <c r="C627" s="1" t="s">
        <v>1267</v>
      </c>
      <c r="D627" s="1" t="s">
        <v>26</v>
      </c>
    </row>
    <row r="628" spans="1:4" ht="17" customHeight="1">
      <c r="A628" s="1">
        <v>3682</v>
      </c>
      <c r="B628" s="1" t="s">
        <v>8</v>
      </c>
      <c r="C628" s="1" t="s">
        <v>1268</v>
      </c>
      <c r="D628" s="1" t="s">
        <v>26</v>
      </c>
    </row>
    <row r="629" spans="1:4" ht="17" customHeight="1">
      <c r="A629" s="1">
        <v>3686</v>
      </c>
      <c r="B629" s="1" t="s">
        <v>1269</v>
      </c>
      <c r="C629" s="1" t="s">
        <v>1270</v>
      </c>
      <c r="D629" s="1" t="s">
        <v>26</v>
      </c>
    </row>
    <row r="630" spans="1:4" ht="17" customHeight="1">
      <c r="A630" s="1">
        <v>3694</v>
      </c>
      <c r="B630" s="1" t="s">
        <v>1271</v>
      </c>
      <c r="C630" s="1" t="s">
        <v>9</v>
      </c>
      <c r="D630" s="1" t="s">
        <v>26</v>
      </c>
    </row>
    <row r="631" spans="1:4" ht="17" customHeight="1">
      <c r="A631" s="1">
        <v>3698</v>
      </c>
      <c r="B631" s="1" t="s">
        <v>1272</v>
      </c>
      <c r="C631" s="1" t="s">
        <v>1273</v>
      </c>
      <c r="D631" s="1" t="s">
        <v>26</v>
      </c>
    </row>
    <row r="632" spans="1:4" ht="17" customHeight="1">
      <c r="A632" s="1">
        <v>3701</v>
      </c>
      <c r="B632" s="1" t="s">
        <v>1274</v>
      </c>
      <c r="C632" s="1" t="s">
        <v>1275</v>
      </c>
      <c r="D632" s="1" t="s">
        <v>26</v>
      </c>
    </row>
    <row r="633" spans="1:4" ht="17" customHeight="1">
      <c r="A633" s="1">
        <v>3702</v>
      </c>
      <c r="B633" s="1" t="s">
        <v>1276</v>
      </c>
      <c r="C633" s="1" t="s">
        <v>1277</v>
      </c>
      <c r="D633" s="1" t="s">
        <v>26</v>
      </c>
    </row>
    <row r="634" spans="1:4" ht="17" customHeight="1">
      <c r="A634" s="1">
        <v>3703</v>
      </c>
      <c r="B634" s="1" t="s">
        <v>1278</v>
      </c>
      <c r="C634" s="1" t="s">
        <v>1279</v>
      </c>
      <c r="D634" s="1" t="s">
        <v>26</v>
      </c>
    </row>
    <row r="635" spans="1:4" ht="17" customHeight="1">
      <c r="A635" s="1">
        <v>3704</v>
      </c>
      <c r="B635" s="1" t="s">
        <v>1280</v>
      </c>
      <c r="C635" s="1" t="s">
        <v>1281</v>
      </c>
      <c r="D635" s="1" t="s">
        <v>26</v>
      </c>
    </row>
    <row r="636" spans="1:4" ht="17" customHeight="1">
      <c r="A636" s="1">
        <v>3705</v>
      </c>
      <c r="B636" s="1" t="s">
        <v>1282</v>
      </c>
      <c r="C636" s="1" t="s">
        <v>1283</v>
      </c>
      <c r="D636" s="1" t="s">
        <v>26</v>
      </c>
    </row>
    <row r="637" spans="1:4" ht="17" customHeight="1">
      <c r="A637" s="1">
        <v>3706</v>
      </c>
      <c r="B637" s="1" t="s">
        <v>1284</v>
      </c>
      <c r="C637" s="1" t="s">
        <v>1285</v>
      </c>
      <c r="D637" s="1" t="s">
        <v>26</v>
      </c>
    </row>
    <row r="638" spans="1:4" ht="17" customHeight="1">
      <c r="A638" s="1">
        <v>3708</v>
      </c>
      <c r="B638" s="1" t="s">
        <v>1286</v>
      </c>
      <c r="C638" s="1" t="s">
        <v>1287</v>
      </c>
      <c r="D638" s="1" t="s">
        <v>26</v>
      </c>
    </row>
    <row r="639" spans="1:4" ht="17" customHeight="1">
      <c r="A639" s="1">
        <v>3711</v>
      </c>
      <c r="B639" s="1" t="s">
        <v>1288</v>
      </c>
      <c r="C639" s="1" t="s">
        <v>1289</v>
      </c>
      <c r="D639" s="1" t="s">
        <v>26</v>
      </c>
    </row>
    <row r="640" spans="1:4" ht="17" customHeight="1">
      <c r="A640" s="1">
        <v>3712</v>
      </c>
      <c r="B640" s="1" t="s">
        <v>1290</v>
      </c>
      <c r="C640" s="1" t="s">
        <v>1291</v>
      </c>
      <c r="D640" s="1" t="s">
        <v>26</v>
      </c>
    </row>
    <row r="641" spans="1:4" ht="17" customHeight="1">
      <c r="A641" s="1">
        <v>4104</v>
      </c>
      <c r="B641" s="1" t="s">
        <v>1292</v>
      </c>
      <c r="C641" s="1" t="s">
        <v>1293</v>
      </c>
      <c r="D641" s="1" t="s">
        <v>26</v>
      </c>
    </row>
    <row r="642" spans="1:4" ht="17" customHeight="1">
      <c r="A642" s="1">
        <v>4106</v>
      </c>
      <c r="B642" s="1" t="s">
        <v>1294</v>
      </c>
      <c r="C642" s="1" t="s">
        <v>1295</v>
      </c>
      <c r="D642" s="1" t="s">
        <v>26</v>
      </c>
    </row>
    <row r="643" spans="1:4" ht="17" customHeight="1">
      <c r="A643" s="1">
        <v>4108</v>
      </c>
      <c r="B643" s="1" t="s">
        <v>1296</v>
      </c>
      <c r="C643" s="1" t="s">
        <v>1297</v>
      </c>
      <c r="D643" s="1" t="s">
        <v>26</v>
      </c>
    </row>
    <row r="644" spans="1:4" ht="17" customHeight="1">
      <c r="A644" s="1">
        <v>4119</v>
      </c>
      <c r="B644" s="1" t="s">
        <v>1298</v>
      </c>
      <c r="C644" s="1" t="s">
        <v>1299</v>
      </c>
      <c r="D644" s="1" t="s">
        <v>26</v>
      </c>
    </row>
    <row r="645" spans="1:4" ht="17" customHeight="1">
      <c r="A645" s="1">
        <v>4133</v>
      </c>
      <c r="B645" s="1" t="s">
        <v>1300</v>
      </c>
      <c r="C645" s="1" t="s">
        <v>1301</v>
      </c>
      <c r="D645" s="1" t="s">
        <v>26</v>
      </c>
    </row>
    <row r="646" spans="1:4" ht="17" customHeight="1">
      <c r="A646" s="1">
        <v>4137</v>
      </c>
      <c r="B646" s="1" t="s">
        <v>1302</v>
      </c>
      <c r="C646" s="1" t="s">
        <v>1303</v>
      </c>
      <c r="D646" s="1" t="s">
        <v>26</v>
      </c>
    </row>
    <row r="647" spans="1:4" ht="17" customHeight="1">
      <c r="A647" s="1">
        <v>4141</v>
      </c>
      <c r="B647" s="1" t="s">
        <v>1304</v>
      </c>
      <c r="C647" s="1" t="s">
        <v>1305</v>
      </c>
      <c r="D647" s="1" t="s">
        <v>26</v>
      </c>
    </row>
    <row r="648" spans="1:4" ht="17" customHeight="1">
      <c r="A648" s="1">
        <v>4142</v>
      </c>
      <c r="B648" s="1" t="s">
        <v>1306</v>
      </c>
      <c r="C648" s="1" t="s">
        <v>1307</v>
      </c>
      <c r="D648" s="1" t="s">
        <v>26</v>
      </c>
    </row>
    <row r="649" spans="1:4" ht="17" customHeight="1">
      <c r="A649" s="1">
        <v>4144</v>
      </c>
      <c r="B649" s="1" t="s">
        <v>1308</v>
      </c>
      <c r="C649" s="1" t="s">
        <v>1309</v>
      </c>
      <c r="D649" s="1" t="s">
        <v>26</v>
      </c>
    </row>
    <row r="650" spans="1:4" ht="17" customHeight="1">
      <c r="A650" s="1">
        <v>4148</v>
      </c>
      <c r="B650" s="1" t="s">
        <v>1310</v>
      </c>
      <c r="C650" s="1" t="s">
        <v>1311</v>
      </c>
      <c r="D650" s="1" t="s">
        <v>26</v>
      </c>
    </row>
    <row r="651" spans="1:4" ht="17" customHeight="1">
      <c r="A651" s="1">
        <v>4155</v>
      </c>
      <c r="B651" s="1" t="s">
        <v>1312</v>
      </c>
      <c r="C651" s="1" t="s">
        <v>1313</v>
      </c>
      <c r="D651" s="1" t="s">
        <v>26</v>
      </c>
    </row>
    <row r="652" spans="1:4" ht="17" customHeight="1">
      <c r="A652" s="1">
        <v>4164</v>
      </c>
      <c r="B652" s="1" t="s">
        <v>1314</v>
      </c>
      <c r="C652" s="1" t="s">
        <v>1315</v>
      </c>
      <c r="D652" s="1" t="s">
        <v>26</v>
      </c>
    </row>
    <row r="653" spans="1:4" ht="17" customHeight="1">
      <c r="A653" s="1">
        <v>4190</v>
      </c>
      <c r="B653" s="1" t="s">
        <v>1316</v>
      </c>
      <c r="C653" s="1" t="s">
        <v>1317</v>
      </c>
      <c r="D653" s="1" t="s">
        <v>26</v>
      </c>
    </row>
    <row r="654" spans="1:4" ht="17" customHeight="1">
      <c r="A654" s="1">
        <v>4306</v>
      </c>
      <c r="B654" s="1" t="s">
        <v>1318</v>
      </c>
      <c r="C654" s="1" t="s">
        <v>1319</v>
      </c>
      <c r="D654" s="1" t="s">
        <v>26</v>
      </c>
    </row>
    <row r="655" spans="1:4" ht="17" customHeight="1">
      <c r="A655" s="1">
        <v>4414</v>
      </c>
      <c r="B655" s="1" t="s">
        <v>1320</v>
      </c>
      <c r="C655" s="1" t="s">
        <v>1321</v>
      </c>
      <c r="D655" s="1" t="s">
        <v>26</v>
      </c>
    </row>
    <row r="656" spans="1:4" ht="17" customHeight="1">
      <c r="A656" s="1">
        <v>4426</v>
      </c>
      <c r="B656" s="1" t="s">
        <v>1322</v>
      </c>
      <c r="C656" s="1" t="s">
        <v>1323</v>
      </c>
      <c r="D656" s="1" t="s">
        <v>26</v>
      </c>
    </row>
    <row r="657" spans="1:4" ht="17" customHeight="1">
      <c r="A657" s="1">
        <v>4438</v>
      </c>
      <c r="B657" s="1" t="s">
        <v>1324</v>
      </c>
      <c r="C657" s="1" t="s">
        <v>1325</v>
      </c>
      <c r="D657" s="1" t="s">
        <v>26</v>
      </c>
    </row>
    <row r="658" spans="1:4" ht="17" customHeight="1">
      <c r="A658" s="1">
        <v>4439</v>
      </c>
      <c r="B658" s="1" t="s">
        <v>1326</v>
      </c>
      <c r="C658" s="1" t="s">
        <v>1327</v>
      </c>
      <c r="D658" s="1" t="s">
        <v>26</v>
      </c>
    </row>
    <row r="659" spans="1:4" ht="17" customHeight="1">
      <c r="A659" s="1">
        <v>4526</v>
      </c>
      <c r="B659" s="1" t="s">
        <v>1328</v>
      </c>
      <c r="C659" s="1" t="s">
        <v>1329</v>
      </c>
      <c r="D659" s="1" t="s">
        <v>26</v>
      </c>
    </row>
    <row r="660" spans="1:4" ht="17" customHeight="1">
      <c r="A660" s="1">
        <v>4532</v>
      </c>
      <c r="B660" s="1" t="s">
        <v>1330</v>
      </c>
      <c r="C660" s="1" t="s">
        <v>1331</v>
      </c>
      <c r="D660" s="1" t="s">
        <v>26</v>
      </c>
    </row>
    <row r="661" spans="1:4" ht="17" customHeight="1">
      <c r="A661" s="1">
        <v>4536</v>
      </c>
      <c r="B661" s="1" t="s">
        <v>1332</v>
      </c>
      <c r="C661" s="1" t="s">
        <v>1333</v>
      </c>
      <c r="D661" s="1" t="s">
        <v>26</v>
      </c>
    </row>
    <row r="662" spans="1:4" ht="17" customHeight="1">
      <c r="A662" s="1">
        <v>4540</v>
      </c>
      <c r="B662" s="1" t="s">
        <v>1334</v>
      </c>
      <c r="C662" s="1" t="s">
        <v>1335</v>
      </c>
      <c r="D662" s="1" t="s">
        <v>26</v>
      </c>
    </row>
    <row r="663" spans="1:4" ht="17" customHeight="1">
      <c r="A663" s="1">
        <v>4545</v>
      </c>
      <c r="B663" s="1" t="s">
        <v>1336</v>
      </c>
      <c r="C663" s="1" t="s">
        <v>1337</v>
      </c>
      <c r="D663" s="1" t="s">
        <v>26</v>
      </c>
    </row>
    <row r="664" spans="1:4" ht="17" customHeight="1">
      <c r="A664" s="1">
        <v>4551</v>
      </c>
      <c r="B664" s="1" t="s">
        <v>1338</v>
      </c>
      <c r="C664" s="1" t="s">
        <v>1339</v>
      </c>
      <c r="D664" s="1" t="s">
        <v>26</v>
      </c>
    </row>
    <row r="665" spans="1:4" ht="17" customHeight="1">
      <c r="A665" s="1">
        <v>4552</v>
      </c>
      <c r="B665" s="1" t="s">
        <v>1340</v>
      </c>
      <c r="C665" s="1" t="s">
        <v>1341</v>
      </c>
      <c r="D665" s="1" t="s">
        <v>26</v>
      </c>
    </row>
    <row r="666" spans="1:4" ht="17" customHeight="1">
      <c r="A666" s="1">
        <v>4555</v>
      </c>
      <c r="B666" s="1" t="s">
        <v>1342</v>
      </c>
      <c r="C666" s="1" t="s">
        <v>1343</v>
      </c>
      <c r="D666" s="1" t="s">
        <v>26</v>
      </c>
    </row>
    <row r="667" spans="1:4" ht="17" customHeight="1">
      <c r="A667" s="1">
        <v>4557</v>
      </c>
      <c r="B667" s="1" t="s">
        <v>1344</v>
      </c>
      <c r="C667" s="1" t="s">
        <v>1345</v>
      </c>
      <c r="D667" s="1" t="s">
        <v>26</v>
      </c>
    </row>
    <row r="668" spans="1:4" ht="17" customHeight="1">
      <c r="A668" s="1">
        <v>4560</v>
      </c>
      <c r="B668" s="1" t="s">
        <v>1346</v>
      </c>
      <c r="C668" s="1" t="s">
        <v>1347</v>
      </c>
      <c r="D668" s="1" t="s">
        <v>26</v>
      </c>
    </row>
    <row r="669" spans="1:4" ht="17" customHeight="1">
      <c r="A669" s="1">
        <v>4562</v>
      </c>
      <c r="B669" s="1" t="s">
        <v>1348</v>
      </c>
      <c r="C669" s="1" t="s">
        <v>1349</v>
      </c>
      <c r="D669" s="1" t="s">
        <v>26</v>
      </c>
    </row>
    <row r="670" spans="1:4" ht="17" customHeight="1">
      <c r="A670" s="1">
        <v>4564</v>
      </c>
      <c r="B670" s="1" t="s">
        <v>1350</v>
      </c>
      <c r="C670" s="1" t="s">
        <v>1351</v>
      </c>
      <c r="D670" s="1" t="s">
        <v>26</v>
      </c>
    </row>
    <row r="671" spans="1:4" ht="17" customHeight="1">
      <c r="A671" s="1">
        <v>4566</v>
      </c>
      <c r="B671" s="1" t="s">
        <v>1352</v>
      </c>
      <c r="C671" s="1" t="s">
        <v>1353</v>
      </c>
      <c r="D671" s="1" t="s">
        <v>26</v>
      </c>
    </row>
    <row r="672" spans="1:4" ht="17" customHeight="1">
      <c r="A672" s="1">
        <v>4571</v>
      </c>
      <c r="B672" s="1" t="s">
        <v>1354</v>
      </c>
      <c r="C672" s="1" t="s">
        <v>1355</v>
      </c>
      <c r="D672" s="1" t="s">
        <v>26</v>
      </c>
    </row>
    <row r="673" spans="1:4" ht="17" customHeight="1">
      <c r="A673" s="1">
        <v>4572</v>
      </c>
      <c r="B673" s="1" t="s">
        <v>1356</v>
      </c>
      <c r="C673" s="1" t="s">
        <v>1357</v>
      </c>
      <c r="D673" s="1" t="s">
        <v>26</v>
      </c>
    </row>
    <row r="674" spans="1:4" ht="17" customHeight="1">
      <c r="A674" s="1">
        <v>4576</v>
      </c>
      <c r="B674" s="1" t="s">
        <v>1358</v>
      </c>
      <c r="C674" s="1" t="s">
        <v>1359</v>
      </c>
      <c r="D674" s="1" t="s">
        <v>26</v>
      </c>
    </row>
    <row r="675" spans="1:4" ht="17" customHeight="1">
      <c r="A675" s="1">
        <v>4581</v>
      </c>
      <c r="B675" s="1" t="s">
        <v>1360</v>
      </c>
      <c r="C675" s="1" t="s">
        <v>1361</v>
      </c>
      <c r="D675" s="1" t="s">
        <v>26</v>
      </c>
    </row>
    <row r="676" spans="1:4" ht="17" customHeight="1">
      <c r="A676" s="1">
        <v>4720</v>
      </c>
      <c r="B676" s="1" t="s">
        <v>1362</v>
      </c>
      <c r="C676" s="1" t="s">
        <v>1363</v>
      </c>
      <c r="D676" s="1" t="s">
        <v>26</v>
      </c>
    </row>
    <row r="677" spans="1:4" ht="17" customHeight="1">
      <c r="A677" s="1">
        <v>4722</v>
      </c>
      <c r="B677" s="1" t="s">
        <v>1364</v>
      </c>
      <c r="C677" s="1" t="s">
        <v>1365</v>
      </c>
      <c r="D677" s="1" t="s">
        <v>26</v>
      </c>
    </row>
    <row r="678" spans="1:4" ht="17" customHeight="1">
      <c r="A678" s="1">
        <v>4725</v>
      </c>
      <c r="B678" s="1" t="s">
        <v>1366</v>
      </c>
      <c r="C678" s="1" t="s">
        <v>1367</v>
      </c>
      <c r="D678" s="1" t="s">
        <v>26</v>
      </c>
    </row>
    <row r="679" spans="1:4" ht="17" customHeight="1">
      <c r="A679" s="1">
        <v>4737</v>
      </c>
      <c r="B679" s="1" t="s">
        <v>1368</v>
      </c>
      <c r="C679" s="1" t="s">
        <v>1369</v>
      </c>
      <c r="D679" s="1" t="s">
        <v>26</v>
      </c>
    </row>
    <row r="680" spans="1:4" ht="17" customHeight="1">
      <c r="A680" s="1">
        <v>4739</v>
      </c>
      <c r="B680" s="1" t="s">
        <v>1370</v>
      </c>
      <c r="C680" s="1" t="s">
        <v>1371</v>
      </c>
      <c r="D680" s="1" t="s">
        <v>26</v>
      </c>
    </row>
    <row r="681" spans="1:4" ht="17" customHeight="1">
      <c r="A681" s="1">
        <v>4746</v>
      </c>
      <c r="B681" s="1" t="s">
        <v>1372</v>
      </c>
      <c r="C681" s="1" t="s">
        <v>1373</v>
      </c>
      <c r="D681" s="1" t="s">
        <v>26</v>
      </c>
    </row>
    <row r="682" spans="1:4" ht="17" customHeight="1">
      <c r="A682" s="1">
        <v>4755</v>
      </c>
      <c r="B682" s="1" t="s">
        <v>1374</v>
      </c>
      <c r="C682" s="1" t="s">
        <v>1375</v>
      </c>
      <c r="D682" s="1" t="s">
        <v>26</v>
      </c>
    </row>
    <row r="683" spans="1:4" ht="17" customHeight="1">
      <c r="A683" s="1">
        <v>4763</v>
      </c>
      <c r="B683" s="1" t="s">
        <v>1376</v>
      </c>
      <c r="C683" s="1" t="s">
        <v>1377</v>
      </c>
      <c r="D683" s="1" t="s">
        <v>26</v>
      </c>
    </row>
    <row r="684" spans="1:4" ht="17" customHeight="1">
      <c r="A684" s="1">
        <v>4764</v>
      </c>
      <c r="B684" s="1" t="s">
        <v>1378</v>
      </c>
      <c r="C684" s="1" t="s">
        <v>1379</v>
      </c>
      <c r="D684" s="1" t="s">
        <v>26</v>
      </c>
    </row>
    <row r="685" spans="1:4" ht="17" customHeight="1">
      <c r="A685" s="1">
        <v>4766</v>
      </c>
      <c r="B685" s="1" t="s">
        <v>1380</v>
      </c>
      <c r="C685" s="1" t="s">
        <v>1381</v>
      </c>
      <c r="D685" s="1" t="s">
        <v>26</v>
      </c>
    </row>
    <row r="686" spans="1:4" ht="17" customHeight="1">
      <c r="A686" s="1">
        <v>4807</v>
      </c>
      <c r="B686" s="1" t="s">
        <v>1382</v>
      </c>
      <c r="C686" s="1" t="s">
        <v>1383</v>
      </c>
      <c r="D686" s="1" t="s">
        <v>26</v>
      </c>
    </row>
    <row r="687" spans="1:4" ht="17" customHeight="1">
      <c r="A687" s="1">
        <v>4904</v>
      </c>
      <c r="B687" s="1" t="s">
        <v>1384</v>
      </c>
      <c r="C687" s="1" t="s">
        <v>1385</v>
      </c>
      <c r="D687" s="1" t="s">
        <v>26</v>
      </c>
    </row>
    <row r="688" spans="1:4" ht="17" customHeight="1">
      <c r="A688" s="1">
        <v>4906</v>
      </c>
      <c r="B688" s="1" t="s">
        <v>1386</v>
      </c>
      <c r="C688" s="1" t="s">
        <v>1387</v>
      </c>
      <c r="D688" s="1" t="s">
        <v>26</v>
      </c>
    </row>
    <row r="689" spans="1:4" ht="17" customHeight="1">
      <c r="A689" s="1">
        <v>4912</v>
      </c>
      <c r="B689" s="1" t="s">
        <v>1388</v>
      </c>
      <c r="C689" s="1" t="s">
        <v>1389</v>
      </c>
      <c r="D689" s="1" t="s">
        <v>26</v>
      </c>
    </row>
    <row r="690" spans="1:4" ht="17" customHeight="1">
      <c r="A690" s="1">
        <v>4915</v>
      </c>
      <c r="B690" s="1" t="s">
        <v>1390</v>
      </c>
      <c r="C690" s="1" t="s">
        <v>1391</v>
      </c>
      <c r="D690" s="1" t="s">
        <v>26</v>
      </c>
    </row>
    <row r="691" spans="1:4" ht="17" customHeight="1">
      <c r="A691" s="1">
        <v>4916</v>
      </c>
      <c r="B691" s="1" t="s">
        <v>1392</v>
      </c>
      <c r="C691" s="1" t="s">
        <v>1393</v>
      </c>
      <c r="D691" s="1" t="s">
        <v>26</v>
      </c>
    </row>
    <row r="692" spans="1:4" ht="17" customHeight="1">
      <c r="A692" s="1">
        <v>4919</v>
      </c>
      <c r="B692" s="1" t="s">
        <v>1394</v>
      </c>
      <c r="C692" s="1" t="s">
        <v>1395</v>
      </c>
      <c r="D692" s="1" t="s">
        <v>26</v>
      </c>
    </row>
    <row r="693" spans="1:4" ht="17" customHeight="1">
      <c r="A693" s="1">
        <v>4927</v>
      </c>
      <c r="B693" s="1" t="s">
        <v>1396</v>
      </c>
      <c r="C693" s="1" t="s">
        <v>1397</v>
      </c>
      <c r="D693" s="1" t="s">
        <v>26</v>
      </c>
    </row>
    <row r="694" spans="1:4" ht="17" customHeight="1">
      <c r="A694" s="1">
        <v>4930</v>
      </c>
      <c r="B694" s="1" t="s">
        <v>1398</v>
      </c>
      <c r="C694" s="1" t="s">
        <v>1399</v>
      </c>
      <c r="D694" s="1" t="s">
        <v>26</v>
      </c>
    </row>
    <row r="695" spans="1:4" ht="17" customHeight="1">
      <c r="A695" s="1">
        <v>4934</v>
      </c>
      <c r="B695" s="1" t="s">
        <v>1400</v>
      </c>
      <c r="C695" s="1" t="s">
        <v>1401</v>
      </c>
      <c r="D695" s="1" t="s">
        <v>26</v>
      </c>
    </row>
    <row r="696" spans="1:4" ht="17" customHeight="1">
      <c r="A696" s="1">
        <v>4935</v>
      </c>
      <c r="B696" s="1" t="s">
        <v>1402</v>
      </c>
      <c r="C696" s="1" t="s">
        <v>1403</v>
      </c>
      <c r="D696" s="1" t="s">
        <v>26</v>
      </c>
    </row>
    <row r="697" spans="1:4" ht="17" customHeight="1">
      <c r="A697" s="1">
        <v>4938</v>
      </c>
      <c r="B697" s="1" t="s">
        <v>1404</v>
      </c>
      <c r="C697" s="1" t="s">
        <v>2</v>
      </c>
      <c r="D697" s="1" t="s">
        <v>26</v>
      </c>
    </row>
    <row r="698" spans="1:4" ht="17" customHeight="1">
      <c r="A698" s="1">
        <v>4942</v>
      </c>
      <c r="B698" s="1" t="s">
        <v>1405</v>
      </c>
      <c r="C698" s="1" t="s">
        <v>1406</v>
      </c>
      <c r="D698" s="1" t="s">
        <v>26</v>
      </c>
    </row>
    <row r="699" spans="1:4" ht="17" customHeight="1">
      <c r="A699" s="1">
        <v>4943</v>
      </c>
      <c r="B699" s="1" t="s">
        <v>1407</v>
      </c>
      <c r="C699" s="1" t="s">
        <v>1408</v>
      </c>
      <c r="D699" s="1" t="s">
        <v>26</v>
      </c>
    </row>
    <row r="700" spans="1:4" ht="17" customHeight="1">
      <c r="A700" s="1">
        <v>4952</v>
      </c>
      <c r="B700" s="1" t="s">
        <v>1409</v>
      </c>
      <c r="C700" s="1" t="s">
        <v>1410</v>
      </c>
      <c r="D700" s="1" t="s">
        <v>26</v>
      </c>
    </row>
    <row r="701" spans="1:4" ht="17" customHeight="1">
      <c r="A701" s="1">
        <v>4956</v>
      </c>
      <c r="B701" s="1" t="s">
        <v>1411</v>
      </c>
      <c r="C701" s="1" t="s">
        <v>1412</v>
      </c>
      <c r="D701" s="1" t="s">
        <v>26</v>
      </c>
    </row>
    <row r="702" spans="1:4" ht="17" customHeight="1">
      <c r="A702" s="1">
        <v>4958</v>
      </c>
      <c r="B702" s="1" t="s">
        <v>1413</v>
      </c>
      <c r="C702" s="1" t="s">
        <v>1414</v>
      </c>
      <c r="D702" s="1" t="s">
        <v>26</v>
      </c>
    </row>
    <row r="703" spans="1:4" ht="17" customHeight="1">
      <c r="A703" s="1">
        <v>4960</v>
      </c>
      <c r="B703" s="1" t="s">
        <v>1415</v>
      </c>
      <c r="C703" s="1" t="s">
        <v>1416</v>
      </c>
      <c r="D703" s="1" t="s">
        <v>26</v>
      </c>
    </row>
    <row r="704" spans="1:4" ht="17" customHeight="1">
      <c r="A704" s="1">
        <v>4961</v>
      </c>
      <c r="B704" s="1" t="s">
        <v>1417</v>
      </c>
      <c r="C704" s="1" t="s">
        <v>1418</v>
      </c>
      <c r="D704" s="1" t="s">
        <v>26</v>
      </c>
    </row>
    <row r="705" spans="1:4" ht="17" customHeight="1">
      <c r="A705" s="1">
        <v>4967</v>
      </c>
      <c r="B705" s="1" t="s">
        <v>1419</v>
      </c>
      <c r="C705" s="1" t="s">
        <v>1420</v>
      </c>
      <c r="D705" s="1" t="s">
        <v>26</v>
      </c>
    </row>
    <row r="706" spans="1:4" ht="17" customHeight="1">
      <c r="A706" s="1">
        <v>4968</v>
      </c>
      <c r="B706" s="1" t="s">
        <v>1421</v>
      </c>
      <c r="C706" s="1" t="s">
        <v>1422</v>
      </c>
      <c r="D706" s="1" t="s">
        <v>26</v>
      </c>
    </row>
    <row r="707" spans="1:4" ht="17" customHeight="1">
      <c r="A707" s="1">
        <v>4976</v>
      </c>
      <c r="B707" s="1" t="s">
        <v>1423</v>
      </c>
      <c r="C707" s="1" t="s">
        <v>1424</v>
      </c>
      <c r="D707" s="1" t="s">
        <v>26</v>
      </c>
    </row>
    <row r="708" spans="1:4" ht="17" customHeight="1">
      <c r="A708" s="1">
        <v>4977</v>
      </c>
      <c r="B708" s="1" t="s">
        <v>1425</v>
      </c>
      <c r="C708" s="1" t="s">
        <v>1426</v>
      </c>
      <c r="D708" s="1" t="s">
        <v>26</v>
      </c>
    </row>
    <row r="709" spans="1:4" ht="17" customHeight="1">
      <c r="A709" s="1">
        <v>4989</v>
      </c>
      <c r="B709" s="1" t="s">
        <v>1427</v>
      </c>
      <c r="C709" s="1" t="s">
        <v>1428</v>
      </c>
      <c r="D709" s="1" t="s">
        <v>26</v>
      </c>
    </row>
    <row r="710" spans="1:4" ht="17" customHeight="1">
      <c r="A710" s="1">
        <v>4994</v>
      </c>
      <c r="B710" s="1" t="s">
        <v>1429</v>
      </c>
      <c r="C710" s="1" t="s">
        <v>1430</v>
      </c>
      <c r="D710" s="1" t="s">
        <v>26</v>
      </c>
    </row>
    <row r="711" spans="1:4" ht="17" customHeight="1">
      <c r="A711" s="1">
        <v>4999</v>
      </c>
      <c r="B711" s="1" t="s">
        <v>1431</v>
      </c>
      <c r="C711" s="1" t="s">
        <v>1432</v>
      </c>
      <c r="D711" s="1" t="s">
        <v>26</v>
      </c>
    </row>
    <row r="712" spans="1:4" ht="17" customHeight="1">
      <c r="A712" s="1">
        <v>5007</v>
      </c>
      <c r="B712" s="1" t="s">
        <v>1433</v>
      </c>
      <c r="C712" s="1" t="s">
        <v>1434</v>
      </c>
      <c r="D712" s="1" t="s">
        <v>26</v>
      </c>
    </row>
    <row r="713" spans="1:4" ht="17" customHeight="1">
      <c r="A713" s="1">
        <v>5203</v>
      </c>
      <c r="B713" s="1" t="s">
        <v>1435</v>
      </c>
      <c r="C713" s="1" t="s">
        <v>1436</v>
      </c>
      <c r="D713" s="1" t="s">
        <v>26</v>
      </c>
    </row>
    <row r="714" spans="1:4" ht="17" customHeight="1">
      <c r="A714" s="1">
        <v>5215</v>
      </c>
      <c r="B714" s="1" t="s">
        <v>1437</v>
      </c>
      <c r="C714" s="1" t="s">
        <v>1438</v>
      </c>
      <c r="D714" s="1" t="s">
        <v>26</v>
      </c>
    </row>
    <row r="715" spans="1:4" ht="17" customHeight="1">
      <c r="A715" s="1">
        <v>5225</v>
      </c>
      <c r="B715" s="1" t="s">
        <v>1439</v>
      </c>
      <c r="C715" s="1" t="s">
        <v>1440</v>
      </c>
      <c r="D715" s="1" t="s">
        <v>26</v>
      </c>
    </row>
    <row r="716" spans="1:4" ht="17" customHeight="1">
      <c r="A716" s="1">
        <v>5234</v>
      </c>
      <c r="B716" s="1" t="s">
        <v>1441</v>
      </c>
      <c r="C716" s="1" t="s">
        <v>1442</v>
      </c>
      <c r="D716" s="1" t="s">
        <v>26</v>
      </c>
    </row>
    <row r="717" spans="1:4" ht="17" customHeight="1">
      <c r="A717" s="1">
        <v>5243</v>
      </c>
      <c r="B717" s="1" t="s">
        <v>1443</v>
      </c>
      <c r="C717" s="1" t="s">
        <v>1444</v>
      </c>
      <c r="D717" s="1" t="s">
        <v>26</v>
      </c>
    </row>
    <row r="718" spans="1:4" ht="17" customHeight="1">
      <c r="A718" s="1">
        <v>5258</v>
      </c>
      <c r="B718" s="1" t="s">
        <v>1445</v>
      </c>
      <c r="C718" s="1" t="s">
        <v>1446</v>
      </c>
      <c r="D718" s="1" t="s">
        <v>26</v>
      </c>
    </row>
    <row r="719" spans="1:4" ht="17" customHeight="1">
      <c r="A719" s="1">
        <v>5264</v>
      </c>
      <c r="B719" s="1" t="s">
        <v>1447</v>
      </c>
      <c r="C719" s="1" t="s">
        <v>1448</v>
      </c>
      <c r="D719" s="1" t="s">
        <v>26</v>
      </c>
    </row>
    <row r="720" spans="1:4" ht="17" customHeight="1">
      <c r="A720" s="1">
        <v>5269</v>
      </c>
      <c r="B720" s="1" t="s">
        <v>1449</v>
      </c>
      <c r="C720" s="1" t="s">
        <v>1450</v>
      </c>
      <c r="D720" s="1" t="s">
        <v>26</v>
      </c>
    </row>
    <row r="721" spans="1:4" ht="17" customHeight="1">
      <c r="A721" s="1">
        <v>5283</v>
      </c>
      <c r="B721" s="1" t="s">
        <v>1451</v>
      </c>
      <c r="C721" s="1" t="s">
        <v>1452</v>
      </c>
      <c r="D721" s="1" t="s">
        <v>26</v>
      </c>
    </row>
    <row r="722" spans="1:4" ht="17" customHeight="1">
      <c r="A722" s="1">
        <v>5284</v>
      </c>
      <c r="B722" s="1" t="s">
        <v>1453</v>
      </c>
      <c r="C722" s="1" t="s">
        <v>1454</v>
      </c>
      <c r="D722" s="1" t="s">
        <v>26</v>
      </c>
    </row>
    <row r="723" spans="1:4" ht="17" customHeight="1">
      <c r="A723" s="1">
        <v>5285</v>
      </c>
      <c r="B723" s="1" t="s">
        <v>1455</v>
      </c>
      <c r="C723" s="1" t="s">
        <v>1456</v>
      </c>
      <c r="D723" s="1" t="s">
        <v>26</v>
      </c>
    </row>
    <row r="724" spans="1:4" ht="17" customHeight="1">
      <c r="A724" s="1">
        <v>5288</v>
      </c>
      <c r="B724" s="1" t="s">
        <v>1457</v>
      </c>
      <c r="C724" s="1" t="s">
        <v>1458</v>
      </c>
      <c r="D724" s="1" t="s">
        <v>26</v>
      </c>
    </row>
    <row r="725" spans="1:4" ht="17" customHeight="1">
      <c r="A725" s="1">
        <v>5305</v>
      </c>
      <c r="B725" s="1" t="s">
        <v>1459</v>
      </c>
      <c r="C725" s="1" t="s">
        <v>1460</v>
      </c>
      <c r="D725" s="1" t="s">
        <v>26</v>
      </c>
    </row>
    <row r="726" spans="1:4" ht="17" customHeight="1">
      <c r="A726" s="1">
        <v>5388</v>
      </c>
      <c r="B726" s="1" t="s">
        <v>1461</v>
      </c>
      <c r="C726" s="1" t="s">
        <v>1462</v>
      </c>
      <c r="D726" s="1" t="s">
        <v>26</v>
      </c>
    </row>
    <row r="727" spans="1:4" ht="17" customHeight="1">
      <c r="A727" s="1">
        <v>5434</v>
      </c>
      <c r="B727" s="1" t="s">
        <v>1463</v>
      </c>
      <c r="C727" s="1" t="s">
        <v>1464</v>
      </c>
      <c r="D727" s="1" t="s">
        <v>26</v>
      </c>
    </row>
    <row r="728" spans="1:4" ht="17" customHeight="1">
      <c r="A728" s="1">
        <v>5469</v>
      </c>
      <c r="B728" s="1" t="s">
        <v>1465</v>
      </c>
      <c r="C728" s="1" t="s">
        <v>1466</v>
      </c>
      <c r="D728" s="1" t="s">
        <v>26</v>
      </c>
    </row>
    <row r="729" spans="1:4" ht="17" customHeight="1">
      <c r="A729" s="1">
        <v>5471</v>
      </c>
      <c r="B729" s="1" t="s">
        <v>1467</v>
      </c>
      <c r="C729" s="1" t="s">
        <v>1468</v>
      </c>
      <c r="D729" s="1" t="s">
        <v>26</v>
      </c>
    </row>
    <row r="730" spans="1:4" ht="17" customHeight="1">
      <c r="A730" s="1">
        <v>5484</v>
      </c>
      <c r="B730" s="1" t="s">
        <v>1469</v>
      </c>
      <c r="C730" s="1" t="s">
        <v>1470</v>
      </c>
      <c r="D730" s="1" t="s">
        <v>26</v>
      </c>
    </row>
    <row r="731" spans="1:4" ht="17" customHeight="1">
      <c r="A731" s="1">
        <v>5515</v>
      </c>
      <c r="B731" s="1" t="s">
        <v>1471</v>
      </c>
      <c r="C731" s="1" t="s">
        <v>1472</v>
      </c>
      <c r="D731" s="1" t="s">
        <v>26</v>
      </c>
    </row>
    <row r="732" spans="1:4" ht="17" customHeight="1">
      <c r="A732" s="1">
        <v>5519</v>
      </c>
      <c r="B732" s="1" t="s">
        <v>1473</v>
      </c>
      <c r="C732" s="1" t="s">
        <v>1474</v>
      </c>
      <c r="D732" s="1" t="s">
        <v>26</v>
      </c>
    </row>
    <row r="733" spans="1:4" ht="17" customHeight="1">
      <c r="A733" s="1">
        <v>5521</v>
      </c>
      <c r="B733" s="1" t="s">
        <v>1475</v>
      </c>
      <c r="C733" s="1" t="s">
        <v>1476</v>
      </c>
      <c r="D733" s="1" t="s">
        <v>26</v>
      </c>
    </row>
    <row r="734" spans="1:4" ht="17" customHeight="1">
      <c r="A734" s="1">
        <v>5522</v>
      </c>
      <c r="B734" s="1" t="s">
        <v>1477</v>
      </c>
      <c r="C734" s="1" t="s">
        <v>1478</v>
      </c>
      <c r="D734" s="1" t="s">
        <v>26</v>
      </c>
    </row>
    <row r="735" spans="1:4" ht="17" customHeight="1">
      <c r="A735" s="1">
        <v>5525</v>
      </c>
      <c r="B735" s="1" t="s">
        <v>1479</v>
      </c>
      <c r="C735" s="1" t="s">
        <v>1480</v>
      </c>
      <c r="D735" s="1" t="s">
        <v>26</v>
      </c>
    </row>
    <row r="736" spans="1:4" ht="17" customHeight="1">
      <c r="A736" s="1">
        <v>5531</v>
      </c>
      <c r="B736" s="1" t="s">
        <v>1481</v>
      </c>
      <c r="C736" s="1" t="s">
        <v>1482</v>
      </c>
      <c r="D736" s="1" t="s">
        <v>26</v>
      </c>
    </row>
    <row r="737" spans="1:4" ht="17" customHeight="1">
      <c r="A737" s="1">
        <v>5533</v>
      </c>
      <c r="B737" s="1" t="s">
        <v>1483</v>
      </c>
      <c r="C737" s="1" t="s">
        <v>1484</v>
      </c>
      <c r="D737" s="1" t="s">
        <v>26</v>
      </c>
    </row>
    <row r="738" spans="1:4" ht="17" customHeight="1">
      <c r="A738" s="1">
        <v>5534</v>
      </c>
      <c r="B738" s="1" t="s">
        <v>1485</v>
      </c>
      <c r="C738" s="1" t="s">
        <v>1486</v>
      </c>
      <c r="D738" s="1" t="s">
        <v>26</v>
      </c>
    </row>
    <row r="739" spans="1:4" ht="17" customHeight="1">
      <c r="A739" s="1">
        <v>5538</v>
      </c>
      <c r="B739" s="1" t="s">
        <v>1487</v>
      </c>
      <c r="C739" s="1" t="s">
        <v>1488</v>
      </c>
      <c r="D739" s="1" t="s">
        <v>26</v>
      </c>
    </row>
    <row r="740" spans="1:4" ht="17" customHeight="1">
      <c r="A740" s="1">
        <v>5607</v>
      </c>
      <c r="B740" s="1" t="s">
        <v>1489</v>
      </c>
      <c r="C740" s="1" t="s">
        <v>1490</v>
      </c>
      <c r="D740" s="1" t="s">
        <v>26</v>
      </c>
    </row>
    <row r="741" spans="1:4" ht="17" customHeight="1">
      <c r="A741" s="1">
        <v>5608</v>
      </c>
      <c r="B741" s="1" t="s">
        <v>1491</v>
      </c>
      <c r="C741" s="1" t="s">
        <v>1492</v>
      </c>
      <c r="D741" s="1" t="s">
        <v>26</v>
      </c>
    </row>
    <row r="742" spans="1:4" ht="17" customHeight="1">
      <c r="A742" s="1">
        <v>5706</v>
      </c>
      <c r="B742" s="1" t="s">
        <v>1493</v>
      </c>
      <c r="C742" s="1" t="s">
        <v>1494</v>
      </c>
      <c r="D742" s="1" t="s">
        <v>26</v>
      </c>
    </row>
    <row r="743" spans="1:4" ht="17" customHeight="1">
      <c r="A743" s="1">
        <v>5871</v>
      </c>
      <c r="B743" s="1" t="s">
        <v>1495</v>
      </c>
      <c r="C743" s="1" t="s">
        <v>1496</v>
      </c>
      <c r="D743" s="1" t="s">
        <v>26</v>
      </c>
    </row>
    <row r="744" spans="1:4" ht="17" customHeight="1">
      <c r="A744" s="1">
        <v>5876</v>
      </c>
      <c r="B744" s="1" t="s">
        <v>1497</v>
      </c>
      <c r="C744" s="1" t="s">
        <v>1498</v>
      </c>
      <c r="D744" s="1" t="s">
        <v>26</v>
      </c>
    </row>
    <row r="745" spans="1:4" ht="17" customHeight="1">
      <c r="A745" s="1">
        <v>5880</v>
      </c>
      <c r="B745" s="1" t="s">
        <v>1499</v>
      </c>
      <c r="C745" s="1" t="s">
        <v>1500</v>
      </c>
      <c r="D745" s="1" t="s">
        <v>26</v>
      </c>
    </row>
    <row r="746" spans="1:4" ht="17" customHeight="1">
      <c r="A746" s="1">
        <v>5906</v>
      </c>
      <c r="B746" s="1" t="s">
        <v>1501</v>
      </c>
      <c r="C746" s="1" t="s">
        <v>1502</v>
      </c>
      <c r="D746" s="1" t="s">
        <v>26</v>
      </c>
    </row>
    <row r="747" spans="1:4" ht="17" customHeight="1">
      <c r="A747" s="1">
        <v>5907</v>
      </c>
      <c r="B747" s="1" t="s">
        <v>1503</v>
      </c>
      <c r="C747" s="1" t="s">
        <v>1504</v>
      </c>
      <c r="D747" s="1" t="s">
        <v>26</v>
      </c>
    </row>
    <row r="748" spans="1:4" ht="17" customHeight="1">
      <c r="A748" s="1">
        <v>6005</v>
      </c>
      <c r="B748" s="1" t="s">
        <v>1505</v>
      </c>
      <c r="C748" s="1" t="s">
        <v>1506</v>
      </c>
      <c r="D748" s="1" t="s">
        <v>26</v>
      </c>
    </row>
    <row r="749" spans="1:4" ht="17" customHeight="1">
      <c r="A749" s="1">
        <v>6024</v>
      </c>
      <c r="B749" s="1" t="s">
        <v>1507</v>
      </c>
      <c r="C749" s="1" t="s">
        <v>1508</v>
      </c>
      <c r="D749" s="1" t="s">
        <v>26</v>
      </c>
    </row>
    <row r="750" spans="1:4" ht="17" customHeight="1">
      <c r="A750" s="1">
        <v>6108</v>
      </c>
      <c r="B750" s="1" t="s">
        <v>1509</v>
      </c>
      <c r="C750" s="1" t="s">
        <v>1510</v>
      </c>
      <c r="D750" s="1" t="s">
        <v>26</v>
      </c>
    </row>
    <row r="751" spans="1:4" ht="17" customHeight="1">
      <c r="A751" s="1">
        <v>6112</v>
      </c>
      <c r="B751" s="1" t="s">
        <v>1511</v>
      </c>
      <c r="C751" s="1" t="s">
        <v>1512</v>
      </c>
      <c r="D751" s="1" t="s">
        <v>26</v>
      </c>
    </row>
    <row r="752" spans="1:4" ht="17" customHeight="1">
      <c r="A752" s="1">
        <v>6115</v>
      </c>
      <c r="B752" s="1" t="s">
        <v>1513</v>
      </c>
      <c r="C752" s="1" t="s">
        <v>1514</v>
      </c>
      <c r="D752" s="1" t="s">
        <v>26</v>
      </c>
    </row>
    <row r="753" spans="1:4" ht="17" customHeight="1">
      <c r="A753" s="1">
        <v>6116</v>
      </c>
      <c r="B753" s="1" t="s">
        <v>1515</v>
      </c>
      <c r="C753" s="1" t="s">
        <v>1516</v>
      </c>
      <c r="D753" s="1" t="s">
        <v>26</v>
      </c>
    </row>
    <row r="754" spans="1:4" ht="17" customHeight="1">
      <c r="A754" s="1">
        <v>6117</v>
      </c>
      <c r="B754" s="1" t="s">
        <v>1517</v>
      </c>
      <c r="C754" s="1" t="s">
        <v>1518</v>
      </c>
      <c r="D754" s="1" t="s">
        <v>26</v>
      </c>
    </row>
    <row r="755" spans="1:4" ht="17" customHeight="1">
      <c r="A755" s="1">
        <v>6120</v>
      </c>
      <c r="B755" s="1" t="s">
        <v>1519</v>
      </c>
      <c r="C755" s="1" t="s">
        <v>1520</v>
      </c>
      <c r="D755" s="1" t="s">
        <v>26</v>
      </c>
    </row>
    <row r="756" spans="1:4" ht="17" customHeight="1">
      <c r="A756" s="1">
        <v>6128</v>
      </c>
      <c r="B756" s="1" t="s">
        <v>1521</v>
      </c>
      <c r="C756" s="1" t="s">
        <v>1522</v>
      </c>
      <c r="D756" s="1" t="s">
        <v>26</v>
      </c>
    </row>
    <row r="757" spans="1:4" ht="17" customHeight="1">
      <c r="A757" s="1">
        <v>6131</v>
      </c>
      <c r="B757" s="1" t="s">
        <v>1523</v>
      </c>
      <c r="C757" s="1" t="s">
        <v>1524</v>
      </c>
      <c r="D757" s="1" t="s">
        <v>26</v>
      </c>
    </row>
    <row r="758" spans="1:4" ht="17" customHeight="1">
      <c r="A758" s="1">
        <v>6133</v>
      </c>
      <c r="B758" s="1" t="s">
        <v>1525</v>
      </c>
      <c r="C758" s="1" t="s">
        <v>1526</v>
      </c>
      <c r="D758" s="1" t="s">
        <v>26</v>
      </c>
    </row>
    <row r="759" spans="1:4" ht="17" customHeight="1">
      <c r="A759" s="1">
        <v>6136</v>
      </c>
      <c r="B759" s="1" t="s">
        <v>1527</v>
      </c>
      <c r="C759" s="1" t="s">
        <v>1528</v>
      </c>
      <c r="D759" s="1" t="s">
        <v>26</v>
      </c>
    </row>
    <row r="760" spans="1:4" ht="17" customHeight="1">
      <c r="A760" s="1">
        <v>6139</v>
      </c>
      <c r="B760" s="1" t="s">
        <v>1529</v>
      </c>
      <c r="C760" s="1" t="s">
        <v>1530</v>
      </c>
      <c r="D760" s="1" t="s">
        <v>26</v>
      </c>
    </row>
    <row r="761" spans="1:4" ht="17" customHeight="1">
      <c r="A761" s="1">
        <v>6141</v>
      </c>
      <c r="B761" s="1" t="s">
        <v>1531</v>
      </c>
      <c r="C761" s="1" t="s">
        <v>1532</v>
      </c>
      <c r="D761" s="1" t="s">
        <v>26</v>
      </c>
    </row>
    <row r="762" spans="1:4" ht="17" customHeight="1">
      <c r="A762" s="1">
        <v>6142</v>
      </c>
      <c r="B762" s="1" t="s">
        <v>1533</v>
      </c>
      <c r="C762" s="1" t="s">
        <v>1534</v>
      </c>
      <c r="D762" s="1" t="s">
        <v>26</v>
      </c>
    </row>
    <row r="763" spans="1:4" ht="17" customHeight="1">
      <c r="A763" s="1">
        <v>6152</v>
      </c>
      <c r="B763" s="1" t="s">
        <v>1535</v>
      </c>
      <c r="C763" s="1" t="s">
        <v>1536</v>
      </c>
      <c r="D763" s="1" t="s">
        <v>26</v>
      </c>
    </row>
    <row r="764" spans="1:4" ht="17" customHeight="1">
      <c r="A764" s="1">
        <v>6153</v>
      </c>
      <c r="B764" s="1" t="s">
        <v>1537</v>
      </c>
      <c r="C764" s="1" t="s">
        <v>1538</v>
      </c>
      <c r="D764" s="1" t="s">
        <v>26</v>
      </c>
    </row>
    <row r="765" spans="1:4" ht="17" customHeight="1">
      <c r="A765" s="1">
        <v>6155</v>
      </c>
      <c r="B765" s="1" t="s">
        <v>1539</v>
      </c>
      <c r="C765" s="1" t="s">
        <v>1540</v>
      </c>
      <c r="D765" s="1" t="s">
        <v>26</v>
      </c>
    </row>
    <row r="766" spans="1:4" ht="17" customHeight="1">
      <c r="A766" s="1">
        <v>6164</v>
      </c>
      <c r="B766" s="1" t="s">
        <v>1541</v>
      </c>
      <c r="C766" s="1" t="s">
        <v>1542</v>
      </c>
      <c r="D766" s="1" t="s">
        <v>26</v>
      </c>
    </row>
    <row r="767" spans="1:4" ht="17" customHeight="1">
      <c r="A767" s="1">
        <v>6165</v>
      </c>
      <c r="B767" s="1" t="s">
        <v>1543</v>
      </c>
      <c r="C767" s="1" t="s">
        <v>1544</v>
      </c>
      <c r="D767" s="1" t="s">
        <v>26</v>
      </c>
    </row>
    <row r="768" spans="1:4" ht="17" customHeight="1">
      <c r="A768" s="1">
        <v>6166</v>
      </c>
      <c r="B768" s="1" t="s">
        <v>1545</v>
      </c>
      <c r="C768" s="1" t="s">
        <v>1546</v>
      </c>
      <c r="D768" s="1" t="s">
        <v>26</v>
      </c>
    </row>
    <row r="769" spans="1:4" ht="17" customHeight="1">
      <c r="A769" s="1">
        <v>6168</v>
      </c>
      <c r="B769" s="1" t="s">
        <v>1547</v>
      </c>
      <c r="C769" s="1" t="s">
        <v>1548</v>
      </c>
      <c r="D769" s="1" t="s">
        <v>26</v>
      </c>
    </row>
    <row r="770" spans="1:4" ht="17" customHeight="1">
      <c r="A770" s="1">
        <v>6172</v>
      </c>
      <c r="B770" s="1" t="s">
        <v>1549</v>
      </c>
      <c r="C770" s="1" t="s">
        <v>1550</v>
      </c>
      <c r="D770" s="1" t="s">
        <v>26</v>
      </c>
    </row>
    <row r="771" spans="1:4" ht="17" customHeight="1">
      <c r="A771" s="1">
        <v>6176</v>
      </c>
      <c r="B771" s="1" t="s">
        <v>1551</v>
      </c>
      <c r="C771" s="1" t="s">
        <v>1552</v>
      </c>
      <c r="D771" s="1" t="s">
        <v>26</v>
      </c>
    </row>
    <row r="772" spans="1:4" ht="17" customHeight="1">
      <c r="A772" s="1">
        <v>6177</v>
      </c>
      <c r="B772" s="1" t="s">
        <v>1553</v>
      </c>
      <c r="C772" s="1" t="s">
        <v>1554</v>
      </c>
      <c r="D772" s="1" t="s">
        <v>26</v>
      </c>
    </row>
    <row r="773" spans="1:4" ht="17" customHeight="1">
      <c r="A773" s="1">
        <v>6183</v>
      </c>
      <c r="B773" s="1" t="s">
        <v>1555</v>
      </c>
      <c r="C773" s="1" t="s">
        <v>1556</v>
      </c>
      <c r="D773" s="1" t="s">
        <v>26</v>
      </c>
    </row>
    <row r="774" spans="1:4" ht="17" customHeight="1">
      <c r="A774" s="1">
        <v>6184</v>
      </c>
      <c r="B774" s="1" t="s">
        <v>1557</v>
      </c>
      <c r="C774" s="1" t="s">
        <v>1558</v>
      </c>
      <c r="D774" s="1" t="s">
        <v>26</v>
      </c>
    </row>
    <row r="775" spans="1:4" ht="17" customHeight="1">
      <c r="A775" s="1">
        <v>6189</v>
      </c>
      <c r="B775" s="1" t="s">
        <v>1559</v>
      </c>
      <c r="C775" s="1" t="s">
        <v>1560</v>
      </c>
      <c r="D775" s="1" t="s">
        <v>26</v>
      </c>
    </row>
    <row r="776" spans="1:4" ht="17" customHeight="1">
      <c r="A776" s="1">
        <v>6191</v>
      </c>
      <c r="B776" s="1" t="s">
        <v>1561</v>
      </c>
      <c r="C776" s="1" t="s">
        <v>1562</v>
      </c>
      <c r="D776" s="1" t="s">
        <v>26</v>
      </c>
    </row>
    <row r="777" spans="1:4" ht="17" customHeight="1">
      <c r="A777" s="1">
        <v>6192</v>
      </c>
      <c r="B777" s="1" t="s">
        <v>1563</v>
      </c>
      <c r="C777" s="1" t="s">
        <v>1564</v>
      </c>
      <c r="D777" s="1" t="s">
        <v>26</v>
      </c>
    </row>
    <row r="778" spans="1:4" ht="17" customHeight="1">
      <c r="A778" s="1">
        <v>6196</v>
      </c>
      <c r="B778" s="1" t="s">
        <v>1565</v>
      </c>
      <c r="C778" s="1" t="s">
        <v>1566</v>
      </c>
      <c r="D778" s="1" t="s">
        <v>26</v>
      </c>
    </row>
    <row r="779" spans="1:4" ht="17" customHeight="1">
      <c r="A779" s="1">
        <v>6197</v>
      </c>
      <c r="B779" s="1" t="s">
        <v>1567</v>
      </c>
      <c r="C779" s="1" t="s">
        <v>1568</v>
      </c>
      <c r="D779" s="1" t="s">
        <v>26</v>
      </c>
    </row>
    <row r="780" spans="1:4" ht="17" customHeight="1">
      <c r="A780" s="1">
        <v>6201</v>
      </c>
      <c r="B780" s="1" t="s">
        <v>1569</v>
      </c>
      <c r="C780" s="1" t="s">
        <v>1570</v>
      </c>
      <c r="D780" s="1" t="s">
        <v>26</v>
      </c>
    </row>
    <row r="781" spans="1:4" ht="17" customHeight="1">
      <c r="A781" s="1">
        <v>6202</v>
      </c>
      <c r="B781" s="1" t="s">
        <v>1571</v>
      </c>
      <c r="C781" s="1" t="s">
        <v>1572</v>
      </c>
      <c r="D781" s="1" t="s">
        <v>26</v>
      </c>
    </row>
    <row r="782" spans="1:4" ht="17" customHeight="1">
      <c r="A782" s="1">
        <v>6205</v>
      </c>
      <c r="B782" s="1" t="s">
        <v>1573</v>
      </c>
      <c r="C782" s="1" t="s">
        <v>1574</v>
      </c>
      <c r="D782" s="1" t="s">
        <v>26</v>
      </c>
    </row>
    <row r="783" spans="1:4" ht="17" customHeight="1">
      <c r="A783" s="1">
        <v>6206</v>
      </c>
      <c r="B783" s="1" t="s">
        <v>1575</v>
      </c>
      <c r="C783" s="1" t="s">
        <v>1576</v>
      </c>
      <c r="D783" s="1" t="s">
        <v>26</v>
      </c>
    </row>
    <row r="784" spans="1:4" ht="17" customHeight="1">
      <c r="A784" s="1">
        <v>6209</v>
      </c>
      <c r="B784" s="1" t="s">
        <v>1577</v>
      </c>
      <c r="C784" s="1" t="s">
        <v>1578</v>
      </c>
      <c r="D784" s="1" t="s">
        <v>26</v>
      </c>
    </row>
    <row r="785" spans="1:4" ht="17" customHeight="1">
      <c r="A785" s="1">
        <v>6213</v>
      </c>
      <c r="B785" s="1" t="s">
        <v>1579</v>
      </c>
      <c r="C785" s="1" t="s">
        <v>1580</v>
      </c>
      <c r="D785" s="1" t="s">
        <v>26</v>
      </c>
    </row>
    <row r="786" spans="1:4" ht="17" customHeight="1">
      <c r="A786" s="1">
        <v>6214</v>
      </c>
      <c r="B786" s="1" t="s">
        <v>1581</v>
      </c>
      <c r="C786" s="1" t="s">
        <v>1582</v>
      </c>
      <c r="D786" s="1" t="s">
        <v>26</v>
      </c>
    </row>
    <row r="787" spans="1:4" ht="17" customHeight="1">
      <c r="A787" s="1">
        <v>6215</v>
      </c>
      <c r="B787" s="1" t="s">
        <v>1583</v>
      </c>
      <c r="C787" s="1" t="s">
        <v>1584</v>
      </c>
      <c r="D787" s="1" t="s">
        <v>26</v>
      </c>
    </row>
    <row r="788" spans="1:4" ht="17" customHeight="1">
      <c r="A788" s="1">
        <v>6216</v>
      </c>
      <c r="B788" s="1" t="s">
        <v>1585</v>
      </c>
      <c r="C788" s="1" t="s">
        <v>1586</v>
      </c>
      <c r="D788" s="1" t="s">
        <v>26</v>
      </c>
    </row>
    <row r="789" spans="1:4" ht="17" customHeight="1">
      <c r="A789" s="1">
        <v>6224</v>
      </c>
      <c r="B789" s="1" t="s">
        <v>1587</v>
      </c>
      <c r="C789" s="1" t="s">
        <v>1588</v>
      </c>
      <c r="D789" s="1" t="s">
        <v>26</v>
      </c>
    </row>
    <row r="790" spans="1:4" ht="17" customHeight="1">
      <c r="A790" s="1">
        <v>6225</v>
      </c>
      <c r="B790" s="1" t="s">
        <v>1589</v>
      </c>
      <c r="C790" s="1" t="s">
        <v>1590</v>
      </c>
      <c r="D790" s="1" t="s">
        <v>26</v>
      </c>
    </row>
    <row r="791" spans="1:4" ht="17" customHeight="1">
      <c r="A791" s="1">
        <v>6226</v>
      </c>
      <c r="B791" s="1" t="s">
        <v>1591</v>
      </c>
      <c r="C791" s="1" t="s">
        <v>1592</v>
      </c>
      <c r="D791" s="1" t="s">
        <v>26</v>
      </c>
    </row>
    <row r="792" spans="1:4" ht="17" customHeight="1">
      <c r="A792" s="1">
        <v>6230</v>
      </c>
      <c r="B792" s="1" t="s">
        <v>1593</v>
      </c>
      <c r="C792" s="1" t="s">
        <v>1594</v>
      </c>
      <c r="D792" s="1" t="s">
        <v>26</v>
      </c>
    </row>
    <row r="793" spans="1:4" ht="17" customHeight="1">
      <c r="A793" s="1">
        <v>6235</v>
      </c>
      <c r="B793" s="1" t="s">
        <v>1595</v>
      </c>
      <c r="C793" s="1" t="s">
        <v>1596</v>
      </c>
      <c r="D793" s="1" t="s">
        <v>26</v>
      </c>
    </row>
    <row r="794" spans="1:4" ht="17" customHeight="1">
      <c r="A794" s="1">
        <v>6239</v>
      </c>
      <c r="B794" s="1" t="s">
        <v>1597</v>
      </c>
      <c r="C794" s="1" t="s">
        <v>1598</v>
      </c>
      <c r="D794" s="1" t="s">
        <v>26</v>
      </c>
    </row>
    <row r="795" spans="1:4" ht="17" customHeight="1">
      <c r="A795" s="1">
        <v>6243</v>
      </c>
      <c r="B795" s="1" t="s">
        <v>1599</v>
      </c>
      <c r="C795" s="1" t="s">
        <v>1600</v>
      </c>
      <c r="D795" s="1" t="s">
        <v>26</v>
      </c>
    </row>
    <row r="796" spans="1:4" ht="17" customHeight="1">
      <c r="A796" s="1">
        <v>6251</v>
      </c>
      <c r="B796" s="1" t="s">
        <v>1601</v>
      </c>
      <c r="C796" s="1" t="s">
        <v>1602</v>
      </c>
      <c r="D796" s="1" t="s">
        <v>26</v>
      </c>
    </row>
    <row r="797" spans="1:4" ht="17" customHeight="1">
      <c r="A797" s="1">
        <v>6257</v>
      </c>
      <c r="B797" s="1" t="s">
        <v>1603</v>
      </c>
      <c r="C797" s="1" t="s">
        <v>1604</v>
      </c>
      <c r="D797" s="1" t="s">
        <v>26</v>
      </c>
    </row>
    <row r="798" spans="1:4" ht="17" customHeight="1">
      <c r="A798" s="1">
        <v>6269</v>
      </c>
      <c r="B798" s="1" t="s">
        <v>1605</v>
      </c>
      <c r="C798" s="1" t="s">
        <v>1606</v>
      </c>
      <c r="D798" s="1" t="s">
        <v>26</v>
      </c>
    </row>
    <row r="799" spans="1:4" ht="17" customHeight="1">
      <c r="A799" s="1">
        <v>6271</v>
      </c>
      <c r="B799" s="1" t="s">
        <v>1607</v>
      </c>
      <c r="C799" s="1" t="s">
        <v>1608</v>
      </c>
      <c r="D799" s="1" t="s">
        <v>26</v>
      </c>
    </row>
    <row r="800" spans="1:4" ht="17" customHeight="1">
      <c r="A800" s="1">
        <v>6277</v>
      </c>
      <c r="B800" s="1" t="s">
        <v>1609</v>
      </c>
      <c r="C800" s="1" t="s">
        <v>1610</v>
      </c>
      <c r="D800" s="1" t="s">
        <v>26</v>
      </c>
    </row>
    <row r="801" spans="1:4" ht="17" customHeight="1">
      <c r="A801" s="1">
        <v>6278</v>
      </c>
      <c r="B801" s="1" t="s">
        <v>1611</v>
      </c>
      <c r="C801" s="1" t="s">
        <v>1612</v>
      </c>
      <c r="D801" s="1" t="s">
        <v>26</v>
      </c>
    </row>
    <row r="802" spans="1:4" ht="17" customHeight="1">
      <c r="A802" s="1">
        <v>6281</v>
      </c>
      <c r="B802" s="1" t="s">
        <v>1613</v>
      </c>
      <c r="C802" s="1" t="s">
        <v>1614</v>
      </c>
      <c r="D802" s="1" t="s">
        <v>26</v>
      </c>
    </row>
    <row r="803" spans="1:4" ht="17" customHeight="1">
      <c r="A803" s="1">
        <v>6282</v>
      </c>
      <c r="B803" s="1" t="s">
        <v>1615</v>
      </c>
      <c r="C803" s="1" t="s">
        <v>1616</v>
      </c>
      <c r="D803" s="1" t="s">
        <v>26</v>
      </c>
    </row>
    <row r="804" spans="1:4" ht="17" customHeight="1">
      <c r="A804" s="1">
        <v>6283</v>
      </c>
      <c r="B804" s="1" t="s">
        <v>1617</v>
      </c>
      <c r="C804" s="1" t="s">
        <v>1618</v>
      </c>
      <c r="D804" s="1" t="s">
        <v>26</v>
      </c>
    </row>
    <row r="805" spans="1:4" ht="17" customHeight="1">
      <c r="A805" s="1">
        <v>6285</v>
      </c>
      <c r="B805" s="1" t="s">
        <v>1619</v>
      </c>
      <c r="C805" s="1" t="s">
        <v>1620</v>
      </c>
      <c r="D805" s="1" t="s">
        <v>26</v>
      </c>
    </row>
    <row r="806" spans="1:4" ht="17" customHeight="1">
      <c r="A806" s="1">
        <v>6288</v>
      </c>
      <c r="B806" s="1" t="s">
        <v>1621</v>
      </c>
      <c r="C806" s="1" t="s">
        <v>1622</v>
      </c>
      <c r="D806" s="1" t="s">
        <v>26</v>
      </c>
    </row>
    <row r="807" spans="1:4" ht="17" customHeight="1">
      <c r="A807" s="1">
        <v>6289</v>
      </c>
      <c r="B807" s="1" t="s">
        <v>1623</v>
      </c>
      <c r="C807" s="1" t="s">
        <v>1624</v>
      </c>
      <c r="D807" s="1" t="s">
        <v>26</v>
      </c>
    </row>
    <row r="808" spans="1:4" ht="17" customHeight="1">
      <c r="A808" s="1">
        <v>6405</v>
      </c>
      <c r="B808" s="1" t="s">
        <v>1625</v>
      </c>
      <c r="C808" s="1" t="s">
        <v>1626</v>
      </c>
      <c r="D808" s="1" t="s">
        <v>26</v>
      </c>
    </row>
    <row r="809" spans="1:4" ht="17" customHeight="1">
      <c r="A809" s="1">
        <v>6409</v>
      </c>
      <c r="B809" s="1" t="s">
        <v>1627</v>
      </c>
      <c r="C809" s="1" t="s">
        <v>1628</v>
      </c>
      <c r="D809" s="1" t="s">
        <v>26</v>
      </c>
    </row>
    <row r="810" spans="1:4" ht="17" customHeight="1">
      <c r="A810" s="1">
        <v>6412</v>
      </c>
      <c r="B810" s="1" t="s">
        <v>1629</v>
      </c>
      <c r="C810" s="1" t="s">
        <v>1630</v>
      </c>
      <c r="D810" s="1" t="s">
        <v>26</v>
      </c>
    </row>
    <row r="811" spans="1:4" ht="17" customHeight="1">
      <c r="A811" s="1">
        <v>6414</v>
      </c>
      <c r="B811" s="1" t="s">
        <v>1631</v>
      </c>
      <c r="C811" s="1" t="s">
        <v>1632</v>
      </c>
      <c r="D811" s="1" t="s">
        <v>26</v>
      </c>
    </row>
    <row r="812" spans="1:4" ht="17" customHeight="1">
      <c r="A812" s="1">
        <v>6415</v>
      </c>
      <c r="B812" s="1" t="s">
        <v>1633</v>
      </c>
      <c r="C812" s="1" t="s">
        <v>1634</v>
      </c>
      <c r="D812" s="1" t="s">
        <v>26</v>
      </c>
    </row>
    <row r="813" spans="1:4" ht="17" customHeight="1">
      <c r="A813" s="1">
        <v>6416</v>
      </c>
      <c r="B813" s="1" t="s">
        <v>1635</v>
      </c>
      <c r="C813" s="1" t="s">
        <v>1636</v>
      </c>
      <c r="D813" s="1" t="s">
        <v>26</v>
      </c>
    </row>
    <row r="814" spans="1:4" ht="17" customHeight="1">
      <c r="A814" s="1">
        <v>6431</v>
      </c>
      <c r="B814" s="1" t="s">
        <v>1637</v>
      </c>
      <c r="C814" s="1" t="s">
        <v>1638</v>
      </c>
      <c r="D814" s="1" t="s">
        <v>26</v>
      </c>
    </row>
    <row r="815" spans="1:4" ht="17" customHeight="1">
      <c r="A815" s="1">
        <v>6442</v>
      </c>
      <c r="B815" s="1" t="s">
        <v>1639</v>
      </c>
      <c r="C815" s="1" t="s">
        <v>1640</v>
      </c>
      <c r="D815" s="1" t="s">
        <v>26</v>
      </c>
    </row>
    <row r="816" spans="1:4" ht="17" customHeight="1">
      <c r="A816" s="1">
        <v>6443</v>
      </c>
      <c r="B816" s="1" t="s">
        <v>1641</v>
      </c>
      <c r="C816" s="1" t="s">
        <v>1642</v>
      </c>
      <c r="D816" s="1" t="s">
        <v>26</v>
      </c>
    </row>
    <row r="817" spans="1:4" ht="17" customHeight="1">
      <c r="A817" s="1">
        <v>6449</v>
      </c>
      <c r="B817" s="1" t="s">
        <v>1643</v>
      </c>
      <c r="C817" s="1" t="s">
        <v>1644</v>
      </c>
      <c r="D817" s="1" t="s">
        <v>26</v>
      </c>
    </row>
    <row r="818" spans="1:4" ht="17" customHeight="1">
      <c r="A818" s="1">
        <v>6451</v>
      </c>
      <c r="B818" s="1" t="s">
        <v>1645</v>
      </c>
      <c r="C818" s="1" t="s">
        <v>1646</v>
      </c>
      <c r="D818" s="1" t="s">
        <v>26</v>
      </c>
    </row>
    <row r="819" spans="1:4" ht="17" customHeight="1">
      <c r="A819" s="1">
        <v>6452</v>
      </c>
      <c r="B819" s="1" t="s">
        <v>1647</v>
      </c>
      <c r="C819" s="1" t="s">
        <v>1648</v>
      </c>
      <c r="D819" s="1" t="s">
        <v>26</v>
      </c>
    </row>
    <row r="820" spans="1:4" ht="17" customHeight="1">
      <c r="A820" s="1">
        <v>6456</v>
      </c>
      <c r="B820" s="1" t="s">
        <v>1649</v>
      </c>
      <c r="C820" s="1" t="s">
        <v>1650</v>
      </c>
      <c r="D820" s="1" t="s">
        <v>26</v>
      </c>
    </row>
    <row r="821" spans="1:4" ht="17" customHeight="1">
      <c r="A821" s="1">
        <v>6464</v>
      </c>
      <c r="B821" s="1" t="s">
        <v>1651</v>
      </c>
      <c r="C821" s="1" t="s">
        <v>1652</v>
      </c>
      <c r="D821" s="1" t="s">
        <v>26</v>
      </c>
    </row>
    <row r="822" spans="1:4" ht="17" customHeight="1">
      <c r="A822" s="1">
        <v>6477</v>
      </c>
      <c r="B822" s="1" t="s">
        <v>1653</v>
      </c>
      <c r="C822" s="1" t="s">
        <v>1654</v>
      </c>
      <c r="D822" s="1" t="s">
        <v>26</v>
      </c>
    </row>
    <row r="823" spans="1:4" ht="17" customHeight="1">
      <c r="A823" s="1">
        <v>6491</v>
      </c>
      <c r="B823" s="1" t="s">
        <v>1655</v>
      </c>
      <c r="C823" s="1" t="s">
        <v>1656</v>
      </c>
      <c r="D823" s="1" t="s">
        <v>26</v>
      </c>
    </row>
    <row r="824" spans="1:4" ht="17" customHeight="1">
      <c r="A824" s="1">
        <v>6504</v>
      </c>
      <c r="B824" s="1" t="s">
        <v>1657</v>
      </c>
      <c r="C824" s="1" t="s">
        <v>1658</v>
      </c>
      <c r="D824" s="1" t="s">
        <v>26</v>
      </c>
    </row>
    <row r="825" spans="1:4" ht="17" customHeight="1">
      <c r="A825" s="1">
        <v>6505</v>
      </c>
      <c r="B825" s="1" t="s">
        <v>1659</v>
      </c>
      <c r="C825" s="1" t="s">
        <v>1660</v>
      </c>
      <c r="D825" s="1" t="s">
        <v>26</v>
      </c>
    </row>
    <row r="826" spans="1:4" ht="17" customHeight="1">
      <c r="A826" s="1">
        <v>6525</v>
      </c>
      <c r="B826" s="1" t="s">
        <v>1661</v>
      </c>
      <c r="C826" s="1" t="s">
        <v>1662</v>
      </c>
      <c r="D826" s="1" t="s">
        <v>26</v>
      </c>
    </row>
    <row r="827" spans="1:4" ht="17" customHeight="1">
      <c r="A827" s="1">
        <v>6531</v>
      </c>
      <c r="B827" s="1" t="s">
        <v>1663</v>
      </c>
      <c r="C827" s="1" t="s">
        <v>1664</v>
      </c>
      <c r="D827" s="1" t="s">
        <v>26</v>
      </c>
    </row>
    <row r="828" spans="1:4" ht="17" customHeight="1">
      <c r="A828" s="1">
        <v>6533</v>
      </c>
      <c r="B828" s="1" t="s">
        <v>1665</v>
      </c>
      <c r="C828" s="1" t="s">
        <v>1666</v>
      </c>
      <c r="D828" s="1" t="s">
        <v>26</v>
      </c>
    </row>
    <row r="829" spans="1:4" ht="17" customHeight="1">
      <c r="A829" s="1">
        <v>6541</v>
      </c>
      <c r="B829" s="1" t="s">
        <v>1667</v>
      </c>
      <c r="C829" s="1" t="s">
        <v>1668</v>
      </c>
      <c r="D829" s="1" t="s">
        <v>26</v>
      </c>
    </row>
    <row r="830" spans="1:4" ht="17" customHeight="1">
      <c r="A830" s="1">
        <v>6552</v>
      </c>
      <c r="B830" s="1" t="s">
        <v>1669</v>
      </c>
      <c r="C830" s="1" t="s">
        <v>1670</v>
      </c>
      <c r="D830" s="1" t="s">
        <v>26</v>
      </c>
    </row>
    <row r="831" spans="1:4" ht="17" customHeight="1">
      <c r="A831" s="1">
        <v>6558</v>
      </c>
      <c r="B831" s="1" t="s">
        <v>1671</v>
      </c>
      <c r="C831" s="1" t="s">
        <v>1672</v>
      </c>
      <c r="D831" s="1" t="s">
        <v>26</v>
      </c>
    </row>
    <row r="832" spans="1:4" ht="17" customHeight="1">
      <c r="A832" s="1">
        <v>6573</v>
      </c>
      <c r="B832" s="1" t="s">
        <v>1673</v>
      </c>
      <c r="C832" s="1" t="s">
        <v>1674</v>
      </c>
      <c r="D832" s="1" t="s">
        <v>26</v>
      </c>
    </row>
    <row r="833" spans="1:4" ht="17" customHeight="1">
      <c r="A833" s="1">
        <v>6579</v>
      </c>
      <c r="B833" s="1" t="s">
        <v>1675</v>
      </c>
      <c r="C833" s="1" t="s">
        <v>1676</v>
      </c>
      <c r="D833" s="1" t="s">
        <v>26</v>
      </c>
    </row>
    <row r="834" spans="1:4" ht="17" customHeight="1">
      <c r="A834" s="1">
        <v>6581</v>
      </c>
      <c r="B834" s="1" t="s">
        <v>1677</v>
      </c>
      <c r="C834" s="1" t="s">
        <v>1678</v>
      </c>
      <c r="D834" s="1" t="s">
        <v>26</v>
      </c>
    </row>
    <row r="835" spans="1:4" ht="17" customHeight="1">
      <c r="A835" s="1">
        <v>6582</v>
      </c>
      <c r="B835" s="1" t="s">
        <v>1679</v>
      </c>
      <c r="C835" s="1" t="s">
        <v>1680</v>
      </c>
      <c r="D835" s="1" t="s">
        <v>26</v>
      </c>
    </row>
    <row r="836" spans="1:4" ht="17" customHeight="1">
      <c r="A836" s="1">
        <v>6591</v>
      </c>
      <c r="B836" s="1" t="s">
        <v>1681</v>
      </c>
      <c r="C836" s="1" t="s">
        <v>1682</v>
      </c>
      <c r="D836" s="1" t="s">
        <v>26</v>
      </c>
    </row>
    <row r="837" spans="1:4" ht="17" customHeight="1">
      <c r="A837" s="1">
        <v>6592</v>
      </c>
      <c r="B837" s="1" t="s">
        <v>1683</v>
      </c>
      <c r="C837" s="1" t="s">
        <v>1684</v>
      </c>
      <c r="D837" s="1" t="s">
        <v>26</v>
      </c>
    </row>
    <row r="838" spans="1:4" ht="17" customHeight="1">
      <c r="A838" s="1">
        <v>6605</v>
      </c>
      <c r="B838" s="1" t="s">
        <v>1685</v>
      </c>
      <c r="C838" s="1" t="s">
        <v>1686</v>
      </c>
      <c r="D838" s="1" t="s">
        <v>26</v>
      </c>
    </row>
    <row r="839" spans="1:4" ht="17" customHeight="1">
      <c r="A839" s="1">
        <v>6625</v>
      </c>
      <c r="B839" s="1" t="s">
        <v>1687</v>
      </c>
      <c r="C839" s="1" t="s">
        <v>1688</v>
      </c>
      <c r="D839" s="1" t="s">
        <v>26</v>
      </c>
    </row>
    <row r="840" spans="1:4" ht="17" customHeight="1">
      <c r="A840" s="1">
        <v>6641</v>
      </c>
      <c r="B840" s="1" t="s">
        <v>1689</v>
      </c>
      <c r="C840" s="1" t="s">
        <v>1690</v>
      </c>
      <c r="D840" s="1" t="s">
        <v>26</v>
      </c>
    </row>
    <row r="841" spans="1:4" ht="17" customHeight="1">
      <c r="A841" s="1">
        <v>6655</v>
      </c>
      <c r="B841" s="1" t="s">
        <v>1691</v>
      </c>
      <c r="C841" s="1" t="s">
        <v>1692</v>
      </c>
      <c r="D841" s="1" t="s">
        <v>26</v>
      </c>
    </row>
    <row r="842" spans="1:4" ht="17" customHeight="1">
      <c r="A842" s="1">
        <v>6666</v>
      </c>
      <c r="B842" s="1" t="s">
        <v>1693</v>
      </c>
      <c r="C842" s="1" t="s">
        <v>1694</v>
      </c>
      <c r="D842" s="1" t="s">
        <v>26</v>
      </c>
    </row>
    <row r="843" spans="1:4" ht="17" customHeight="1">
      <c r="A843" s="1">
        <v>6668</v>
      </c>
      <c r="B843" s="1" t="s">
        <v>1695</v>
      </c>
      <c r="C843" s="1" t="s">
        <v>1696</v>
      </c>
      <c r="D843" s="1" t="s">
        <v>26</v>
      </c>
    </row>
    <row r="844" spans="1:4" ht="17" customHeight="1">
      <c r="A844" s="1">
        <v>6669</v>
      </c>
      <c r="B844" s="1" t="s">
        <v>1697</v>
      </c>
      <c r="C844" s="1" t="s">
        <v>13</v>
      </c>
      <c r="D844" s="1" t="s">
        <v>26</v>
      </c>
    </row>
    <row r="845" spans="1:4" ht="17" customHeight="1">
      <c r="A845" s="1">
        <v>6670</v>
      </c>
      <c r="B845" s="1" t="s">
        <v>1698</v>
      </c>
      <c r="C845" s="1" t="s">
        <v>1699</v>
      </c>
      <c r="D845" s="1" t="s">
        <v>26</v>
      </c>
    </row>
    <row r="846" spans="1:4" ht="17" customHeight="1">
      <c r="A846" s="1">
        <v>6671</v>
      </c>
      <c r="B846" s="1" t="s">
        <v>1700</v>
      </c>
      <c r="C846" s="1" t="s">
        <v>1701</v>
      </c>
      <c r="D846" s="1" t="s">
        <v>26</v>
      </c>
    </row>
    <row r="847" spans="1:4" ht="17" customHeight="1">
      <c r="A847" s="1">
        <v>6672</v>
      </c>
      <c r="B847" s="1" t="s">
        <v>1702</v>
      </c>
      <c r="C847" s="1" t="s">
        <v>1703</v>
      </c>
      <c r="D847" s="1" t="s">
        <v>26</v>
      </c>
    </row>
    <row r="848" spans="1:4" ht="17" customHeight="1">
      <c r="A848" s="1">
        <v>6674</v>
      </c>
      <c r="B848" s="1" t="s">
        <v>1704</v>
      </c>
      <c r="C848" s="1" t="s">
        <v>12</v>
      </c>
      <c r="D848" s="1" t="s">
        <v>26</v>
      </c>
    </row>
    <row r="849" spans="1:4" ht="17" customHeight="1">
      <c r="A849" s="1">
        <v>6698</v>
      </c>
      <c r="B849" s="1" t="s">
        <v>1705</v>
      </c>
      <c r="C849" s="1" t="s">
        <v>1706</v>
      </c>
      <c r="D849" s="1" t="s">
        <v>26</v>
      </c>
    </row>
    <row r="850" spans="1:4" ht="17" customHeight="1">
      <c r="A850" s="1">
        <v>6706</v>
      </c>
      <c r="B850" s="1" t="s">
        <v>1707</v>
      </c>
      <c r="C850" s="1" t="s">
        <v>1708</v>
      </c>
      <c r="D850" s="1" t="s">
        <v>26</v>
      </c>
    </row>
    <row r="851" spans="1:4" ht="17" customHeight="1">
      <c r="A851" s="1">
        <v>6715</v>
      </c>
      <c r="B851" s="1" t="s">
        <v>1709</v>
      </c>
      <c r="C851" s="1" t="s">
        <v>1710</v>
      </c>
      <c r="D851" s="1" t="s">
        <v>26</v>
      </c>
    </row>
    <row r="852" spans="1:4" ht="17" customHeight="1">
      <c r="A852" s="1">
        <v>8011</v>
      </c>
      <c r="B852" s="1" t="s">
        <v>1711</v>
      </c>
      <c r="C852" s="1" t="s">
        <v>1712</v>
      </c>
      <c r="D852" s="1" t="s">
        <v>26</v>
      </c>
    </row>
    <row r="853" spans="1:4" ht="17" customHeight="1">
      <c r="A853" s="1">
        <v>8016</v>
      </c>
      <c r="B853" s="1" t="s">
        <v>1713</v>
      </c>
      <c r="C853" s="1" t="s">
        <v>1714</v>
      </c>
      <c r="D853" s="1" t="s">
        <v>26</v>
      </c>
    </row>
    <row r="854" spans="1:4" ht="17" customHeight="1">
      <c r="A854" s="1">
        <v>8021</v>
      </c>
      <c r="B854" s="1" t="s">
        <v>1715</v>
      </c>
      <c r="C854" s="1" t="s">
        <v>1716</v>
      </c>
      <c r="D854" s="1" t="s">
        <v>26</v>
      </c>
    </row>
    <row r="855" spans="1:4" ht="17" customHeight="1">
      <c r="A855" s="1">
        <v>8028</v>
      </c>
      <c r="B855" s="1" t="s">
        <v>1717</v>
      </c>
      <c r="C855" s="1" t="s">
        <v>1718</v>
      </c>
      <c r="D855" s="1" t="s">
        <v>26</v>
      </c>
    </row>
    <row r="856" spans="1:4" ht="17" customHeight="1">
      <c r="A856" s="1">
        <v>8033</v>
      </c>
      <c r="B856" s="1" t="s">
        <v>1719</v>
      </c>
      <c r="C856" s="1" t="s">
        <v>1720</v>
      </c>
      <c r="D856" s="1" t="s">
        <v>26</v>
      </c>
    </row>
    <row r="857" spans="1:4" ht="17" customHeight="1">
      <c r="A857" s="1">
        <v>8039</v>
      </c>
      <c r="B857" s="1" t="s">
        <v>1721</v>
      </c>
      <c r="C857" s="1" t="s">
        <v>1722</v>
      </c>
      <c r="D857" s="1" t="s">
        <v>26</v>
      </c>
    </row>
    <row r="858" spans="1:4" ht="17" customHeight="1">
      <c r="A858" s="1">
        <v>8046</v>
      </c>
      <c r="B858" s="1" t="s">
        <v>1723</v>
      </c>
      <c r="C858" s="1" t="s">
        <v>1724</v>
      </c>
      <c r="D858" s="1" t="s">
        <v>26</v>
      </c>
    </row>
    <row r="859" spans="1:4" ht="17" customHeight="1">
      <c r="A859" s="1">
        <v>8070</v>
      </c>
      <c r="B859" s="1" t="s">
        <v>1725</v>
      </c>
      <c r="C859" s="1" t="s">
        <v>1726</v>
      </c>
      <c r="D859" s="1" t="s">
        <v>26</v>
      </c>
    </row>
    <row r="860" spans="1:4" ht="17" customHeight="1">
      <c r="A860" s="1">
        <v>8072</v>
      </c>
      <c r="B860" s="1" t="s">
        <v>1727</v>
      </c>
      <c r="C860" s="1" t="s">
        <v>1728</v>
      </c>
      <c r="D860" s="1" t="s">
        <v>26</v>
      </c>
    </row>
    <row r="861" spans="1:4" ht="17" customHeight="1">
      <c r="A861" s="1">
        <v>8081</v>
      </c>
      <c r="B861" s="1" t="s">
        <v>1729</v>
      </c>
      <c r="C861" s="1" t="s">
        <v>1730</v>
      </c>
      <c r="D861" s="1" t="s">
        <v>26</v>
      </c>
    </row>
    <row r="862" spans="1:4" ht="17" customHeight="1">
      <c r="A862" s="1">
        <v>8101</v>
      </c>
      <c r="B862" s="1" t="s">
        <v>1731</v>
      </c>
      <c r="C862" s="1" t="s">
        <v>1732</v>
      </c>
      <c r="D862" s="1" t="s">
        <v>26</v>
      </c>
    </row>
    <row r="863" spans="1:4" ht="17" customHeight="1">
      <c r="A863" s="1">
        <v>8103</v>
      </c>
      <c r="B863" s="1" t="s">
        <v>1733</v>
      </c>
      <c r="C863" s="1" t="s">
        <v>1734</v>
      </c>
      <c r="D863" s="1" t="s">
        <v>26</v>
      </c>
    </row>
    <row r="864" spans="1:4" ht="17" customHeight="1">
      <c r="A864" s="1">
        <v>8104</v>
      </c>
      <c r="B864" s="1" t="s">
        <v>1735</v>
      </c>
      <c r="C864" s="1" t="s">
        <v>1736</v>
      </c>
      <c r="D864" s="1" t="s">
        <v>26</v>
      </c>
    </row>
    <row r="865" spans="1:4" ht="17" customHeight="1">
      <c r="A865" s="1">
        <v>8105</v>
      </c>
      <c r="B865" s="1" t="s">
        <v>1737</v>
      </c>
      <c r="C865" s="1" t="s">
        <v>1738</v>
      </c>
      <c r="D865" s="1" t="s">
        <v>26</v>
      </c>
    </row>
    <row r="866" spans="1:4" ht="17" customHeight="1">
      <c r="A866" s="1">
        <v>8110</v>
      </c>
      <c r="B866" s="1" t="s">
        <v>1739</v>
      </c>
      <c r="C866" s="1" t="s">
        <v>1740</v>
      </c>
      <c r="D866" s="1" t="s">
        <v>26</v>
      </c>
    </row>
    <row r="867" spans="1:4" ht="17" customHeight="1">
      <c r="A867" s="1">
        <v>8112</v>
      </c>
      <c r="B867" s="1" t="s">
        <v>1741</v>
      </c>
      <c r="C867" s="1" t="s">
        <v>1742</v>
      </c>
      <c r="D867" s="1" t="s">
        <v>26</v>
      </c>
    </row>
    <row r="868" spans="1:4" ht="17" customHeight="1">
      <c r="A868" s="1">
        <v>8114</v>
      </c>
      <c r="B868" s="1" t="s">
        <v>1743</v>
      </c>
      <c r="C868" s="1" t="s">
        <v>1744</v>
      </c>
      <c r="D868" s="1" t="s">
        <v>26</v>
      </c>
    </row>
    <row r="869" spans="1:4" ht="17" customHeight="1">
      <c r="A869" s="1">
        <v>8131</v>
      </c>
      <c r="B869" s="1" t="s">
        <v>1745</v>
      </c>
      <c r="C869" s="1" t="s">
        <v>1746</v>
      </c>
      <c r="D869" s="1" t="s">
        <v>26</v>
      </c>
    </row>
    <row r="870" spans="1:4" ht="17" customHeight="1">
      <c r="A870" s="1">
        <v>8150</v>
      </c>
      <c r="B870" s="1" t="s">
        <v>1747</v>
      </c>
      <c r="C870" s="1" t="s">
        <v>1748</v>
      </c>
      <c r="D870" s="1" t="s">
        <v>26</v>
      </c>
    </row>
    <row r="871" spans="1:4" ht="17" customHeight="1">
      <c r="A871" s="1">
        <v>8163</v>
      </c>
      <c r="B871" s="1" t="s">
        <v>1749</v>
      </c>
      <c r="C871" s="1" t="s">
        <v>1750</v>
      </c>
      <c r="D871" s="1" t="s">
        <v>26</v>
      </c>
    </row>
    <row r="872" spans="1:4" ht="17" customHeight="1">
      <c r="A872" s="1">
        <v>8201</v>
      </c>
      <c r="B872" s="1" t="s">
        <v>1751</v>
      </c>
      <c r="C872" s="1" t="s">
        <v>1752</v>
      </c>
      <c r="D872" s="1" t="s">
        <v>26</v>
      </c>
    </row>
    <row r="873" spans="1:4" ht="17" customHeight="1">
      <c r="A873" s="1">
        <v>8210</v>
      </c>
      <c r="B873" s="1" t="s">
        <v>1753</v>
      </c>
      <c r="C873" s="1" t="s">
        <v>1754</v>
      </c>
      <c r="D873" s="1" t="s">
        <v>26</v>
      </c>
    </row>
    <row r="874" spans="1:4" ht="17" customHeight="1">
      <c r="A874" s="1">
        <v>8213</v>
      </c>
      <c r="B874" s="1" t="s">
        <v>1755</v>
      </c>
      <c r="C874" s="1" t="s">
        <v>1756</v>
      </c>
      <c r="D874" s="1" t="s">
        <v>26</v>
      </c>
    </row>
    <row r="875" spans="1:4" ht="17" customHeight="1">
      <c r="A875" s="1">
        <v>8215</v>
      </c>
      <c r="B875" s="1" t="s">
        <v>1757</v>
      </c>
      <c r="C875" s="1" t="s">
        <v>1758</v>
      </c>
      <c r="D875" s="1" t="s">
        <v>26</v>
      </c>
    </row>
    <row r="876" spans="1:4" ht="17" customHeight="1">
      <c r="A876" s="1">
        <v>8222</v>
      </c>
      <c r="B876" s="1" t="s">
        <v>1759</v>
      </c>
      <c r="C876" s="1" t="s">
        <v>1760</v>
      </c>
      <c r="D876" s="1" t="s">
        <v>26</v>
      </c>
    </row>
    <row r="877" spans="1:4" ht="17" customHeight="1">
      <c r="A877" s="1">
        <v>8249</v>
      </c>
      <c r="B877" s="1" t="s">
        <v>1761</v>
      </c>
      <c r="C877" s="1" t="s">
        <v>1762</v>
      </c>
      <c r="D877" s="1" t="s">
        <v>26</v>
      </c>
    </row>
    <row r="878" spans="1:4" ht="17" customHeight="1">
      <c r="A878" s="1">
        <v>8261</v>
      </c>
      <c r="B878" s="1" t="s">
        <v>1763</v>
      </c>
      <c r="C878" s="1" t="s">
        <v>1764</v>
      </c>
      <c r="D878" s="1" t="s">
        <v>26</v>
      </c>
    </row>
    <row r="879" spans="1:4" ht="17" customHeight="1">
      <c r="A879" s="1">
        <v>8271</v>
      </c>
      <c r="B879" s="1" t="s">
        <v>1765</v>
      </c>
      <c r="C879" s="1" t="s">
        <v>1766</v>
      </c>
      <c r="D879" s="1" t="s">
        <v>26</v>
      </c>
    </row>
    <row r="880" spans="1:4" ht="17" customHeight="1">
      <c r="A880" s="1">
        <v>8341</v>
      </c>
      <c r="B880" s="1" t="s">
        <v>1767</v>
      </c>
      <c r="C880" s="1" t="s">
        <v>1768</v>
      </c>
      <c r="D880" s="1" t="s">
        <v>26</v>
      </c>
    </row>
    <row r="881" spans="1:4" ht="17" customHeight="1">
      <c r="A881" s="1">
        <v>8367</v>
      </c>
      <c r="B881" s="1" t="s">
        <v>1769</v>
      </c>
      <c r="C881" s="1" t="s">
        <v>1770</v>
      </c>
      <c r="D881" s="1" t="s">
        <v>26</v>
      </c>
    </row>
    <row r="882" spans="1:4" ht="17" customHeight="1">
      <c r="A882" s="1">
        <v>8374</v>
      </c>
      <c r="B882" s="1" t="s">
        <v>1771</v>
      </c>
      <c r="C882" s="1" t="s">
        <v>1772</v>
      </c>
      <c r="D882" s="1" t="s">
        <v>26</v>
      </c>
    </row>
    <row r="883" spans="1:4" ht="17" customHeight="1">
      <c r="A883" s="1">
        <v>8404</v>
      </c>
      <c r="B883" s="1" t="s">
        <v>1773</v>
      </c>
      <c r="C883" s="1" t="s">
        <v>1774</v>
      </c>
      <c r="D883" s="1" t="s">
        <v>26</v>
      </c>
    </row>
    <row r="884" spans="1:4" ht="17" customHeight="1">
      <c r="A884" s="1">
        <v>8411</v>
      </c>
      <c r="B884" s="1" t="s">
        <v>1775</v>
      </c>
      <c r="C884" s="1" t="s">
        <v>1776</v>
      </c>
      <c r="D884" s="1" t="s">
        <v>26</v>
      </c>
    </row>
    <row r="885" spans="1:4" ht="17" customHeight="1">
      <c r="A885" s="1">
        <v>8422</v>
      </c>
      <c r="B885" s="1" t="s">
        <v>1777</v>
      </c>
      <c r="C885" s="1" t="s">
        <v>1778</v>
      </c>
      <c r="D885" s="1" t="s">
        <v>26</v>
      </c>
    </row>
    <row r="886" spans="1:4" ht="17" customHeight="1">
      <c r="A886" s="1">
        <v>8427</v>
      </c>
      <c r="B886" s="1" t="s">
        <v>1779</v>
      </c>
      <c r="C886" s="1" t="s">
        <v>1780</v>
      </c>
      <c r="D886" s="1" t="s">
        <v>26</v>
      </c>
    </row>
    <row r="887" spans="1:4" ht="17" customHeight="1">
      <c r="A887" s="1">
        <v>8429</v>
      </c>
      <c r="B887" s="1" t="s">
        <v>1781</v>
      </c>
      <c r="C887" s="1" t="s">
        <v>1782</v>
      </c>
      <c r="D887" s="1" t="s">
        <v>26</v>
      </c>
    </row>
    <row r="888" spans="1:4" ht="17" customHeight="1">
      <c r="A888" s="1">
        <v>8442</v>
      </c>
      <c r="B888" s="1" t="s">
        <v>1783</v>
      </c>
      <c r="C888" s="1" t="s">
        <v>1784</v>
      </c>
      <c r="D888" s="1" t="s">
        <v>26</v>
      </c>
    </row>
    <row r="889" spans="1:4" ht="17" customHeight="1">
      <c r="A889" s="1">
        <v>8443</v>
      </c>
      <c r="B889" s="1" t="s">
        <v>1785</v>
      </c>
      <c r="C889" s="1" t="s">
        <v>1786</v>
      </c>
      <c r="D889" s="1" t="s">
        <v>26</v>
      </c>
    </row>
    <row r="890" spans="1:4" ht="17" customHeight="1">
      <c r="A890" s="1">
        <v>8454</v>
      </c>
      <c r="B890" s="1" t="s">
        <v>1787</v>
      </c>
      <c r="C890" s="1" t="s">
        <v>1788</v>
      </c>
      <c r="D890" s="1" t="s">
        <v>26</v>
      </c>
    </row>
    <row r="891" spans="1:4" ht="17" customHeight="1">
      <c r="A891" s="1">
        <v>8462</v>
      </c>
      <c r="B891" s="1" t="s">
        <v>1789</v>
      </c>
      <c r="C891" s="1" t="s">
        <v>1790</v>
      </c>
      <c r="D891" s="1" t="s">
        <v>26</v>
      </c>
    </row>
    <row r="892" spans="1:4" ht="17" customHeight="1">
      <c r="A892" s="1">
        <v>8463</v>
      </c>
      <c r="B892" s="1" t="s">
        <v>1791</v>
      </c>
      <c r="C892" s="1" t="s">
        <v>1792</v>
      </c>
      <c r="D892" s="1" t="s">
        <v>26</v>
      </c>
    </row>
    <row r="893" spans="1:4" ht="17" customHeight="1">
      <c r="A893" s="1">
        <v>8464</v>
      </c>
      <c r="B893" s="1" t="s">
        <v>1793</v>
      </c>
      <c r="C893" s="1" t="s">
        <v>1794</v>
      </c>
      <c r="D893" s="1" t="s">
        <v>26</v>
      </c>
    </row>
    <row r="894" spans="1:4" ht="17" customHeight="1">
      <c r="A894" s="1">
        <v>8466</v>
      </c>
      <c r="B894" s="1" t="s">
        <v>1795</v>
      </c>
      <c r="C894" s="1" t="s">
        <v>1796</v>
      </c>
      <c r="D894" s="1" t="s">
        <v>26</v>
      </c>
    </row>
    <row r="895" spans="1:4" ht="17" customHeight="1">
      <c r="A895" s="1">
        <v>8467</v>
      </c>
      <c r="B895" s="1" t="s">
        <v>1797</v>
      </c>
      <c r="C895" s="1" t="s">
        <v>1798</v>
      </c>
      <c r="D895" s="1" t="s">
        <v>26</v>
      </c>
    </row>
    <row r="896" spans="1:4" ht="17" customHeight="1">
      <c r="A896" s="1">
        <v>8473</v>
      </c>
      <c r="B896" s="1" t="s">
        <v>1799</v>
      </c>
      <c r="C896" s="1" t="s">
        <v>1800</v>
      </c>
      <c r="D896" s="1" t="s">
        <v>26</v>
      </c>
    </row>
    <row r="897" spans="1:4" ht="17" customHeight="1">
      <c r="A897" s="1">
        <v>8478</v>
      </c>
      <c r="B897" s="1" t="s">
        <v>1801</v>
      </c>
      <c r="C897" s="1" t="s">
        <v>1802</v>
      </c>
      <c r="D897" s="1" t="s">
        <v>26</v>
      </c>
    </row>
    <row r="898" spans="1:4" ht="17" customHeight="1">
      <c r="A898" s="1">
        <v>8480</v>
      </c>
      <c r="B898" s="1" t="s">
        <v>1803</v>
      </c>
      <c r="C898" s="1" t="s">
        <v>1804</v>
      </c>
      <c r="D898" s="1" t="s">
        <v>26</v>
      </c>
    </row>
    <row r="899" spans="1:4" ht="17" customHeight="1">
      <c r="A899" s="1">
        <v>8481</v>
      </c>
      <c r="B899" s="1" t="s">
        <v>1805</v>
      </c>
      <c r="C899" s="1" t="s">
        <v>1806</v>
      </c>
      <c r="D899" s="1" t="s">
        <v>26</v>
      </c>
    </row>
    <row r="900" spans="1:4" ht="17" customHeight="1">
      <c r="A900" s="1">
        <v>8482</v>
      </c>
      <c r="B900" s="1" t="s">
        <v>1807</v>
      </c>
      <c r="C900" s="1" t="s">
        <v>1808</v>
      </c>
      <c r="D900" s="1" t="s">
        <v>26</v>
      </c>
    </row>
    <row r="901" spans="1:4" ht="17" customHeight="1">
      <c r="A901" s="1">
        <v>8488</v>
      </c>
      <c r="B901" s="1" t="s">
        <v>1809</v>
      </c>
      <c r="C901" s="1" t="s">
        <v>1810</v>
      </c>
      <c r="D901" s="1" t="s">
        <v>26</v>
      </c>
    </row>
    <row r="902" spans="1:4" ht="17" customHeight="1">
      <c r="A902" s="1">
        <v>8497</v>
      </c>
      <c r="B902" s="1" t="s">
        <v>1811</v>
      </c>
      <c r="C902" s="1" t="s">
        <v>1812</v>
      </c>
      <c r="D902" s="1" t="s">
        <v>26</v>
      </c>
    </row>
    <row r="903" spans="1:4" ht="17" customHeight="1">
      <c r="A903" s="1">
        <v>8499</v>
      </c>
      <c r="B903" s="1" t="s">
        <v>1813</v>
      </c>
      <c r="C903" s="1" t="s">
        <v>1814</v>
      </c>
      <c r="D903" s="1" t="s">
        <v>26</v>
      </c>
    </row>
    <row r="904" spans="1:4" ht="17" customHeight="1">
      <c r="A904" s="1">
        <v>8926</v>
      </c>
      <c r="B904" s="1" t="s">
        <v>1815</v>
      </c>
      <c r="C904" s="1" t="s">
        <v>1816</v>
      </c>
      <c r="D904" s="1" t="s">
        <v>26</v>
      </c>
    </row>
    <row r="905" spans="1:4" ht="17" customHeight="1">
      <c r="A905" s="1">
        <v>8940</v>
      </c>
      <c r="B905" s="1" t="s">
        <v>1817</v>
      </c>
      <c r="C905" s="1" t="s">
        <v>1818</v>
      </c>
      <c r="D905" s="1" t="s">
        <v>26</v>
      </c>
    </row>
    <row r="906" spans="1:4" ht="17" customHeight="1">
      <c r="A906" s="1">
        <v>8996</v>
      </c>
      <c r="B906" s="1" t="s">
        <v>1819</v>
      </c>
      <c r="C906" s="1" t="s">
        <v>1820</v>
      </c>
      <c r="D906" s="1" t="s">
        <v>26</v>
      </c>
    </row>
    <row r="907" spans="1:4" ht="17" customHeight="1">
      <c r="A907" s="1">
        <v>9103</v>
      </c>
      <c r="B907" s="1" t="s">
        <v>1821</v>
      </c>
      <c r="C907" s="1" t="s">
        <v>1822</v>
      </c>
      <c r="D907" s="1" t="s">
        <v>26</v>
      </c>
    </row>
    <row r="908" spans="1:4" ht="17" customHeight="1">
      <c r="A908" s="1">
        <v>910322</v>
      </c>
      <c r="B908" s="1" t="s">
        <v>1823</v>
      </c>
      <c r="C908" s="1" t="s">
        <v>1824</v>
      </c>
      <c r="D908" s="1" t="s">
        <v>26</v>
      </c>
    </row>
    <row r="909" spans="1:4" ht="17" customHeight="1">
      <c r="A909" s="1">
        <v>910482</v>
      </c>
      <c r="B909" s="1" t="s">
        <v>1825</v>
      </c>
      <c r="C909" s="1" t="s">
        <v>1826</v>
      </c>
      <c r="D909" s="1" t="s">
        <v>26</v>
      </c>
    </row>
    <row r="910" spans="1:4" ht="17" customHeight="1">
      <c r="A910" s="1">
        <v>9105</v>
      </c>
      <c r="B910" s="1" t="s">
        <v>1827</v>
      </c>
      <c r="C910" s="1" t="s">
        <v>1828</v>
      </c>
      <c r="D910" s="1" t="s">
        <v>26</v>
      </c>
    </row>
    <row r="911" spans="1:4" ht="17" customHeight="1">
      <c r="A911" s="1">
        <v>910861</v>
      </c>
      <c r="B911" s="1" t="s">
        <v>1829</v>
      </c>
      <c r="C911" s="1" t="s">
        <v>1830</v>
      </c>
      <c r="D911" s="1" t="s">
        <v>26</v>
      </c>
    </row>
    <row r="912" spans="1:4" ht="17" customHeight="1">
      <c r="A912" s="1">
        <v>9110</v>
      </c>
      <c r="B912" s="1" t="s">
        <v>1831</v>
      </c>
      <c r="C912" s="1" t="s">
        <v>1832</v>
      </c>
      <c r="D912" s="1" t="s">
        <v>26</v>
      </c>
    </row>
    <row r="913" spans="1:4" ht="17" customHeight="1">
      <c r="A913" s="1">
        <v>911608</v>
      </c>
      <c r="B913" s="1" t="s">
        <v>1833</v>
      </c>
      <c r="C913" s="1" t="s">
        <v>1834</v>
      </c>
      <c r="D913" s="1" t="s">
        <v>26</v>
      </c>
    </row>
    <row r="914" spans="1:4" ht="17" customHeight="1">
      <c r="A914" s="1">
        <v>911616</v>
      </c>
      <c r="B914" s="1" t="s">
        <v>1835</v>
      </c>
      <c r="C914" s="1" t="s">
        <v>1836</v>
      </c>
      <c r="D914" s="1" t="s">
        <v>26</v>
      </c>
    </row>
    <row r="915" spans="1:4" ht="17" customHeight="1">
      <c r="A915" s="1">
        <v>911622</v>
      </c>
      <c r="B915" s="1" t="s">
        <v>1837</v>
      </c>
      <c r="C915" s="1" t="s">
        <v>1838</v>
      </c>
      <c r="D915" s="1" t="s">
        <v>26</v>
      </c>
    </row>
    <row r="916" spans="1:4" ht="17" customHeight="1">
      <c r="A916" s="1">
        <v>911868</v>
      </c>
      <c r="B916" s="1" t="s">
        <v>1839</v>
      </c>
      <c r="C916" s="1" t="s">
        <v>1840</v>
      </c>
      <c r="D916" s="1" t="s">
        <v>26</v>
      </c>
    </row>
    <row r="917" spans="1:4" ht="17" customHeight="1">
      <c r="A917" s="1">
        <v>912000</v>
      </c>
      <c r="B917" s="1" t="s">
        <v>1841</v>
      </c>
      <c r="C917" s="1" t="s">
        <v>1842</v>
      </c>
      <c r="D917" s="1" t="s">
        <v>26</v>
      </c>
    </row>
    <row r="918" spans="1:4" ht="17" customHeight="1">
      <c r="A918" s="1">
        <v>912398</v>
      </c>
      <c r="B918" s="1" t="s">
        <v>1843</v>
      </c>
      <c r="C918" s="1" t="s">
        <v>1844</v>
      </c>
      <c r="D918" s="1" t="s">
        <v>26</v>
      </c>
    </row>
    <row r="919" spans="1:4" ht="17" customHeight="1">
      <c r="A919" s="1">
        <v>9136</v>
      </c>
      <c r="B919" s="1" t="s">
        <v>1845</v>
      </c>
      <c r="C919" s="1" t="s">
        <v>1846</v>
      </c>
      <c r="D919" s="1" t="s">
        <v>26</v>
      </c>
    </row>
    <row r="920" spans="1:4" ht="17" customHeight="1">
      <c r="A920" s="1">
        <v>9188</v>
      </c>
      <c r="B920" s="1" t="s">
        <v>1847</v>
      </c>
      <c r="C920" s="1" t="s">
        <v>1848</v>
      </c>
      <c r="D920" s="1" t="s">
        <v>26</v>
      </c>
    </row>
    <row r="921" spans="1:4" ht="17" customHeight="1">
      <c r="A921" s="1">
        <v>9802</v>
      </c>
      <c r="B921" s="1" t="s">
        <v>1849</v>
      </c>
      <c r="C921" s="1" t="s">
        <v>1850</v>
      </c>
      <c r="D921" s="1" t="s">
        <v>26</v>
      </c>
    </row>
    <row r="922" spans="1:4" ht="17" customHeight="1">
      <c r="A922" s="1">
        <v>9902</v>
      </c>
      <c r="B922" s="1" t="s">
        <v>1851</v>
      </c>
      <c r="C922" s="1" t="s">
        <v>1852</v>
      </c>
      <c r="D922" s="1" t="s">
        <v>26</v>
      </c>
    </row>
    <row r="923" spans="1:4" ht="17" customHeight="1">
      <c r="A923" s="1">
        <v>9904</v>
      </c>
      <c r="B923" s="1" t="s">
        <v>1853</v>
      </c>
      <c r="C923" s="1" t="s">
        <v>1854</v>
      </c>
      <c r="D923" s="1" t="s">
        <v>26</v>
      </c>
    </row>
    <row r="924" spans="1:4" ht="17" customHeight="1">
      <c r="A924" s="1">
        <v>9905</v>
      </c>
      <c r="B924" s="1" t="s">
        <v>1855</v>
      </c>
      <c r="C924" s="1" t="s">
        <v>1856</v>
      </c>
      <c r="D924" s="1" t="s">
        <v>26</v>
      </c>
    </row>
    <row r="925" spans="1:4" ht="17" customHeight="1">
      <c r="A925" s="1">
        <v>9906</v>
      </c>
      <c r="B925" s="1" t="s">
        <v>1857</v>
      </c>
      <c r="C925" s="1" t="s">
        <v>1858</v>
      </c>
      <c r="D925" s="1" t="s">
        <v>26</v>
      </c>
    </row>
    <row r="926" spans="1:4" ht="17" customHeight="1">
      <c r="A926" s="1">
        <v>9907</v>
      </c>
      <c r="B926" s="1" t="s">
        <v>1859</v>
      </c>
      <c r="C926" s="1" t="s">
        <v>1860</v>
      </c>
      <c r="D926" s="1" t="s">
        <v>26</v>
      </c>
    </row>
    <row r="927" spans="1:4" ht="17" customHeight="1">
      <c r="A927" s="1">
        <v>9908</v>
      </c>
      <c r="B927" s="1" t="s">
        <v>1861</v>
      </c>
      <c r="C927" s="1" t="s">
        <v>1862</v>
      </c>
      <c r="D927" s="1" t="s">
        <v>26</v>
      </c>
    </row>
    <row r="928" spans="1:4" ht="17" customHeight="1">
      <c r="A928" s="1">
        <v>9910</v>
      </c>
      <c r="B928" s="1" t="s">
        <v>1863</v>
      </c>
      <c r="C928" s="1" t="s">
        <v>1864</v>
      </c>
      <c r="D928" s="1" t="s">
        <v>26</v>
      </c>
    </row>
    <row r="929" spans="1:4" ht="17" customHeight="1">
      <c r="A929" s="1">
        <v>9911</v>
      </c>
      <c r="B929" s="1" t="s">
        <v>1865</v>
      </c>
      <c r="C929" s="1" t="s">
        <v>1866</v>
      </c>
      <c r="D929" s="1" t="s">
        <v>26</v>
      </c>
    </row>
    <row r="930" spans="1:4" ht="17" customHeight="1">
      <c r="A930" s="1">
        <v>9912</v>
      </c>
      <c r="B930" s="1" t="s">
        <v>1867</v>
      </c>
      <c r="C930" s="1" t="s">
        <v>1868</v>
      </c>
      <c r="D930" s="1" t="s">
        <v>26</v>
      </c>
    </row>
    <row r="931" spans="1:4" ht="17" customHeight="1">
      <c r="A931" s="1">
        <v>9914</v>
      </c>
      <c r="B931" s="1" t="s">
        <v>1869</v>
      </c>
      <c r="C931" s="1" t="s">
        <v>1870</v>
      </c>
      <c r="D931" s="1" t="s">
        <v>26</v>
      </c>
    </row>
    <row r="932" spans="1:4" ht="17" customHeight="1">
      <c r="A932" s="1">
        <v>9917</v>
      </c>
      <c r="B932" s="1" t="s">
        <v>1871</v>
      </c>
      <c r="C932" s="1" t="s">
        <v>1872</v>
      </c>
      <c r="D932" s="1" t="s">
        <v>26</v>
      </c>
    </row>
    <row r="933" spans="1:4" ht="17" customHeight="1">
      <c r="A933" s="1">
        <v>9918</v>
      </c>
      <c r="B933" s="1" t="s">
        <v>1873</v>
      </c>
      <c r="C933" s="1" t="s">
        <v>1874</v>
      </c>
      <c r="D933" s="1" t="s">
        <v>26</v>
      </c>
    </row>
    <row r="934" spans="1:4" ht="17" customHeight="1">
      <c r="A934" s="1">
        <v>9919</v>
      </c>
      <c r="B934" s="1" t="s">
        <v>1875</v>
      </c>
      <c r="C934" s="1" t="s">
        <v>1876</v>
      </c>
      <c r="D934" s="1" t="s">
        <v>26</v>
      </c>
    </row>
    <row r="935" spans="1:4" ht="17" customHeight="1">
      <c r="A935" s="1">
        <v>9921</v>
      </c>
      <c r="B935" s="1" t="s">
        <v>1877</v>
      </c>
      <c r="C935" s="1" t="s">
        <v>1878</v>
      </c>
      <c r="D935" s="1" t="s">
        <v>26</v>
      </c>
    </row>
    <row r="936" spans="1:4" ht="17" customHeight="1">
      <c r="A936" s="1">
        <v>9924</v>
      </c>
      <c r="B936" s="1" t="s">
        <v>1879</v>
      </c>
      <c r="C936" s="1" t="s">
        <v>1880</v>
      </c>
      <c r="D936" s="1" t="s">
        <v>26</v>
      </c>
    </row>
    <row r="937" spans="1:4" ht="17" customHeight="1">
      <c r="A937" s="1">
        <v>9925</v>
      </c>
      <c r="B937" s="1" t="s">
        <v>1881</v>
      </c>
      <c r="C937" s="1" t="s">
        <v>1882</v>
      </c>
      <c r="D937" s="1" t="s">
        <v>26</v>
      </c>
    </row>
    <row r="938" spans="1:4" ht="17" customHeight="1">
      <c r="A938" s="1">
        <v>9926</v>
      </c>
      <c r="B938" s="1" t="s">
        <v>1883</v>
      </c>
      <c r="C938" s="1" t="s">
        <v>1884</v>
      </c>
      <c r="D938" s="1" t="s">
        <v>26</v>
      </c>
    </row>
    <row r="939" spans="1:4" ht="17" customHeight="1">
      <c r="A939" s="1">
        <v>9927</v>
      </c>
      <c r="B939" s="1" t="s">
        <v>1885</v>
      </c>
      <c r="C939" s="1" t="s">
        <v>1886</v>
      </c>
      <c r="D939" s="1" t="s">
        <v>26</v>
      </c>
    </row>
    <row r="940" spans="1:4" ht="17" customHeight="1">
      <c r="A940" s="1">
        <v>9928</v>
      </c>
      <c r="B940" s="1" t="s">
        <v>1887</v>
      </c>
      <c r="C940" s="1" t="s">
        <v>1888</v>
      </c>
      <c r="D940" s="1" t="s">
        <v>26</v>
      </c>
    </row>
    <row r="941" spans="1:4" ht="17" customHeight="1">
      <c r="A941" s="1">
        <v>9929</v>
      </c>
      <c r="B941" s="1" t="s">
        <v>1889</v>
      </c>
      <c r="C941" s="1" t="s">
        <v>1890</v>
      </c>
      <c r="D941" s="1" t="s">
        <v>26</v>
      </c>
    </row>
    <row r="942" spans="1:4" ht="17" customHeight="1">
      <c r="A942" s="1">
        <v>9930</v>
      </c>
      <c r="B942" s="1" t="s">
        <v>1891</v>
      </c>
      <c r="C942" s="1" t="s">
        <v>1892</v>
      </c>
      <c r="D942" s="1" t="s">
        <v>26</v>
      </c>
    </row>
    <row r="943" spans="1:4" ht="17" customHeight="1">
      <c r="A943" s="1">
        <v>9931</v>
      </c>
      <c r="B943" s="1" t="s">
        <v>1893</v>
      </c>
      <c r="C943" s="1" t="s">
        <v>1894</v>
      </c>
      <c r="D943" s="1" t="s">
        <v>26</v>
      </c>
    </row>
    <row r="944" spans="1:4" ht="17" customHeight="1">
      <c r="A944" s="1">
        <v>9933</v>
      </c>
      <c r="B944" s="1" t="s">
        <v>1895</v>
      </c>
      <c r="C944" s="1" t="s">
        <v>1896</v>
      </c>
      <c r="D944" s="1" t="s">
        <v>26</v>
      </c>
    </row>
    <row r="945" spans="1:4" ht="17" customHeight="1">
      <c r="A945" s="1">
        <v>9934</v>
      </c>
      <c r="B945" s="1" t="s">
        <v>1897</v>
      </c>
      <c r="C945" s="1" t="s">
        <v>1898</v>
      </c>
      <c r="D945" s="1" t="s">
        <v>26</v>
      </c>
    </row>
    <row r="946" spans="1:4" ht="17" customHeight="1">
      <c r="A946" s="1">
        <v>9935</v>
      </c>
      <c r="B946" s="1" t="s">
        <v>1899</v>
      </c>
      <c r="C946" s="1" t="s">
        <v>1900</v>
      </c>
      <c r="D946" s="1" t="s">
        <v>26</v>
      </c>
    </row>
    <row r="947" spans="1:4" ht="17" customHeight="1">
      <c r="A947" s="1">
        <v>9937</v>
      </c>
      <c r="B947" s="1" t="s">
        <v>1901</v>
      </c>
      <c r="C947" s="1" t="s">
        <v>1902</v>
      </c>
      <c r="D947" s="1" t="s">
        <v>26</v>
      </c>
    </row>
    <row r="948" spans="1:4" ht="17" customHeight="1">
      <c r="A948" s="1">
        <v>9938</v>
      </c>
      <c r="B948" s="1" t="s">
        <v>1903</v>
      </c>
      <c r="C948" s="1" t="s">
        <v>1904</v>
      </c>
      <c r="D948" s="1" t="s">
        <v>26</v>
      </c>
    </row>
    <row r="949" spans="1:4" ht="17" customHeight="1">
      <c r="A949" s="1">
        <v>9939</v>
      </c>
      <c r="B949" s="1" t="s">
        <v>1905</v>
      </c>
      <c r="C949" s="1" t="s">
        <v>1906</v>
      </c>
      <c r="D949" s="1" t="s">
        <v>26</v>
      </c>
    </row>
    <row r="950" spans="1:4" ht="17" customHeight="1">
      <c r="A950" s="1">
        <v>9940</v>
      </c>
      <c r="B950" s="1" t="s">
        <v>1907</v>
      </c>
      <c r="C950" s="1" t="s">
        <v>1908</v>
      </c>
      <c r="D950" s="1" t="s">
        <v>26</v>
      </c>
    </row>
    <row r="951" spans="1:4" ht="17" customHeight="1">
      <c r="A951" s="1">
        <v>9941</v>
      </c>
      <c r="B951" s="1" t="s">
        <v>1909</v>
      </c>
      <c r="C951" s="1" t="s">
        <v>1910</v>
      </c>
      <c r="D951" s="1" t="s">
        <v>26</v>
      </c>
    </row>
    <row r="952" spans="1:4" ht="17" customHeight="1">
      <c r="A952" s="1">
        <v>9942</v>
      </c>
      <c r="B952" s="1" t="s">
        <v>1911</v>
      </c>
      <c r="C952" s="1" t="s">
        <v>1912</v>
      </c>
      <c r="D952" s="1" t="s">
        <v>26</v>
      </c>
    </row>
    <row r="953" spans="1:4" ht="17" customHeight="1">
      <c r="A953" s="1">
        <v>9943</v>
      </c>
      <c r="B953" s="1" t="s">
        <v>1913</v>
      </c>
      <c r="C953" s="1" t="s">
        <v>1914</v>
      </c>
      <c r="D953" s="1" t="s">
        <v>26</v>
      </c>
    </row>
    <row r="954" spans="1:4" ht="17" customHeight="1">
      <c r="A954" s="1">
        <v>9944</v>
      </c>
      <c r="B954" s="1" t="s">
        <v>1915</v>
      </c>
      <c r="C954" s="1" t="s">
        <v>1916</v>
      </c>
      <c r="D954" s="1" t="s">
        <v>26</v>
      </c>
    </row>
    <row r="955" spans="1:4" ht="17" customHeight="1">
      <c r="A955" s="1">
        <v>9945</v>
      </c>
      <c r="B955" s="1" t="s">
        <v>1917</v>
      </c>
      <c r="C955" s="1" t="s">
        <v>1918</v>
      </c>
      <c r="D955" s="1" t="s">
        <v>26</v>
      </c>
    </row>
    <row r="956" spans="1:4" ht="17" customHeight="1">
      <c r="A956" s="1">
        <v>9946</v>
      </c>
      <c r="B956" s="1" t="s">
        <v>1919</v>
      </c>
      <c r="C956" s="1" t="s">
        <v>1920</v>
      </c>
      <c r="D956" s="1" t="s">
        <v>26</v>
      </c>
    </row>
    <row r="957" spans="1:4" ht="17" customHeight="1">
      <c r="A957" s="1">
        <v>9955</v>
      </c>
      <c r="B957" s="1" t="s">
        <v>1921</v>
      </c>
      <c r="C957" s="1" t="s">
        <v>1922</v>
      </c>
      <c r="D957" s="1" t="s">
        <v>26</v>
      </c>
    </row>
    <row r="958" spans="1:4" ht="17" customHeight="1">
      <c r="A958" s="1">
        <v>9958</v>
      </c>
      <c r="B958" s="1" t="s">
        <v>1923</v>
      </c>
      <c r="C958" s="1" t="s">
        <v>1924</v>
      </c>
      <c r="D958" s="1" t="s">
        <v>26</v>
      </c>
    </row>
    <row r="959" spans="1:4" ht="17" customHeight="1">
      <c r="A959" s="1">
        <v>1240</v>
      </c>
      <c r="B959" s="1" t="s">
        <v>1926</v>
      </c>
      <c r="C959" s="1" t="s">
        <v>1927</v>
      </c>
      <c r="D959" s="1" t="s">
        <v>1925</v>
      </c>
    </row>
    <row r="960" spans="1:4" ht="17" customHeight="1">
      <c r="A960" s="1">
        <v>1258</v>
      </c>
      <c r="B960" s="1" t="s">
        <v>1928</v>
      </c>
      <c r="C960" s="1" t="s">
        <v>1929</v>
      </c>
      <c r="D960" s="1" t="s">
        <v>1925</v>
      </c>
    </row>
    <row r="961" spans="1:4" ht="17" customHeight="1">
      <c r="A961" s="1">
        <v>1259</v>
      </c>
      <c r="B961" s="1" t="s">
        <v>1930</v>
      </c>
      <c r="C961" s="1" t="s">
        <v>1931</v>
      </c>
      <c r="D961" s="1" t="s">
        <v>1925</v>
      </c>
    </row>
    <row r="962" spans="1:4" ht="17" customHeight="1">
      <c r="A962" s="1">
        <v>1264</v>
      </c>
      <c r="B962" s="1" t="s">
        <v>1932</v>
      </c>
      <c r="C962" s="1" t="s">
        <v>1933</v>
      </c>
      <c r="D962" s="1" t="s">
        <v>1925</v>
      </c>
    </row>
    <row r="963" spans="1:4" ht="17" customHeight="1">
      <c r="A963" s="1">
        <v>1268</v>
      </c>
      <c r="B963" s="1" t="s">
        <v>1934</v>
      </c>
      <c r="C963" s="1" t="s">
        <v>1935</v>
      </c>
      <c r="D963" s="1" t="s">
        <v>1925</v>
      </c>
    </row>
    <row r="964" spans="1:4" ht="17" customHeight="1">
      <c r="A964" s="1">
        <v>1333</v>
      </c>
      <c r="B964" s="1" t="s">
        <v>1936</v>
      </c>
      <c r="C964" s="1" t="s">
        <v>1937</v>
      </c>
      <c r="D964" s="1" t="s">
        <v>1925</v>
      </c>
    </row>
    <row r="965" spans="1:4" ht="17" customHeight="1">
      <c r="A965" s="1">
        <v>1336</v>
      </c>
      <c r="B965" s="1" t="s">
        <v>1938</v>
      </c>
      <c r="C965" s="1" t="s">
        <v>1939</v>
      </c>
      <c r="D965" s="1" t="s">
        <v>1925</v>
      </c>
    </row>
    <row r="966" spans="1:4" ht="17" customHeight="1">
      <c r="A966" s="1">
        <v>1565</v>
      </c>
      <c r="B966" s="1" t="s">
        <v>1940</v>
      </c>
      <c r="C966" s="1" t="s">
        <v>1941</v>
      </c>
      <c r="D966" s="1" t="s">
        <v>1925</v>
      </c>
    </row>
    <row r="967" spans="1:4" ht="17" customHeight="1">
      <c r="A967" s="1">
        <v>1569</v>
      </c>
      <c r="B967" s="1" t="s">
        <v>1942</v>
      </c>
      <c r="C967" s="1" t="s">
        <v>1943</v>
      </c>
      <c r="D967" s="1" t="s">
        <v>1925</v>
      </c>
    </row>
    <row r="968" spans="1:4" ht="17" customHeight="1">
      <c r="A968" s="1">
        <v>1570</v>
      </c>
      <c r="B968" s="1" t="s">
        <v>1944</v>
      </c>
      <c r="C968" s="1" t="s">
        <v>1945</v>
      </c>
      <c r="D968" s="1" t="s">
        <v>1925</v>
      </c>
    </row>
    <row r="969" spans="1:4" ht="17" customHeight="1">
      <c r="A969" s="1">
        <v>1580</v>
      </c>
      <c r="B969" s="1" t="s">
        <v>1946</v>
      </c>
      <c r="C969" s="1" t="s">
        <v>1947</v>
      </c>
      <c r="D969" s="1" t="s">
        <v>1925</v>
      </c>
    </row>
    <row r="970" spans="1:4" ht="17" customHeight="1">
      <c r="A970" s="1">
        <v>1584</v>
      </c>
      <c r="B970" s="1" t="s">
        <v>1948</v>
      </c>
      <c r="C970" s="1" t="s">
        <v>1949</v>
      </c>
      <c r="D970" s="1" t="s">
        <v>1925</v>
      </c>
    </row>
    <row r="971" spans="1:4" ht="17" customHeight="1">
      <c r="A971" s="1">
        <v>1586</v>
      </c>
      <c r="B971" s="1" t="s">
        <v>1950</v>
      </c>
      <c r="C971" s="1" t="s">
        <v>1951</v>
      </c>
      <c r="D971" s="1" t="s">
        <v>1925</v>
      </c>
    </row>
    <row r="972" spans="1:4" ht="17" customHeight="1">
      <c r="A972" s="1">
        <v>1591</v>
      </c>
      <c r="B972" s="1" t="s">
        <v>1952</v>
      </c>
      <c r="C972" s="1" t="s">
        <v>1953</v>
      </c>
      <c r="D972" s="1" t="s">
        <v>1925</v>
      </c>
    </row>
    <row r="973" spans="1:4" ht="17" customHeight="1">
      <c r="A973" s="1">
        <v>1593</v>
      </c>
      <c r="B973" s="1" t="s">
        <v>1954</v>
      </c>
      <c r="C973" s="1" t="s">
        <v>1955</v>
      </c>
      <c r="D973" s="1" t="s">
        <v>1925</v>
      </c>
    </row>
    <row r="974" spans="1:4" ht="17" customHeight="1">
      <c r="A974" s="1">
        <v>1595</v>
      </c>
      <c r="B974" s="1" t="s">
        <v>1956</v>
      </c>
      <c r="C974" s="1" t="s">
        <v>1957</v>
      </c>
      <c r="D974" s="1" t="s">
        <v>1925</v>
      </c>
    </row>
    <row r="975" spans="1:4" ht="17" customHeight="1">
      <c r="A975" s="1">
        <v>1597</v>
      </c>
      <c r="B975" s="1" t="s">
        <v>1958</v>
      </c>
      <c r="C975" s="1" t="s">
        <v>1959</v>
      </c>
      <c r="D975" s="1" t="s">
        <v>1925</v>
      </c>
    </row>
    <row r="976" spans="1:4" ht="17" customHeight="1">
      <c r="A976" s="1">
        <v>1599</v>
      </c>
      <c r="B976" s="1" t="s">
        <v>1960</v>
      </c>
      <c r="C976" s="1" t="s">
        <v>1961</v>
      </c>
      <c r="D976" s="1" t="s">
        <v>1925</v>
      </c>
    </row>
    <row r="977" spans="1:4" ht="17" customHeight="1">
      <c r="A977" s="1">
        <v>1742</v>
      </c>
      <c r="B977" s="1" t="s">
        <v>1962</v>
      </c>
      <c r="C977" s="1" t="s">
        <v>1963</v>
      </c>
      <c r="D977" s="1" t="s">
        <v>1925</v>
      </c>
    </row>
    <row r="978" spans="1:4" ht="17" customHeight="1">
      <c r="A978" s="1">
        <v>1752</v>
      </c>
      <c r="B978" s="1" t="s">
        <v>1964</v>
      </c>
      <c r="C978" s="1" t="s">
        <v>1965</v>
      </c>
      <c r="D978" s="1" t="s">
        <v>1925</v>
      </c>
    </row>
    <row r="979" spans="1:4" ht="17" customHeight="1">
      <c r="A979" s="1">
        <v>1777</v>
      </c>
      <c r="B979" s="1" t="s">
        <v>1966</v>
      </c>
      <c r="C979" s="1" t="s">
        <v>1967</v>
      </c>
      <c r="D979" s="1" t="s">
        <v>1925</v>
      </c>
    </row>
    <row r="980" spans="1:4" ht="17" customHeight="1">
      <c r="A980" s="1">
        <v>1781</v>
      </c>
      <c r="B980" s="1" t="s">
        <v>1968</v>
      </c>
      <c r="C980" s="1" t="s">
        <v>1969</v>
      </c>
      <c r="D980" s="1" t="s">
        <v>1925</v>
      </c>
    </row>
    <row r="981" spans="1:4" ht="17" customHeight="1">
      <c r="A981" s="1">
        <v>1784</v>
      </c>
      <c r="B981" s="1" t="s">
        <v>1970</v>
      </c>
      <c r="C981" s="1" t="s">
        <v>1971</v>
      </c>
      <c r="D981" s="1" t="s">
        <v>1925</v>
      </c>
    </row>
    <row r="982" spans="1:4" ht="17" customHeight="1">
      <c r="A982" s="1">
        <v>1785</v>
      </c>
      <c r="B982" s="1" t="s">
        <v>1972</v>
      </c>
      <c r="C982" s="1" t="s">
        <v>1973</v>
      </c>
      <c r="D982" s="1" t="s">
        <v>1925</v>
      </c>
    </row>
    <row r="983" spans="1:4" ht="17" customHeight="1">
      <c r="A983" s="1">
        <v>1788</v>
      </c>
      <c r="B983" s="1" t="s">
        <v>1974</v>
      </c>
      <c r="C983" s="1" t="s">
        <v>1975</v>
      </c>
      <c r="D983" s="1" t="s">
        <v>1925</v>
      </c>
    </row>
    <row r="984" spans="1:4" ht="17" customHeight="1">
      <c r="A984" s="1">
        <v>1796</v>
      </c>
      <c r="B984" s="1" t="s">
        <v>1976</v>
      </c>
      <c r="C984" s="1" t="s">
        <v>1977</v>
      </c>
      <c r="D984" s="1" t="s">
        <v>1925</v>
      </c>
    </row>
    <row r="985" spans="1:4" ht="17" customHeight="1">
      <c r="A985" s="1">
        <v>1799</v>
      </c>
      <c r="B985" s="1" t="s">
        <v>1978</v>
      </c>
      <c r="C985" s="1" t="s">
        <v>1979</v>
      </c>
      <c r="D985" s="1" t="s">
        <v>1925</v>
      </c>
    </row>
    <row r="986" spans="1:4" ht="17" customHeight="1">
      <c r="A986" s="1">
        <v>1813</v>
      </c>
      <c r="B986" s="1" t="s">
        <v>1980</v>
      </c>
      <c r="C986" s="1" t="s">
        <v>1981</v>
      </c>
      <c r="D986" s="1" t="s">
        <v>1925</v>
      </c>
    </row>
    <row r="987" spans="1:4" ht="17" customHeight="1">
      <c r="A987" s="1">
        <v>1815</v>
      </c>
      <c r="B987" s="1" t="s">
        <v>1982</v>
      </c>
      <c r="C987" s="1" t="s">
        <v>1983</v>
      </c>
      <c r="D987" s="1" t="s">
        <v>1925</v>
      </c>
    </row>
    <row r="988" spans="1:4" ht="17" customHeight="1">
      <c r="A988" s="1">
        <v>2035</v>
      </c>
      <c r="B988" s="1" t="s">
        <v>1984</v>
      </c>
      <c r="C988" s="1" t="s">
        <v>1985</v>
      </c>
      <c r="D988" s="1" t="s">
        <v>1925</v>
      </c>
    </row>
    <row r="989" spans="1:4" ht="17" customHeight="1">
      <c r="A989" s="1">
        <v>2061</v>
      </c>
      <c r="B989" s="1" t="s">
        <v>1986</v>
      </c>
      <c r="C989" s="1" t="s">
        <v>1987</v>
      </c>
      <c r="D989" s="1" t="s">
        <v>1925</v>
      </c>
    </row>
    <row r="990" spans="1:4" ht="17" customHeight="1">
      <c r="A990" s="1">
        <v>2063</v>
      </c>
      <c r="B990" s="1" t="s">
        <v>1988</v>
      </c>
      <c r="C990" s="1" t="s">
        <v>1989</v>
      </c>
      <c r="D990" s="1" t="s">
        <v>1925</v>
      </c>
    </row>
    <row r="991" spans="1:4" ht="17" customHeight="1">
      <c r="A991" s="1">
        <v>2064</v>
      </c>
      <c r="B991" s="1" t="s">
        <v>1990</v>
      </c>
      <c r="C991" s="1" t="s">
        <v>1991</v>
      </c>
      <c r="D991" s="1" t="s">
        <v>1925</v>
      </c>
    </row>
    <row r="992" spans="1:4" ht="17" customHeight="1">
      <c r="A992" s="1">
        <v>2065</v>
      </c>
      <c r="B992" s="1" t="s">
        <v>1992</v>
      </c>
      <c r="C992" s="1" t="s">
        <v>1993</v>
      </c>
      <c r="D992" s="1" t="s">
        <v>1925</v>
      </c>
    </row>
    <row r="993" spans="1:4" ht="17" customHeight="1">
      <c r="A993" s="1">
        <v>2066</v>
      </c>
      <c r="B993" s="1" t="s">
        <v>1994</v>
      </c>
      <c r="C993" s="1" t="s">
        <v>1995</v>
      </c>
      <c r="D993" s="1" t="s">
        <v>1925</v>
      </c>
    </row>
    <row r="994" spans="1:4" ht="17" customHeight="1">
      <c r="A994" s="1">
        <v>2067</v>
      </c>
      <c r="B994" s="1" t="s">
        <v>1996</v>
      </c>
      <c r="C994" s="1" t="s">
        <v>1997</v>
      </c>
      <c r="D994" s="1" t="s">
        <v>1925</v>
      </c>
    </row>
    <row r="995" spans="1:4" ht="17" customHeight="1">
      <c r="A995" s="1">
        <v>2070</v>
      </c>
      <c r="B995" s="1" t="s">
        <v>1998</v>
      </c>
      <c r="C995" s="1" t="s">
        <v>1999</v>
      </c>
      <c r="D995" s="1" t="s">
        <v>1925</v>
      </c>
    </row>
    <row r="996" spans="1:4" ht="17" customHeight="1">
      <c r="A996" s="1">
        <v>2221</v>
      </c>
      <c r="B996" s="1" t="s">
        <v>2000</v>
      </c>
      <c r="C996" s="1" t="s">
        <v>2001</v>
      </c>
      <c r="D996" s="1" t="s">
        <v>1925</v>
      </c>
    </row>
    <row r="997" spans="1:4" ht="17" customHeight="1">
      <c r="A997" s="1">
        <v>2230</v>
      </c>
      <c r="B997" s="1" t="s">
        <v>2002</v>
      </c>
      <c r="C997" s="1" t="s">
        <v>2003</v>
      </c>
      <c r="D997" s="1" t="s">
        <v>1925</v>
      </c>
    </row>
    <row r="998" spans="1:4" ht="17" customHeight="1">
      <c r="A998" s="1">
        <v>2235</v>
      </c>
      <c r="B998" s="1" t="s">
        <v>2004</v>
      </c>
      <c r="C998" s="1" t="s">
        <v>2005</v>
      </c>
      <c r="D998" s="1" t="s">
        <v>1925</v>
      </c>
    </row>
    <row r="999" spans="1:4" ht="17" customHeight="1">
      <c r="A999" s="1">
        <v>2596</v>
      </c>
      <c r="B999" s="1" t="s">
        <v>2006</v>
      </c>
      <c r="C999" s="1" t="s">
        <v>2007</v>
      </c>
      <c r="D999" s="1" t="s">
        <v>1925</v>
      </c>
    </row>
    <row r="1000" spans="1:4" ht="17" customHeight="1">
      <c r="A1000" s="1">
        <v>2640</v>
      </c>
      <c r="B1000" s="1" t="s">
        <v>2008</v>
      </c>
      <c r="C1000" s="1" t="s">
        <v>2009</v>
      </c>
      <c r="D1000" s="1" t="s">
        <v>1925</v>
      </c>
    </row>
    <row r="1001" spans="1:4" ht="17" customHeight="1">
      <c r="A1001" s="1">
        <v>2641</v>
      </c>
      <c r="B1001" s="1" t="s">
        <v>2010</v>
      </c>
      <c r="C1001" s="1" t="s">
        <v>2011</v>
      </c>
      <c r="D1001" s="1" t="s">
        <v>1925</v>
      </c>
    </row>
    <row r="1002" spans="1:4" ht="17" customHeight="1">
      <c r="A1002" s="1">
        <v>2643</v>
      </c>
      <c r="B1002" s="1" t="s">
        <v>2012</v>
      </c>
      <c r="C1002" s="1" t="s">
        <v>2013</v>
      </c>
      <c r="D1002" s="1" t="s">
        <v>1925</v>
      </c>
    </row>
    <row r="1003" spans="1:4" ht="17" customHeight="1">
      <c r="A1003" s="1">
        <v>2718</v>
      </c>
      <c r="B1003" s="1" t="s">
        <v>2014</v>
      </c>
      <c r="C1003" s="1" t="s">
        <v>2015</v>
      </c>
      <c r="D1003" s="1" t="s">
        <v>1925</v>
      </c>
    </row>
    <row r="1004" spans="1:4" ht="17" customHeight="1">
      <c r="A1004" s="1">
        <v>2719</v>
      </c>
      <c r="B1004" s="1" t="s">
        <v>2016</v>
      </c>
      <c r="C1004" s="1" t="s">
        <v>2017</v>
      </c>
      <c r="D1004" s="1" t="s">
        <v>1925</v>
      </c>
    </row>
    <row r="1005" spans="1:4" ht="17" customHeight="1">
      <c r="A1005" s="1">
        <v>2724</v>
      </c>
      <c r="B1005" s="1" t="s">
        <v>2018</v>
      </c>
      <c r="C1005" s="1" t="s">
        <v>2019</v>
      </c>
      <c r="D1005" s="1" t="s">
        <v>1925</v>
      </c>
    </row>
    <row r="1006" spans="1:4" ht="17" customHeight="1">
      <c r="A1006" s="1">
        <v>2726</v>
      </c>
      <c r="B1006" s="1" t="s">
        <v>2020</v>
      </c>
      <c r="C1006" s="1" t="s">
        <v>2021</v>
      </c>
      <c r="D1006" s="1" t="s">
        <v>1925</v>
      </c>
    </row>
    <row r="1007" spans="1:4" ht="17" customHeight="1">
      <c r="A1007" s="1">
        <v>2729</v>
      </c>
      <c r="B1007" s="1" t="s">
        <v>2022</v>
      </c>
      <c r="C1007" s="1" t="s">
        <v>2023</v>
      </c>
      <c r="D1007" s="1" t="s">
        <v>1925</v>
      </c>
    </row>
    <row r="1008" spans="1:4" ht="17" customHeight="1">
      <c r="A1008" s="1">
        <v>2732</v>
      </c>
      <c r="B1008" s="1" t="s">
        <v>2024</v>
      </c>
      <c r="C1008" s="1" t="s">
        <v>2025</v>
      </c>
      <c r="D1008" s="1" t="s">
        <v>1925</v>
      </c>
    </row>
    <row r="1009" spans="1:4" ht="17" customHeight="1">
      <c r="A1009" s="1">
        <v>2734</v>
      </c>
      <c r="B1009" s="1" t="s">
        <v>2026</v>
      </c>
      <c r="C1009" s="1" t="s">
        <v>2027</v>
      </c>
      <c r="D1009" s="1" t="s">
        <v>1925</v>
      </c>
    </row>
    <row r="1010" spans="1:4" ht="17" customHeight="1">
      <c r="A1010" s="1">
        <v>2736</v>
      </c>
      <c r="B1010" s="1" t="s">
        <v>2028</v>
      </c>
      <c r="C1010" s="1" t="s">
        <v>2029</v>
      </c>
      <c r="D1010" s="1" t="s">
        <v>1925</v>
      </c>
    </row>
    <row r="1011" spans="1:4" ht="17" customHeight="1">
      <c r="A1011" s="1">
        <v>2740</v>
      </c>
      <c r="B1011" s="1" t="s">
        <v>2030</v>
      </c>
      <c r="C1011" s="1" t="s">
        <v>2031</v>
      </c>
      <c r="D1011" s="1" t="s">
        <v>1925</v>
      </c>
    </row>
    <row r="1012" spans="1:4" ht="17" customHeight="1">
      <c r="A1012" s="1">
        <v>2743</v>
      </c>
      <c r="B1012" s="1" t="s">
        <v>2032</v>
      </c>
      <c r="C1012" s="1" t="s">
        <v>2033</v>
      </c>
      <c r="D1012" s="1" t="s">
        <v>1925</v>
      </c>
    </row>
    <row r="1013" spans="1:4" ht="17" customHeight="1">
      <c r="A1013" s="1">
        <v>2745</v>
      </c>
      <c r="B1013" s="1" t="s">
        <v>2034</v>
      </c>
      <c r="C1013" s="1" t="s">
        <v>2035</v>
      </c>
      <c r="D1013" s="1" t="s">
        <v>1925</v>
      </c>
    </row>
    <row r="1014" spans="1:4" ht="17" customHeight="1">
      <c r="A1014" s="1">
        <v>2752</v>
      </c>
      <c r="B1014" s="1" t="s">
        <v>2036</v>
      </c>
      <c r="C1014" s="1" t="s">
        <v>2037</v>
      </c>
      <c r="D1014" s="1" t="s">
        <v>1925</v>
      </c>
    </row>
    <row r="1015" spans="1:4" ht="17" customHeight="1">
      <c r="A1015" s="1">
        <v>2916</v>
      </c>
      <c r="B1015" s="1" t="s">
        <v>2038</v>
      </c>
      <c r="C1015" s="1" t="s">
        <v>2039</v>
      </c>
      <c r="D1015" s="1" t="s">
        <v>1925</v>
      </c>
    </row>
    <row r="1016" spans="1:4" ht="17" customHeight="1">
      <c r="A1016" s="1">
        <v>2924</v>
      </c>
      <c r="B1016" s="1" t="s">
        <v>2040</v>
      </c>
      <c r="C1016" s="1" t="s">
        <v>2041</v>
      </c>
      <c r="D1016" s="1" t="s">
        <v>1925</v>
      </c>
    </row>
    <row r="1017" spans="1:4" ht="17" customHeight="1">
      <c r="A1017" s="1">
        <v>2926</v>
      </c>
      <c r="B1017" s="1" t="s">
        <v>2042</v>
      </c>
      <c r="C1017" s="1" t="s">
        <v>2043</v>
      </c>
      <c r="D1017" s="1" t="s">
        <v>1925</v>
      </c>
    </row>
    <row r="1018" spans="1:4" ht="17" customHeight="1">
      <c r="A1018" s="1">
        <v>2928</v>
      </c>
      <c r="B1018" s="1" t="s">
        <v>2044</v>
      </c>
      <c r="C1018" s="1" t="s">
        <v>2045</v>
      </c>
      <c r="D1018" s="1" t="s">
        <v>1925</v>
      </c>
    </row>
    <row r="1019" spans="1:4" ht="17" customHeight="1">
      <c r="A1019" s="1">
        <v>2937</v>
      </c>
      <c r="B1019" s="1" t="s">
        <v>2046</v>
      </c>
      <c r="C1019" s="1" t="s">
        <v>2047</v>
      </c>
      <c r="D1019" s="1" t="s">
        <v>1925</v>
      </c>
    </row>
    <row r="1020" spans="1:4" ht="17" customHeight="1">
      <c r="A1020" s="1">
        <v>3064</v>
      </c>
      <c r="B1020" s="1" t="s">
        <v>2048</v>
      </c>
      <c r="C1020" s="1" t="s">
        <v>2049</v>
      </c>
      <c r="D1020" s="1" t="s">
        <v>1925</v>
      </c>
    </row>
    <row r="1021" spans="1:4" ht="17" customHeight="1">
      <c r="A1021" s="1">
        <v>3066</v>
      </c>
      <c r="B1021" s="1" t="s">
        <v>2050</v>
      </c>
      <c r="C1021" s="1" t="s">
        <v>2051</v>
      </c>
      <c r="D1021" s="1" t="s">
        <v>1925</v>
      </c>
    </row>
    <row r="1022" spans="1:4" ht="17" customHeight="1">
      <c r="A1022" s="1">
        <v>3067</v>
      </c>
      <c r="B1022" s="1" t="s">
        <v>2052</v>
      </c>
      <c r="C1022" s="1" t="s">
        <v>2053</v>
      </c>
      <c r="D1022" s="1" t="s">
        <v>1925</v>
      </c>
    </row>
    <row r="1023" spans="1:4" ht="17" customHeight="1">
      <c r="A1023" s="1">
        <v>3071</v>
      </c>
      <c r="B1023" s="1" t="s">
        <v>2054</v>
      </c>
      <c r="C1023" s="1" t="s">
        <v>2055</v>
      </c>
      <c r="D1023" s="1" t="s">
        <v>1925</v>
      </c>
    </row>
    <row r="1024" spans="1:4" ht="17" customHeight="1">
      <c r="A1024" s="1">
        <v>3073</v>
      </c>
      <c r="B1024" s="1" t="s">
        <v>2056</v>
      </c>
      <c r="C1024" s="1" t="s">
        <v>2057</v>
      </c>
      <c r="D1024" s="1" t="s">
        <v>1925</v>
      </c>
    </row>
    <row r="1025" spans="1:4" ht="17" customHeight="1">
      <c r="A1025" s="1">
        <v>3078</v>
      </c>
      <c r="B1025" s="1" t="s">
        <v>2058</v>
      </c>
      <c r="C1025" s="1" t="s">
        <v>2059</v>
      </c>
      <c r="D1025" s="1" t="s">
        <v>1925</v>
      </c>
    </row>
    <row r="1026" spans="1:4" ht="17" customHeight="1">
      <c r="A1026" s="1">
        <v>3081</v>
      </c>
      <c r="B1026" s="1" t="s">
        <v>2060</v>
      </c>
      <c r="C1026" s="1" t="s">
        <v>2061</v>
      </c>
      <c r="D1026" s="1" t="s">
        <v>1925</v>
      </c>
    </row>
    <row r="1027" spans="1:4" ht="17" customHeight="1">
      <c r="A1027" s="1">
        <v>3083</v>
      </c>
      <c r="B1027" s="1" t="s">
        <v>2062</v>
      </c>
      <c r="C1027" s="1" t="s">
        <v>2063</v>
      </c>
      <c r="D1027" s="1" t="s">
        <v>1925</v>
      </c>
    </row>
    <row r="1028" spans="1:4" ht="17" customHeight="1">
      <c r="A1028" s="1">
        <v>3085</v>
      </c>
      <c r="B1028" s="1" t="s">
        <v>2064</v>
      </c>
      <c r="C1028" s="1" t="s">
        <v>2065</v>
      </c>
      <c r="D1028" s="1" t="s">
        <v>1925</v>
      </c>
    </row>
    <row r="1029" spans="1:4" ht="17" customHeight="1">
      <c r="A1029" s="1">
        <v>3086</v>
      </c>
      <c r="B1029" s="1" t="s">
        <v>2066</v>
      </c>
      <c r="C1029" s="1" t="s">
        <v>2067</v>
      </c>
      <c r="D1029" s="1" t="s">
        <v>1925</v>
      </c>
    </row>
    <row r="1030" spans="1:4" ht="17" customHeight="1">
      <c r="A1030" s="1">
        <v>3088</v>
      </c>
      <c r="B1030" s="1" t="s">
        <v>2068</v>
      </c>
      <c r="C1030" s="1" t="s">
        <v>2069</v>
      </c>
      <c r="D1030" s="1" t="s">
        <v>1925</v>
      </c>
    </row>
    <row r="1031" spans="1:4" ht="17" customHeight="1">
      <c r="A1031" s="1">
        <v>3089</v>
      </c>
      <c r="B1031" s="1" t="s">
        <v>2070</v>
      </c>
      <c r="C1031" s="1" t="s">
        <v>2071</v>
      </c>
      <c r="D1031" s="1" t="s">
        <v>1925</v>
      </c>
    </row>
    <row r="1032" spans="1:4" ht="17" customHeight="1">
      <c r="A1032" s="1">
        <v>3092</v>
      </c>
      <c r="B1032" s="1" t="s">
        <v>2072</v>
      </c>
      <c r="C1032" s="1" t="s">
        <v>2073</v>
      </c>
      <c r="D1032" s="1" t="s">
        <v>1925</v>
      </c>
    </row>
    <row r="1033" spans="1:4" ht="17" customHeight="1">
      <c r="A1033" s="1">
        <v>3093</v>
      </c>
      <c r="B1033" s="1" t="s">
        <v>2074</v>
      </c>
      <c r="C1033" s="1" t="s">
        <v>2075</v>
      </c>
      <c r="D1033" s="1" t="s">
        <v>1925</v>
      </c>
    </row>
    <row r="1034" spans="1:4" ht="17" customHeight="1">
      <c r="A1034" s="1">
        <v>3095</v>
      </c>
      <c r="B1034" s="1" t="s">
        <v>2076</v>
      </c>
      <c r="C1034" s="1" t="s">
        <v>2077</v>
      </c>
      <c r="D1034" s="1" t="s">
        <v>1925</v>
      </c>
    </row>
    <row r="1035" spans="1:4" ht="17" customHeight="1">
      <c r="A1035" s="1">
        <v>3105</v>
      </c>
      <c r="B1035" s="1" t="s">
        <v>2078</v>
      </c>
      <c r="C1035" s="1" t="s">
        <v>2079</v>
      </c>
      <c r="D1035" s="1" t="s">
        <v>1925</v>
      </c>
    </row>
    <row r="1036" spans="1:4" ht="17" customHeight="1">
      <c r="A1036" s="1">
        <v>3114</v>
      </c>
      <c r="B1036" s="1" t="s">
        <v>2080</v>
      </c>
      <c r="C1036" s="1" t="s">
        <v>2081</v>
      </c>
      <c r="D1036" s="1" t="s">
        <v>1925</v>
      </c>
    </row>
    <row r="1037" spans="1:4" ht="17" customHeight="1">
      <c r="A1037" s="1">
        <v>3115</v>
      </c>
      <c r="B1037" s="1" t="s">
        <v>2082</v>
      </c>
      <c r="C1037" s="1" t="s">
        <v>2083</v>
      </c>
      <c r="D1037" s="1" t="s">
        <v>1925</v>
      </c>
    </row>
    <row r="1038" spans="1:4" ht="17" customHeight="1">
      <c r="A1038" s="1">
        <v>3118</v>
      </c>
      <c r="B1038" s="1" t="s">
        <v>2084</v>
      </c>
      <c r="C1038" s="1" t="s">
        <v>2085</v>
      </c>
      <c r="D1038" s="1" t="s">
        <v>1925</v>
      </c>
    </row>
    <row r="1039" spans="1:4" ht="17" customHeight="1">
      <c r="A1039" s="1">
        <v>3122</v>
      </c>
      <c r="B1039" s="1" t="s">
        <v>2086</v>
      </c>
      <c r="C1039" s="1" t="s">
        <v>2087</v>
      </c>
      <c r="D1039" s="1" t="s">
        <v>1925</v>
      </c>
    </row>
    <row r="1040" spans="1:4" ht="17" customHeight="1">
      <c r="A1040" s="1">
        <v>3128</v>
      </c>
      <c r="B1040" s="1" t="s">
        <v>2088</v>
      </c>
      <c r="C1040" s="1" t="s">
        <v>2089</v>
      </c>
      <c r="D1040" s="1" t="s">
        <v>1925</v>
      </c>
    </row>
    <row r="1041" spans="1:4" ht="17" customHeight="1">
      <c r="A1041" s="1">
        <v>3131</v>
      </c>
      <c r="B1041" s="1" t="s">
        <v>2090</v>
      </c>
      <c r="C1041" s="1" t="s">
        <v>2091</v>
      </c>
      <c r="D1041" s="1" t="s">
        <v>1925</v>
      </c>
    </row>
    <row r="1042" spans="1:4" ht="17" customHeight="1">
      <c r="A1042" s="1">
        <v>3141</v>
      </c>
      <c r="B1042" s="1" t="s">
        <v>2092</v>
      </c>
      <c r="C1042" s="1" t="s">
        <v>2093</v>
      </c>
      <c r="D1042" s="1" t="s">
        <v>1925</v>
      </c>
    </row>
    <row r="1043" spans="1:4" ht="17" customHeight="1">
      <c r="A1043" s="1">
        <v>3144</v>
      </c>
      <c r="B1043" s="1" t="s">
        <v>2094</v>
      </c>
      <c r="C1043" s="1" t="s">
        <v>2095</v>
      </c>
      <c r="D1043" s="1" t="s">
        <v>1925</v>
      </c>
    </row>
    <row r="1044" spans="1:4" ht="17" customHeight="1">
      <c r="A1044" s="1">
        <v>3147</v>
      </c>
      <c r="B1044" s="1" t="s">
        <v>2096</v>
      </c>
      <c r="C1044" s="1" t="s">
        <v>2097</v>
      </c>
      <c r="D1044" s="1" t="s">
        <v>1925</v>
      </c>
    </row>
    <row r="1045" spans="1:4" ht="17" customHeight="1">
      <c r="A1045" s="1">
        <v>3152</v>
      </c>
      <c r="B1045" s="1" t="s">
        <v>2098</v>
      </c>
      <c r="C1045" s="1" t="s">
        <v>2099</v>
      </c>
      <c r="D1045" s="1" t="s">
        <v>1925</v>
      </c>
    </row>
    <row r="1046" spans="1:4" ht="17" customHeight="1">
      <c r="A1046" s="1">
        <v>3162</v>
      </c>
      <c r="B1046" s="1" t="s">
        <v>2100</v>
      </c>
      <c r="C1046" s="1" t="s">
        <v>2101</v>
      </c>
      <c r="D1046" s="1" t="s">
        <v>1925</v>
      </c>
    </row>
    <row r="1047" spans="1:4" ht="17" customHeight="1">
      <c r="A1047" s="1">
        <v>3163</v>
      </c>
      <c r="B1047" s="1" t="s">
        <v>2102</v>
      </c>
      <c r="C1047" s="1" t="s">
        <v>2103</v>
      </c>
      <c r="D1047" s="1" t="s">
        <v>1925</v>
      </c>
    </row>
    <row r="1048" spans="1:4" ht="17" customHeight="1">
      <c r="A1048" s="1">
        <v>3169</v>
      </c>
      <c r="B1048" s="1" t="s">
        <v>2104</v>
      </c>
      <c r="C1048" s="1" t="s">
        <v>2105</v>
      </c>
      <c r="D1048" s="1" t="s">
        <v>1925</v>
      </c>
    </row>
    <row r="1049" spans="1:4" ht="17" customHeight="1">
      <c r="A1049" s="1">
        <v>3171</v>
      </c>
      <c r="B1049" s="1" t="s">
        <v>2106</v>
      </c>
      <c r="C1049" s="1" t="s">
        <v>2107</v>
      </c>
      <c r="D1049" s="1" t="s">
        <v>1925</v>
      </c>
    </row>
    <row r="1050" spans="1:4" ht="17" customHeight="1">
      <c r="A1050" s="1">
        <v>3176</v>
      </c>
      <c r="B1050" s="1" t="s">
        <v>2108</v>
      </c>
      <c r="C1050" s="1" t="s">
        <v>2109</v>
      </c>
      <c r="D1050" s="1" t="s">
        <v>1925</v>
      </c>
    </row>
    <row r="1051" spans="1:4" ht="17" customHeight="1">
      <c r="A1051" s="1">
        <v>3178</v>
      </c>
      <c r="B1051" s="1" t="s">
        <v>2110</v>
      </c>
      <c r="C1051" s="1" t="s">
        <v>2111</v>
      </c>
      <c r="D1051" s="1" t="s">
        <v>1925</v>
      </c>
    </row>
    <row r="1052" spans="1:4" ht="17" customHeight="1">
      <c r="A1052" s="1">
        <v>3188</v>
      </c>
      <c r="B1052" s="1" t="s">
        <v>2112</v>
      </c>
      <c r="C1052" s="1" t="s">
        <v>2113</v>
      </c>
      <c r="D1052" s="1" t="s">
        <v>1925</v>
      </c>
    </row>
    <row r="1053" spans="1:4" ht="17" customHeight="1">
      <c r="A1053" s="1">
        <v>3191</v>
      </c>
      <c r="B1053" s="1" t="s">
        <v>2114</v>
      </c>
      <c r="C1053" s="1" t="s">
        <v>2115</v>
      </c>
      <c r="D1053" s="1" t="s">
        <v>1925</v>
      </c>
    </row>
    <row r="1054" spans="1:4" ht="17" customHeight="1">
      <c r="A1054" s="1">
        <v>3202</v>
      </c>
      <c r="B1054" s="1" t="s">
        <v>2116</v>
      </c>
      <c r="C1054" s="1" t="s">
        <v>2117</v>
      </c>
      <c r="D1054" s="1" t="s">
        <v>1925</v>
      </c>
    </row>
    <row r="1055" spans="1:4" ht="17" customHeight="1">
      <c r="A1055" s="1">
        <v>3205</v>
      </c>
      <c r="B1055" s="1" t="s">
        <v>2118</v>
      </c>
      <c r="C1055" s="1" t="s">
        <v>2119</v>
      </c>
      <c r="D1055" s="1" t="s">
        <v>1925</v>
      </c>
    </row>
    <row r="1056" spans="1:4" ht="17" customHeight="1">
      <c r="A1056" s="1">
        <v>3206</v>
      </c>
      <c r="B1056" s="1" t="s">
        <v>2120</v>
      </c>
      <c r="C1056" s="1" t="s">
        <v>2121</v>
      </c>
      <c r="D1056" s="1" t="s">
        <v>1925</v>
      </c>
    </row>
    <row r="1057" spans="1:4" ht="17" customHeight="1">
      <c r="A1057" s="1">
        <v>3207</v>
      </c>
      <c r="B1057" s="1" t="s">
        <v>2122</v>
      </c>
      <c r="C1057" s="1" t="s">
        <v>2123</v>
      </c>
      <c r="D1057" s="1" t="s">
        <v>1925</v>
      </c>
    </row>
    <row r="1058" spans="1:4" ht="17" customHeight="1">
      <c r="A1058" s="1">
        <v>3211</v>
      </c>
      <c r="B1058" s="1" t="s">
        <v>2124</v>
      </c>
      <c r="C1058" s="1" t="s">
        <v>2125</v>
      </c>
      <c r="D1058" s="1" t="s">
        <v>1925</v>
      </c>
    </row>
    <row r="1059" spans="1:4" ht="17" customHeight="1">
      <c r="A1059" s="1">
        <v>3213</v>
      </c>
      <c r="B1059" s="1" t="s">
        <v>2126</v>
      </c>
      <c r="C1059" s="1" t="s">
        <v>2127</v>
      </c>
      <c r="D1059" s="1" t="s">
        <v>1925</v>
      </c>
    </row>
    <row r="1060" spans="1:4" ht="17" customHeight="1">
      <c r="A1060" s="1">
        <v>3217</v>
      </c>
      <c r="B1060" s="1" t="s">
        <v>2128</v>
      </c>
      <c r="C1060" s="1" t="s">
        <v>2129</v>
      </c>
      <c r="D1060" s="1" t="s">
        <v>1925</v>
      </c>
    </row>
    <row r="1061" spans="1:4" ht="17" customHeight="1">
      <c r="A1061" s="1">
        <v>3218</v>
      </c>
      <c r="B1061" s="1" t="s">
        <v>2130</v>
      </c>
      <c r="C1061" s="1" t="s">
        <v>2131</v>
      </c>
      <c r="D1061" s="1" t="s">
        <v>1925</v>
      </c>
    </row>
    <row r="1062" spans="1:4" ht="17" customHeight="1">
      <c r="A1062" s="1">
        <v>3219</v>
      </c>
      <c r="B1062" s="1" t="s">
        <v>2132</v>
      </c>
      <c r="C1062" s="1" t="s">
        <v>2133</v>
      </c>
      <c r="D1062" s="1" t="s">
        <v>1925</v>
      </c>
    </row>
    <row r="1063" spans="1:4" ht="17" customHeight="1">
      <c r="A1063" s="1">
        <v>3221</v>
      </c>
      <c r="B1063" s="1" t="s">
        <v>2134</v>
      </c>
      <c r="C1063" s="1" t="s">
        <v>2135</v>
      </c>
      <c r="D1063" s="1" t="s">
        <v>1925</v>
      </c>
    </row>
    <row r="1064" spans="1:4" ht="17" customHeight="1">
      <c r="A1064" s="1">
        <v>3224</v>
      </c>
      <c r="B1064" s="1" t="s">
        <v>2136</v>
      </c>
      <c r="C1064" s="1" t="s">
        <v>2137</v>
      </c>
      <c r="D1064" s="1" t="s">
        <v>1925</v>
      </c>
    </row>
    <row r="1065" spans="1:4" ht="17" customHeight="1">
      <c r="A1065" s="1">
        <v>3226</v>
      </c>
      <c r="B1065" s="1" t="s">
        <v>2138</v>
      </c>
      <c r="C1065" s="1" t="s">
        <v>2139</v>
      </c>
      <c r="D1065" s="1" t="s">
        <v>1925</v>
      </c>
    </row>
    <row r="1066" spans="1:4" ht="17" customHeight="1">
      <c r="A1066" s="1">
        <v>3227</v>
      </c>
      <c r="B1066" s="1" t="s">
        <v>2140</v>
      </c>
      <c r="C1066" s="1" t="s">
        <v>2141</v>
      </c>
      <c r="D1066" s="1" t="s">
        <v>1925</v>
      </c>
    </row>
    <row r="1067" spans="1:4" ht="17" customHeight="1">
      <c r="A1067" s="1">
        <v>3228</v>
      </c>
      <c r="B1067" s="1" t="s">
        <v>2142</v>
      </c>
      <c r="C1067" s="1" t="s">
        <v>2143</v>
      </c>
      <c r="D1067" s="1" t="s">
        <v>1925</v>
      </c>
    </row>
    <row r="1068" spans="1:4" ht="17" customHeight="1">
      <c r="A1068" s="1">
        <v>3230</v>
      </c>
      <c r="B1068" s="1" t="s">
        <v>2144</v>
      </c>
      <c r="C1068" s="1" t="s">
        <v>2145</v>
      </c>
      <c r="D1068" s="1" t="s">
        <v>1925</v>
      </c>
    </row>
    <row r="1069" spans="1:4" ht="17" customHeight="1">
      <c r="A1069" s="1">
        <v>3232</v>
      </c>
      <c r="B1069" s="1" t="s">
        <v>2146</v>
      </c>
      <c r="C1069" s="1" t="s">
        <v>2147</v>
      </c>
      <c r="D1069" s="1" t="s">
        <v>1925</v>
      </c>
    </row>
    <row r="1070" spans="1:4" ht="17" customHeight="1">
      <c r="A1070" s="1">
        <v>3234</v>
      </c>
      <c r="B1070" s="1" t="s">
        <v>2148</v>
      </c>
      <c r="C1070" s="1" t="s">
        <v>2149</v>
      </c>
      <c r="D1070" s="1" t="s">
        <v>1925</v>
      </c>
    </row>
    <row r="1071" spans="1:4" ht="17" customHeight="1">
      <c r="A1071" s="1">
        <v>3236</v>
      </c>
      <c r="B1071" s="1" t="s">
        <v>2150</v>
      </c>
      <c r="C1071" s="1" t="s">
        <v>2151</v>
      </c>
      <c r="D1071" s="1" t="s">
        <v>1925</v>
      </c>
    </row>
    <row r="1072" spans="1:4" ht="17" customHeight="1">
      <c r="A1072" s="1">
        <v>3252</v>
      </c>
      <c r="B1072" s="1" t="s">
        <v>2152</v>
      </c>
      <c r="C1072" s="1" t="s">
        <v>2153</v>
      </c>
      <c r="D1072" s="1" t="s">
        <v>1925</v>
      </c>
    </row>
    <row r="1073" spans="1:4" ht="17" customHeight="1">
      <c r="A1073" s="1">
        <v>3259</v>
      </c>
      <c r="B1073" s="1" t="s">
        <v>2154</v>
      </c>
      <c r="C1073" s="1" t="s">
        <v>2155</v>
      </c>
      <c r="D1073" s="1" t="s">
        <v>1925</v>
      </c>
    </row>
    <row r="1074" spans="1:4" ht="17" customHeight="1">
      <c r="A1074" s="1">
        <v>3260</v>
      </c>
      <c r="B1074" s="1" t="s">
        <v>2156</v>
      </c>
      <c r="C1074" s="1" t="s">
        <v>2157</v>
      </c>
      <c r="D1074" s="1" t="s">
        <v>1925</v>
      </c>
    </row>
    <row r="1075" spans="1:4" ht="17" customHeight="1">
      <c r="A1075" s="1">
        <v>3264</v>
      </c>
      <c r="B1075" s="1" t="s">
        <v>2158</v>
      </c>
      <c r="C1075" s="1" t="s">
        <v>2159</v>
      </c>
      <c r="D1075" s="1" t="s">
        <v>1925</v>
      </c>
    </row>
    <row r="1076" spans="1:4" ht="17" customHeight="1">
      <c r="A1076" s="1">
        <v>3265</v>
      </c>
      <c r="B1076" s="1" t="s">
        <v>2160</v>
      </c>
      <c r="C1076" s="1" t="s">
        <v>2161</v>
      </c>
      <c r="D1076" s="1" t="s">
        <v>1925</v>
      </c>
    </row>
    <row r="1077" spans="1:4" ht="17" customHeight="1">
      <c r="A1077" s="1">
        <v>3268</v>
      </c>
      <c r="B1077" s="1" t="s">
        <v>2162</v>
      </c>
      <c r="C1077" s="1" t="s">
        <v>2163</v>
      </c>
      <c r="D1077" s="1" t="s">
        <v>1925</v>
      </c>
    </row>
    <row r="1078" spans="1:4" ht="17" customHeight="1">
      <c r="A1078" s="1">
        <v>3272</v>
      </c>
      <c r="B1078" s="1" t="s">
        <v>2164</v>
      </c>
      <c r="C1078" s="1" t="s">
        <v>2165</v>
      </c>
      <c r="D1078" s="1" t="s">
        <v>1925</v>
      </c>
    </row>
    <row r="1079" spans="1:4" ht="17" customHeight="1">
      <c r="A1079" s="1">
        <v>3276</v>
      </c>
      <c r="B1079" s="1" t="s">
        <v>2166</v>
      </c>
      <c r="C1079" s="1" t="s">
        <v>2167</v>
      </c>
      <c r="D1079" s="1" t="s">
        <v>1925</v>
      </c>
    </row>
    <row r="1080" spans="1:4" ht="17" customHeight="1">
      <c r="A1080" s="1">
        <v>3284</v>
      </c>
      <c r="B1080" s="1" t="s">
        <v>2168</v>
      </c>
      <c r="C1080" s="1" t="s">
        <v>2169</v>
      </c>
      <c r="D1080" s="1" t="s">
        <v>1925</v>
      </c>
    </row>
    <row r="1081" spans="1:4" ht="17" customHeight="1">
      <c r="A1081" s="1">
        <v>3285</v>
      </c>
      <c r="B1081" s="1" t="s">
        <v>2170</v>
      </c>
      <c r="C1081" s="1" t="s">
        <v>2171</v>
      </c>
      <c r="D1081" s="1" t="s">
        <v>1925</v>
      </c>
    </row>
    <row r="1082" spans="1:4" ht="17" customHeight="1">
      <c r="A1082" s="1">
        <v>3287</v>
      </c>
      <c r="B1082" s="1" t="s">
        <v>2172</v>
      </c>
      <c r="C1082" s="1" t="s">
        <v>2173</v>
      </c>
      <c r="D1082" s="1" t="s">
        <v>1925</v>
      </c>
    </row>
    <row r="1083" spans="1:4" ht="17" customHeight="1">
      <c r="A1083" s="1">
        <v>3288</v>
      </c>
      <c r="B1083" s="1" t="s">
        <v>2174</v>
      </c>
      <c r="C1083" s="1" t="s">
        <v>2175</v>
      </c>
      <c r="D1083" s="1" t="s">
        <v>1925</v>
      </c>
    </row>
    <row r="1084" spans="1:4" ht="17" customHeight="1">
      <c r="A1084" s="1">
        <v>3289</v>
      </c>
      <c r="B1084" s="1" t="s">
        <v>2176</v>
      </c>
      <c r="C1084" s="1" t="s">
        <v>2177</v>
      </c>
      <c r="D1084" s="1" t="s">
        <v>1925</v>
      </c>
    </row>
    <row r="1085" spans="1:4" ht="17" customHeight="1">
      <c r="A1085" s="1">
        <v>3290</v>
      </c>
      <c r="B1085" s="1" t="s">
        <v>2178</v>
      </c>
      <c r="C1085" s="1" t="s">
        <v>2179</v>
      </c>
      <c r="D1085" s="1" t="s">
        <v>1925</v>
      </c>
    </row>
    <row r="1086" spans="1:4" ht="17" customHeight="1">
      <c r="A1086" s="1">
        <v>3293</v>
      </c>
      <c r="B1086" s="1" t="s">
        <v>2180</v>
      </c>
      <c r="C1086" s="1" t="s">
        <v>2181</v>
      </c>
      <c r="D1086" s="1" t="s">
        <v>1925</v>
      </c>
    </row>
    <row r="1087" spans="1:4" ht="17" customHeight="1">
      <c r="A1087" s="1">
        <v>3294</v>
      </c>
      <c r="B1087" s="1" t="s">
        <v>2182</v>
      </c>
      <c r="C1087" s="1" t="s">
        <v>2183</v>
      </c>
      <c r="D1087" s="1" t="s">
        <v>1925</v>
      </c>
    </row>
    <row r="1088" spans="1:4" ht="17" customHeight="1">
      <c r="A1088" s="1">
        <v>3297</v>
      </c>
      <c r="B1088" s="1" t="s">
        <v>2184</v>
      </c>
      <c r="C1088" s="1" t="s">
        <v>2185</v>
      </c>
      <c r="D1088" s="1" t="s">
        <v>1925</v>
      </c>
    </row>
    <row r="1089" spans="1:4" ht="17" customHeight="1">
      <c r="A1089" s="1">
        <v>3303</v>
      </c>
      <c r="B1089" s="1" t="s">
        <v>2186</v>
      </c>
      <c r="C1089" s="1" t="s">
        <v>2187</v>
      </c>
      <c r="D1089" s="1" t="s">
        <v>1925</v>
      </c>
    </row>
    <row r="1090" spans="1:4" ht="17" customHeight="1">
      <c r="A1090" s="1">
        <v>3306</v>
      </c>
      <c r="B1090" s="1" t="s">
        <v>2188</v>
      </c>
      <c r="C1090" s="1" t="s">
        <v>2189</v>
      </c>
      <c r="D1090" s="1" t="s">
        <v>1925</v>
      </c>
    </row>
    <row r="1091" spans="1:4" ht="17" customHeight="1">
      <c r="A1091" s="1">
        <v>3310</v>
      </c>
      <c r="B1091" s="1" t="s">
        <v>2190</v>
      </c>
      <c r="C1091" s="1" t="s">
        <v>2191</v>
      </c>
      <c r="D1091" s="1" t="s">
        <v>1925</v>
      </c>
    </row>
    <row r="1092" spans="1:4" ht="17" customHeight="1">
      <c r="A1092" s="1">
        <v>3313</v>
      </c>
      <c r="B1092" s="1" t="s">
        <v>2192</v>
      </c>
      <c r="C1092" s="1" t="s">
        <v>2193</v>
      </c>
      <c r="D1092" s="1" t="s">
        <v>1925</v>
      </c>
    </row>
    <row r="1093" spans="1:4" ht="17" customHeight="1">
      <c r="A1093" s="1">
        <v>3317</v>
      </c>
      <c r="B1093" s="1" t="s">
        <v>2194</v>
      </c>
      <c r="C1093" s="1" t="s">
        <v>2195</v>
      </c>
      <c r="D1093" s="1" t="s">
        <v>1925</v>
      </c>
    </row>
    <row r="1094" spans="1:4" ht="17" customHeight="1">
      <c r="A1094" s="1">
        <v>3322</v>
      </c>
      <c r="B1094" s="1" t="s">
        <v>2196</v>
      </c>
      <c r="C1094" s="1" t="s">
        <v>2197</v>
      </c>
      <c r="D1094" s="1" t="s">
        <v>1925</v>
      </c>
    </row>
    <row r="1095" spans="1:4" ht="17" customHeight="1">
      <c r="A1095" s="1">
        <v>3323</v>
      </c>
      <c r="B1095" s="1" t="s">
        <v>2198</v>
      </c>
      <c r="C1095" s="1" t="s">
        <v>2199</v>
      </c>
      <c r="D1095" s="1" t="s">
        <v>1925</v>
      </c>
    </row>
    <row r="1096" spans="1:4" ht="17" customHeight="1">
      <c r="A1096" s="1">
        <v>3324</v>
      </c>
      <c r="B1096" s="1" t="s">
        <v>2200</v>
      </c>
      <c r="C1096" s="1" t="s">
        <v>2201</v>
      </c>
      <c r="D1096" s="1" t="s">
        <v>1925</v>
      </c>
    </row>
    <row r="1097" spans="1:4" ht="17" customHeight="1">
      <c r="A1097" s="1">
        <v>3325</v>
      </c>
      <c r="B1097" s="1" t="s">
        <v>2202</v>
      </c>
      <c r="C1097" s="1" t="s">
        <v>2203</v>
      </c>
      <c r="D1097" s="1" t="s">
        <v>1925</v>
      </c>
    </row>
    <row r="1098" spans="1:4" ht="17" customHeight="1">
      <c r="A1098" s="1">
        <v>3332</v>
      </c>
      <c r="B1098" s="1" t="s">
        <v>2204</v>
      </c>
      <c r="C1098" s="1" t="s">
        <v>2205</v>
      </c>
      <c r="D1098" s="1" t="s">
        <v>1925</v>
      </c>
    </row>
    <row r="1099" spans="1:4" ht="17" customHeight="1">
      <c r="A1099" s="1">
        <v>3339</v>
      </c>
      <c r="B1099" s="1" t="s">
        <v>2206</v>
      </c>
      <c r="C1099" s="1" t="s">
        <v>2207</v>
      </c>
      <c r="D1099" s="1" t="s">
        <v>1925</v>
      </c>
    </row>
    <row r="1100" spans="1:4" ht="17" customHeight="1">
      <c r="A1100" s="1">
        <v>3354</v>
      </c>
      <c r="B1100" s="1" t="s">
        <v>2208</v>
      </c>
      <c r="C1100" s="1" t="s">
        <v>2209</v>
      </c>
      <c r="D1100" s="1" t="s">
        <v>1925</v>
      </c>
    </row>
    <row r="1101" spans="1:4" ht="17" customHeight="1">
      <c r="A1101" s="1">
        <v>3360</v>
      </c>
      <c r="B1101" s="1" t="s">
        <v>2210</v>
      </c>
      <c r="C1101" s="1" t="s">
        <v>2211</v>
      </c>
      <c r="D1101" s="1" t="s">
        <v>1925</v>
      </c>
    </row>
    <row r="1102" spans="1:4" ht="17" customHeight="1">
      <c r="A1102" s="1">
        <v>3362</v>
      </c>
      <c r="B1102" s="1" t="s">
        <v>2212</v>
      </c>
      <c r="C1102" s="1" t="s">
        <v>2213</v>
      </c>
      <c r="D1102" s="1" t="s">
        <v>1925</v>
      </c>
    </row>
    <row r="1103" spans="1:4" ht="17" customHeight="1">
      <c r="A1103" s="1">
        <v>3363</v>
      </c>
      <c r="B1103" s="1" t="s">
        <v>2214</v>
      </c>
      <c r="C1103" s="1" t="s">
        <v>2215</v>
      </c>
      <c r="D1103" s="1" t="s">
        <v>1925</v>
      </c>
    </row>
    <row r="1104" spans="1:4" ht="17" customHeight="1">
      <c r="A1104" s="1">
        <v>3372</v>
      </c>
      <c r="B1104" s="1" t="s">
        <v>2216</v>
      </c>
      <c r="C1104" s="1" t="s">
        <v>2217</v>
      </c>
      <c r="D1104" s="1" t="s">
        <v>1925</v>
      </c>
    </row>
    <row r="1105" spans="1:4" ht="17" customHeight="1">
      <c r="A1105" s="1">
        <v>3373</v>
      </c>
      <c r="B1105" s="1" t="s">
        <v>2218</v>
      </c>
      <c r="C1105" s="1" t="s">
        <v>2219</v>
      </c>
      <c r="D1105" s="1" t="s">
        <v>1925</v>
      </c>
    </row>
    <row r="1106" spans="1:4" ht="17" customHeight="1">
      <c r="A1106" s="1">
        <v>3374</v>
      </c>
      <c r="B1106" s="1" t="s">
        <v>2220</v>
      </c>
      <c r="C1106" s="1" t="s">
        <v>2221</v>
      </c>
      <c r="D1106" s="1" t="s">
        <v>1925</v>
      </c>
    </row>
    <row r="1107" spans="1:4" ht="17" customHeight="1">
      <c r="A1107" s="1">
        <v>3379</v>
      </c>
      <c r="B1107" s="1" t="s">
        <v>2222</v>
      </c>
      <c r="C1107" s="1" t="s">
        <v>2223</v>
      </c>
      <c r="D1107" s="1" t="s">
        <v>1925</v>
      </c>
    </row>
    <row r="1108" spans="1:4" ht="17" customHeight="1">
      <c r="A1108" s="1">
        <v>3388</v>
      </c>
      <c r="B1108" s="1" t="s">
        <v>2224</v>
      </c>
      <c r="C1108" s="1" t="s">
        <v>2225</v>
      </c>
      <c r="D1108" s="1" t="s">
        <v>1925</v>
      </c>
    </row>
    <row r="1109" spans="1:4" ht="17" customHeight="1">
      <c r="A1109" s="1">
        <v>3390</v>
      </c>
      <c r="B1109" s="1" t="s">
        <v>2226</v>
      </c>
      <c r="C1109" s="1" t="s">
        <v>2227</v>
      </c>
      <c r="D1109" s="1" t="s">
        <v>1925</v>
      </c>
    </row>
    <row r="1110" spans="1:4" ht="17" customHeight="1">
      <c r="A1110" s="1">
        <v>3402</v>
      </c>
      <c r="B1110" s="1" t="s">
        <v>2228</v>
      </c>
      <c r="C1110" s="1" t="s">
        <v>2229</v>
      </c>
      <c r="D1110" s="1" t="s">
        <v>1925</v>
      </c>
    </row>
    <row r="1111" spans="1:4" ht="17" customHeight="1">
      <c r="A1111" s="1">
        <v>3426</v>
      </c>
      <c r="B1111" s="1" t="s">
        <v>2230</v>
      </c>
      <c r="C1111" s="1" t="s">
        <v>2231</v>
      </c>
      <c r="D1111" s="1" t="s">
        <v>1925</v>
      </c>
    </row>
    <row r="1112" spans="1:4" ht="17" customHeight="1">
      <c r="A1112" s="1">
        <v>3434</v>
      </c>
      <c r="B1112" s="1" t="s">
        <v>2232</v>
      </c>
      <c r="C1112" s="1" t="s">
        <v>2233</v>
      </c>
      <c r="D1112" s="1" t="s">
        <v>1925</v>
      </c>
    </row>
    <row r="1113" spans="1:4" ht="17" customHeight="1">
      <c r="A1113" s="1">
        <v>3438</v>
      </c>
      <c r="B1113" s="1" t="s">
        <v>2234</v>
      </c>
      <c r="C1113" s="1" t="s">
        <v>2235</v>
      </c>
      <c r="D1113" s="1" t="s">
        <v>1925</v>
      </c>
    </row>
    <row r="1114" spans="1:4" ht="17" customHeight="1">
      <c r="A1114" s="1">
        <v>3441</v>
      </c>
      <c r="B1114" s="1" t="s">
        <v>2236</v>
      </c>
      <c r="C1114" s="1" t="s">
        <v>2237</v>
      </c>
      <c r="D1114" s="1" t="s">
        <v>1925</v>
      </c>
    </row>
    <row r="1115" spans="1:4" ht="17" customHeight="1">
      <c r="A1115" s="1">
        <v>3444</v>
      </c>
      <c r="B1115" s="1" t="s">
        <v>2238</v>
      </c>
      <c r="C1115" s="1" t="s">
        <v>2239</v>
      </c>
      <c r="D1115" s="1" t="s">
        <v>1925</v>
      </c>
    </row>
    <row r="1116" spans="1:4" ht="17" customHeight="1">
      <c r="A1116" s="1">
        <v>3455</v>
      </c>
      <c r="B1116" s="1" t="s">
        <v>2240</v>
      </c>
      <c r="C1116" s="1" t="s">
        <v>2241</v>
      </c>
      <c r="D1116" s="1" t="s">
        <v>1925</v>
      </c>
    </row>
    <row r="1117" spans="1:4" ht="17" customHeight="1">
      <c r="A1117" s="1">
        <v>3465</v>
      </c>
      <c r="B1117" s="1" t="s">
        <v>2242</v>
      </c>
      <c r="C1117" s="1" t="s">
        <v>2243</v>
      </c>
      <c r="D1117" s="1" t="s">
        <v>1925</v>
      </c>
    </row>
    <row r="1118" spans="1:4" ht="17" customHeight="1">
      <c r="A1118" s="1">
        <v>3466</v>
      </c>
      <c r="B1118" s="1" t="s">
        <v>2244</v>
      </c>
      <c r="C1118" s="1" t="s">
        <v>2245</v>
      </c>
      <c r="D1118" s="1" t="s">
        <v>1925</v>
      </c>
    </row>
    <row r="1119" spans="1:4" ht="17" customHeight="1">
      <c r="A1119" s="1">
        <v>3479</v>
      </c>
      <c r="B1119" s="1" t="s">
        <v>2246</v>
      </c>
      <c r="C1119" s="1" t="s">
        <v>2247</v>
      </c>
      <c r="D1119" s="1" t="s">
        <v>1925</v>
      </c>
    </row>
    <row r="1120" spans="1:4" ht="17" customHeight="1">
      <c r="A1120" s="1">
        <v>3483</v>
      </c>
      <c r="B1120" s="1" t="s">
        <v>2248</v>
      </c>
      <c r="C1120" s="1" t="s">
        <v>2249</v>
      </c>
      <c r="D1120" s="1" t="s">
        <v>1925</v>
      </c>
    </row>
    <row r="1121" spans="1:4" ht="17" customHeight="1">
      <c r="A1121" s="1">
        <v>3484</v>
      </c>
      <c r="B1121" s="1" t="s">
        <v>2250</v>
      </c>
      <c r="C1121" s="1" t="s">
        <v>2251</v>
      </c>
      <c r="D1121" s="1" t="s">
        <v>1925</v>
      </c>
    </row>
    <row r="1122" spans="1:4" ht="17" customHeight="1">
      <c r="A1122" s="1">
        <v>3489</v>
      </c>
      <c r="B1122" s="1" t="s">
        <v>2252</v>
      </c>
      <c r="C1122" s="1" t="s">
        <v>2253</v>
      </c>
      <c r="D1122" s="1" t="s">
        <v>1925</v>
      </c>
    </row>
    <row r="1123" spans="1:4" ht="17" customHeight="1">
      <c r="A1123" s="1">
        <v>3490</v>
      </c>
      <c r="B1123" s="1" t="s">
        <v>2254</v>
      </c>
      <c r="C1123" s="1" t="s">
        <v>2255</v>
      </c>
      <c r="D1123" s="1" t="s">
        <v>1925</v>
      </c>
    </row>
    <row r="1124" spans="1:4" ht="17" customHeight="1">
      <c r="A1124" s="1">
        <v>3491</v>
      </c>
      <c r="B1124" s="1" t="s">
        <v>2256</v>
      </c>
      <c r="C1124" s="1" t="s">
        <v>2257</v>
      </c>
      <c r="D1124" s="1" t="s">
        <v>1925</v>
      </c>
    </row>
    <row r="1125" spans="1:4" ht="17" customHeight="1">
      <c r="A1125" s="1">
        <v>3492</v>
      </c>
      <c r="B1125" s="1" t="s">
        <v>2258</v>
      </c>
      <c r="C1125" s="1" t="s">
        <v>2259</v>
      </c>
      <c r="D1125" s="1" t="s">
        <v>1925</v>
      </c>
    </row>
    <row r="1126" spans="1:4" ht="17" customHeight="1">
      <c r="A1126" s="1">
        <v>3498</v>
      </c>
      <c r="B1126" s="1" t="s">
        <v>2260</v>
      </c>
      <c r="C1126" s="1" t="s">
        <v>2261</v>
      </c>
      <c r="D1126" s="1" t="s">
        <v>1925</v>
      </c>
    </row>
    <row r="1127" spans="1:4" ht="17" customHeight="1">
      <c r="A1127" s="1">
        <v>3499</v>
      </c>
      <c r="B1127" s="1" t="s">
        <v>2262</v>
      </c>
      <c r="C1127" s="1" t="s">
        <v>2263</v>
      </c>
      <c r="D1127" s="1" t="s">
        <v>1925</v>
      </c>
    </row>
    <row r="1128" spans="1:4" ht="17" customHeight="1">
      <c r="A1128" s="1">
        <v>3508</v>
      </c>
      <c r="B1128" s="1" t="s">
        <v>2264</v>
      </c>
      <c r="C1128" s="1" t="s">
        <v>2265</v>
      </c>
      <c r="D1128" s="1" t="s">
        <v>1925</v>
      </c>
    </row>
    <row r="1129" spans="1:4" ht="17" customHeight="1">
      <c r="A1129" s="1">
        <v>3511</v>
      </c>
      <c r="B1129" s="1" t="s">
        <v>2266</v>
      </c>
      <c r="C1129" s="1" t="s">
        <v>2267</v>
      </c>
      <c r="D1129" s="1" t="s">
        <v>1925</v>
      </c>
    </row>
    <row r="1130" spans="1:4" ht="17" customHeight="1">
      <c r="A1130" s="1">
        <v>3512</v>
      </c>
      <c r="B1130" s="1" t="s">
        <v>2268</v>
      </c>
      <c r="C1130" s="1" t="s">
        <v>2269</v>
      </c>
      <c r="D1130" s="1" t="s">
        <v>1925</v>
      </c>
    </row>
    <row r="1131" spans="1:4" ht="17" customHeight="1">
      <c r="A1131" s="1">
        <v>3516</v>
      </c>
      <c r="B1131" s="1" t="s">
        <v>2270</v>
      </c>
      <c r="C1131" s="1" t="s">
        <v>2271</v>
      </c>
      <c r="D1131" s="1" t="s">
        <v>1925</v>
      </c>
    </row>
    <row r="1132" spans="1:4" ht="17" customHeight="1">
      <c r="A1132" s="1">
        <v>3520</v>
      </c>
      <c r="B1132" s="1" t="s">
        <v>2272</v>
      </c>
      <c r="C1132" s="1" t="s">
        <v>2273</v>
      </c>
      <c r="D1132" s="1" t="s">
        <v>1925</v>
      </c>
    </row>
    <row r="1133" spans="1:4" ht="17" customHeight="1">
      <c r="A1133" s="1">
        <v>3521</v>
      </c>
      <c r="B1133" s="1" t="s">
        <v>2274</v>
      </c>
      <c r="C1133" s="1" t="s">
        <v>2275</v>
      </c>
      <c r="D1133" s="1" t="s">
        <v>1925</v>
      </c>
    </row>
    <row r="1134" spans="1:4" ht="17" customHeight="1">
      <c r="A1134" s="1">
        <v>3522</v>
      </c>
      <c r="B1134" s="1" t="s">
        <v>2276</v>
      </c>
      <c r="C1134" s="1" t="s">
        <v>2277</v>
      </c>
      <c r="D1134" s="1" t="s">
        <v>1925</v>
      </c>
    </row>
    <row r="1135" spans="1:4" ht="17" customHeight="1">
      <c r="A1135" s="1">
        <v>3523</v>
      </c>
      <c r="B1135" s="1" t="s">
        <v>2278</v>
      </c>
      <c r="C1135" s="1" t="s">
        <v>2279</v>
      </c>
      <c r="D1135" s="1" t="s">
        <v>1925</v>
      </c>
    </row>
    <row r="1136" spans="1:4" ht="17" customHeight="1">
      <c r="A1136" s="1">
        <v>3526</v>
      </c>
      <c r="B1136" s="1" t="s">
        <v>2280</v>
      </c>
      <c r="C1136" s="1" t="s">
        <v>2281</v>
      </c>
      <c r="D1136" s="1" t="s">
        <v>1925</v>
      </c>
    </row>
    <row r="1137" spans="1:4" ht="17" customHeight="1">
      <c r="A1137" s="1">
        <v>3527</v>
      </c>
      <c r="B1137" s="1" t="s">
        <v>2282</v>
      </c>
      <c r="C1137" s="1" t="s">
        <v>2283</v>
      </c>
      <c r="D1137" s="1" t="s">
        <v>1925</v>
      </c>
    </row>
    <row r="1138" spans="1:4" ht="17" customHeight="1">
      <c r="A1138" s="1">
        <v>3529</v>
      </c>
      <c r="B1138" s="1" t="s">
        <v>2284</v>
      </c>
      <c r="C1138" s="1" t="s">
        <v>2285</v>
      </c>
      <c r="D1138" s="1" t="s">
        <v>1925</v>
      </c>
    </row>
    <row r="1139" spans="1:4" ht="17" customHeight="1">
      <c r="A1139" s="1">
        <v>3531</v>
      </c>
      <c r="B1139" s="1" t="s">
        <v>2286</v>
      </c>
      <c r="C1139" s="1" t="s">
        <v>2287</v>
      </c>
      <c r="D1139" s="1" t="s">
        <v>1925</v>
      </c>
    </row>
    <row r="1140" spans="1:4" ht="17" customHeight="1">
      <c r="A1140" s="1">
        <v>3537</v>
      </c>
      <c r="B1140" s="1" t="s">
        <v>2288</v>
      </c>
      <c r="C1140" s="1" t="s">
        <v>2289</v>
      </c>
      <c r="D1140" s="1" t="s">
        <v>1925</v>
      </c>
    </row>
    <row r="1141" spans="1:4" ht="17" customHeight="1">
      <c r="A1141" s="1">
        <v>3540</v>
      </c>
      <c r="B1141" s="1" t="s">
        <v>2290</v>
      </c>
      <c r="C1141" s="1" t="s">
        <v>2291</v>
      </c>
      <c r="D1141" s="1" t="s">
        <v>1925</v>
      </c>
    </row>
    <row r="1142" spans="1:4" ht="17" customHeight="1">
      <c r="A1142" s="1">
        <v>3541</v>
      </c>
      <c r="B1142" s="1" t="s">
        <v>2292</v>
      </c>
      <c r="C1142" s="1" t="s">
        <v>2293</v>
      </c>
      <c r="D1142" s="1" t="s">
        <v>1925</v>
      </c>
    </row>
    <row r="1143" spans="1:4" ht="17" customHeight="1">
      <c r="A1143" s="1">
        <v>3546</v>
      </c>
      <c r="B1143" s="1" t="s">
        <v>2294</v>
      </c>
      <c r="C1143" s="1" t="s">
        <v>2295</v>
      </c>
      <c r="D1143" s="1" t="s">
        <v>1925</v>
      </c>
    </row>
    <row r="1144" spans="1:4" ht="17" customHeight="1">
      <c r="A1144" s="1">
        <v>3548</v>
      </c>
      <c r="B1144" s="1" t="s">
        <v>2296</v>
      </c>
      <c r="C1144" s="1" t="s">
        <v>2297</v>
      </c>
      <c r="D1144" s="1" t="s">
        <v>1925</v>
      </c>
    </row>
    <row r="1145" spans="1:4" ht="17" customHeight="1">
      <c r="A1145" s="1">
        <v>3551</v>
      </c>
      <c r="B1145" s="1" t="s">
        <v>2298</v>
      </c>
      <c r="C1145" s="1" t="s">
        <v>2299</v>
      </c>
      <c r="D1145" s="1" t="s">
        <v>1925</v>
      </c>
    </row>
    <row r="1146" spans="1:4" ht="17" customHeight="1">
      <c r="A1146" s="1">
        <v>3552</v>
      </c>
      <c r="B1146" s="1" t="s">
        <v>2300</v>
      </c>
      <c r="C1146" s="1" t="s">
        <v>2301</v>
      </c>
      <c r="D1146" s="1" t="s">
        <v>1925</v>
      </c>
    </row>
    <row r="1147" spans="1:4" ht="17" customHeight="1">
      <c r="A1147" s="1">
        <v>3555</v>
      </c>
      <c r="B1147" s="1" t="s">
        <v>2302</v>
      </c>
      <c r="C1147" s="1" t="s">
        <v>2303</v>
      </c>
      <c r="D1147" s="1" t="s">
        <v>1925</v>
      </c>
    </row>
    <row r="1148" spans="1:4" ht="17" customHeight="1">
      <c r="A1148" s="1">
        <v>3556</v>
      </c>
      <c r="B1148" s="1" t="s">
        <v>2304</v>
      </c>
      <c r="C1148" s="1" t="s">
        <v>2305</v>
      </c>
      <c r="D1148" s="1" t="s">
        <v>1925</v>
      </c>
    </row>
    <row r="1149" spans="1:4" ht="17" customHeight="1">
      <c r="A1149" s="1">
        <v>3558</v>
      </c>
      <c r="B1149" s="1" t="s">
        <v>2306</v>
      </c>
      <c r="C1149" s="1" t="s">
        <v>2307</v>
      </c>
      <c r="D1149" s="1" t="s">
        <v>1925</v>
      </c>
    </row>
    <row r="1150" spans="1:4" ht="17" customHeight="1">
      <c r="A1150" s="1">
        <v>3564</v>
      </c>
      <c r="B1150" s="1" t="s">
        <v>2308</v>
      </c>
      <c r="C1150" s="1" t="s">
        <v>2309</v>
      </c>
      <c r="D1150" s="1" t="s">
        <v>1925</v>
      </c>
    </row>
    <row r="1151" spans="1:4" ht="17" customHeight="1">
      <c r="A1151" s="1">
        <v>3567</v>
      </c>
      <c r="B1151" s="1" t="s">
        <v>2310</v>
      </c>
      <c r="C1151" s="1" t="s">
        <v>2311</v>
      </c>
      <c r="D1151" s="1" t="s">
        <v>1925</v>
      </c>
    </row>
    <row r="1152" spans="1:4" ht="17" customHeight="1">
      <c r="A1152" s="1">
        <v>3570</v>
      </c>
      <c r="B1152" s="1" t="s">
        <v>2312</v>
      </c>
      <c r="C1152" s="1" t="s">
        <v>2313</v>
      </c>
      <c r="D1152" s="1" t="s">
        <v>1925</v>
      </c>
    </row>
    <row r="1153" spans="1:4" ht="17" customHeight="1">
      <c r="A1153" s="1">
        <v>3577</v>
      </c>
      <c r="B1153" s="1" t="s">
        <v>2314</v>
      </c>
      <c r="C1153" s="1" t="s">
        <v>2315</v>
      </c>
      <c r="D1153" s="1" t="s">
        <v>1925</v>
      </c>
    </row>
    <row r="1154" spans="1:4" ht="17" customHeight="1">
      <c r="A1154" s="1">
        <v>3580</v>
      </c>
      <c r="B1154" s="1" t="s">
        <v>2316</v>
      </c>
      <c r="C1154" s="1" t="s">
        <v>2317</v>
      </c>
      <c r="D1154" s="1" t="s">
        <v>1925</v>
      </c>
    </row>
    <row r="1155" spans="1:4" ht="17" customHeight="1">
      <c r="A1155" s="1">
        <v>3581</v>
      </c>
      <c r="B1155" s="1" t="s">
        <v>2318</v>
      </c>
      <c r="C1155" s="1" t="s">
        <v>2319</v>
      </c>
      <c r="D1155" s="1" t="s">
        <v>1925</v>
      </c>
    </row>
    <row r="1156" spans="1:4" ht="17" customHeight="1">
      <c r="A1156" s="1">
        <v>3587</v>
      </c>
      <c r="B1156" s="1" t="s">
        <v>2320</v>
      </c>
      <c r="C1156" s="1" t="s">
        <v>2321</v>
      </c>
      <c r="D1156" s="1" t="s">
        <v>1925</v>
      </c>
    </row>
    <row r="1157" spans="1:4" ht="17" customHeight="1">
      <c r="A1157" s="1">
        <v>3594</v>
      </c>
      <c r="B1157" s="1" t="s">
        <v>2322</v>
      </c>
      <c r="C1157" s="1" t="s">
        <v>2323</v>
      </c>
      <c r="D1157" s="1" t="s">
        <v>1925</v>
      </c>
    </row>
    <row r="1158" spans="1:4" ht="17" customHeight="1">
      <c r="A1158" s="1">
        <v>3597</v>
      </c>
      <c r="B1158" s="1" t="s">
        <v>2324</v>
      </c>
      <c r="C1158" s="1" t="s">
        <v>2325</v>
      </c>
      <c r="D1158" s="1" t="s">
        <v>1925</v>
      </c>
    </row>
    <row r="1159" spans="1:4" ht="17" customHeight="1">
      <c r="A1159" s="1">
        <v>3609</v>
      </c>
      <c r="B1159" s="1" t="s">
        <v>2326</v>
      </c>
      <c r="C1159" s="1" t="s">
        <v>2327</v>
      </c>
      <c r="D1159" s="1" t="s">
        <v>1925</v>
      </c>
    </row>
    <row r="1160" spans="1:4" ht="17" customHeight="1">
      <c r="A1160" s="1">
        <v>3611</v>
      </c>
      <c r="B1160" s="1" t="s">
        <v>2328</v>
      </c>
      <c r="C1160" s="1" t="s">
        <v>2329</v>
      </c>
      <c r="D1160" s="1" t="s">
        <v>1925</v>
      </c>
    </row>
    <row r="1161" spans="1:4" ht="17" customHeight="1">
      <c r="A1161" s="1">
        <v>3615</v>
      </c>
      <c r="B1161" s="1" t="s">
        <v>2330</v>
      </c>
      <c r="C1161" s="1" t="s">
        <v>2331</v>
      </c>
      <c r="D1161" s="1" t="s">
        <v>1925</v>
      </c>
    </row>
    <row r="1162" spans="1:4" ht="17" customHeight="1">
      <c r="A1162" s="1">
        <v>3623</v>
      </c>
      <c r="B1162" s="1" t="s">
        <v>2332</v>
      </c>
      <c r="C1162" s="1" t="s">
        <v>2333</v>
      </c>
      <c r="D1162" s="1" t="s">
        <v>1925</v>
      </c>
    </row>
    <row r="1163" spans="1:4" ht="17" customHeight="1">
      <c r="A1163" s="1">
        <v>3624</v>
      </c>
      <c r="B1163" s="1" t="s">
        <v>2334</v>
      </c>
      <c r="C1163" s="1" t="s">
        <v>2335</v>
      </c>
      <c r="D1163" s="1" t="s">
        <v>1925</v>
      </c>
    </row>
    <row r="1164" spans="1:4" ht="17" customHeight="1">
      <c r="A1164" s="1">
        <v>3625</v>
      </c>
      <c r="B1164" s="1" t="s">
        <v>2336</v>
      </c>
      <c r="C1164" s="1" t="s">
        <v>2337</v>
      </c>
      <c r="D1164" s="1" t="s">
        <v>1925</v>
      </c>
    </row>
    <row r="1165" spans="1:4" ht="17" customHeight="1">
      <c r="A1165" s="1">
        <v>3628</v>
      </c>
      <c r="B1165" s="1" t="s">
        <v>2338</v>
      </c>
      <c r="C1165" s="1" t="s">
        <v>2339</v>
      </c>
      <c r="D1165" s="1" t="s">
        <v>1925</v>
      </c>
    </row>
    <row r="1166" spans="1:4" ht="17" customHeight="1">
      <c r="A1166" s="1">
        <v>3629</v>
      </c>
      <c r="B1166" s="1" t="s">
        <v>2340</v>
      </c>
      <c r="C1166" s="1" t="s">
        <v>2341</v>
      </c>
      <c r="D1166" s="1" t="s">
        <v>1925</v>
      </c>
    </row>
    <row r="1167" spans="1:4" ht="17" customHeight="1">
      <c r="A1167" s="1">
        <v>3630</v>
      </c>
      <c r="B1167" s="1" t="s">
        <v>2342</v>
      </c>
      <c r="C1167" s="1" t="s">
        <v>2343</v>
      </c>
      <c r="D1167" s="1" t="s">
        <v>1925</v>
      </c>
    </row>
    <row r="1168" spans="1:4" ht="17" customHeight="1">
      <c r="A1168" s="1">
        <v>3631</v>
      </c>
      <c r="B1168" s="1" t="s">
        <v>2344</v>
      </c>
      <c r="C1168" s="1" t="s">
        <v>2345</v>
      </c>
      <c r="D1168" s="1" t="s">
        <v>1925</v>
      </c>
    </row>
    <row r="1169" spans="1:4" ht="17" customHeight="1">
      <c r="A1169" s="1">
        <v>3632</v>
      </c>
      <c r="B1169" s="1" t="s">
        <v>2346</v>
      </c>
      <c r="C1169" s="1" t="s">
        <v>2347</v>
      </c>
      <c r="D1169" s="1" t="s">
        <v>1925</v>
      </c>
    </row>
    <row r="1170" spans="1:4" ht="17" customHeight="1">
      <c r="A1170" s="1">
        <v>3642</v>
      </c>
      <c r="B1170" s="1" t="s">
        <v>2348</v>
      </c>
      <c r="C1170" s="1" t="s">
        <v>2349</v>
      </c>
      <c r="D1170" s="1" t="s">
        <v>1925</v>
      </c>
    </row>
    <row r="1171" spans="1:4" ht="17" customHeight="1">
      <c r="A1171" s="1">
        <v>3646</v>
      </c>
      <c r="B1171" s="1" t="s">
        <v>2350</v>
      </c>
      <c r="C1171" s="1" t="s">
        <v>2351</v>
      </c>
      <c r="D1171" s="1" t="s">
        <v>1925</v>
      </c>
    </row>
    <row r="1172" spans="1:4" ht="17" customHeight="1">
      <c r="A1172" s="1">
        <v>3652</v>
      </c>
      <c r="B1172" s="1" t="s">
        <v>2352</v>
      </c>
      <c r="C1172" s="1" t="s">
        <v>2353</v>
      </c>
      <c r="D1172" s="1" t="s">
        <v>1925</v>
      </c>
    </row>
    <row r="1173" spans="1:4" ht="17" customHeight="1">
      <c r="A1173" s="1">
        <v>3663</v>
      </c>
      <c r="B1173" s="1" t="s">
        <v>2354</v>
      </c>
      <c r="C1173" s="1" t="s">
        <v>2355</v>
      </c>
      <c r="D1173" s="1" t="s">
        <v>1925</v>
      </c>
    </row>
    <row r="1174" spans="1:4" ht="17" customHeight="1">
      <c r="A1174" s="1">
        <v>3664</v>
      </c>
      <c r="B1174" s="1" t="s">
        <v>2356</v>
      </c>
      <c r="C1174" s="1" t="s">
        <v>2357</v>
      </c>
      <c r="D1174" s="1" t="s">
        <v>1925</v>
      </c>
    </row>
    <row r="1175" spans="1:4" ht="17" customHeight="1">
      <c r="A1175" s="1">
        <v>3666</v>
      </c>
      <c r="B1175" s="1" t="s">
        <v>2358</v>
      </c>
      <c r="C1175" s="1" t="s">
        <v>2359</v>
      </c>
      <c r="D1175" s="1" t="s">
        <v>1925</v>
      </c>
    </row>
    <row r="1176" spans="1:4" ht="17" customHeight="1">
      <c r="A1176" s="1">
        <v>3672</v>
      </c>
      <c r="B1176" s="1" t="s">
        <v>2360</v>
      </c>
      <c r="C1176" s="1" t="s">
        <v>2361</v>
      </c>
      <c r="D1176" s="1" t="s">
        <v>1925</v>
      </c>
    </row>
    <row r="1177" spans="1:4" ht="17" customHeight="1">
      <c r="A1177" s="1">
        <v>3675</v>
      </c>
      <c r="B1177" s="1" t="s">
        <v>2362</v>
      </c>
      <c r="C1177" s="1" t="s">
        <v>2363</v>
      </c>
      <c r="D1177" s="1" t="s">
        <v>1925</v>
      </c>
    </row>
    <row r="1178" spans="1:4" ht="17" customHeight="1">
      <c r="A1178" s="1">
        <v>3680</v>
      </c>
      <c r="B1178" s="1" t="s">
        <v>2364</v>
      </c>
      <c r="C1178" s="1" t="s">
        <v>2365</v>
      </c>
      <c r="D1178" s="1" t="s">
        <v>1925</v>
      </c>
    </row>
    <row r="1179" spans="1:4" ht="17" customHeight="1">
      <c r="A1179" s="1">
        <v>3684</v>
      </c>
      <c r="B1179" s="1" t="s">
        <v>2366</v>
      </c>
      <c r="C1179" s="1" t="s">
        <v>2367</v>
      </c>
      <c r="D1179" s="1" t="s">
        <v>1925</v>
      </c>
    </row>
    <row r="1180" spans="1:4" ht="17" customHeight="1">
      <c r="A1180" s="1">
        <v>3685</v>
      </c>
      <c r="B1180" s="1" t="s">
        <v>2368</v>
      </c>
      <c r="C1180" s="1" t="s">
        <v>2369</v>
      </c>
      <c r="D1180" s="1" t="s">
        <v>1925</v>
      </c>
    </row>
    <row r="1181" spans="1:4" ht="17" customHeight="1">
      <c r="A1181" s="1">
        <v>3687</v>
      </c>
      <c r="B1181" s="1" t="s">
        <v>2370</v>
      </c>
      <c r="C1181" s="1" t="s">
        <v>2371</v>
      </c>
      <c r="D1181" s="1" t="s">
        <v>1925</v>
      </c>
    </row>
    <row r="1182" spans="1:4" ht="17" customHeight="1">
      <c r="A1182" s="1">
        <v>3689</v>
      </c>
      <c r="B1182" s="1" t="s">
        <v>2372</v>
      </c>
      <c r="C1182" s="1" t="s">
        <v>2373</v>
      </c>
      <c r="D1182" s="1" t="s">
        <v>1925</v>
      </c>
    </row>
    <row r="1183" spans="1:4" ht="17" customHeight="1">
      <c r="A1183" s="1">
        <v>3691</v>
      </c>
      <c r="B1183" s="1" t="s">
        <v>2374</v>
      </c>
      <c r="C1183" s="1" t="s">
        <v>2375</v>
      </c>
      <c r="D1183" s="1" t="s">
        <v>1925</v>
      </c>
    </row>
    <row r="1184" spans="1:4" ht="17" customHeight="1">
      <c r="A1184" s="1">
        <v>3693</v>
      </c>
      <c r="B1184" s="1" t="s">
        <v>2376</v>
      </c>
      <c r="C1184" s="1" t="s">
        <v>2377</v>
      </c>
      <c r="D1184" s="1" t="s">
        <v>1925</v>
      </c>
    </row>
    <row r="1185" spans="1:4" ht="17" customHeight="1">
      <c r="A1185" s="1">
        <v>3707</v>
      </c>
      <c r="B1185" s="1" t="s">
        <v>2378</v>
      </c>
      <c r="C1185" s="1" t="s">
        <v>2379</v>
      </c>
      <c r="D1185" s="1" t="s">
        <v>1925</v>
      </c>
    </row>
    <row r="1186" spans="1:4" ht="17" customHeight="1">
      <c r="A1186" s="1">
        <v>3709</v>
      </c>
      <c r="B1186" s="1" t="s">
        <v>2380</v>
      </c>
      <c r="C1186" s="1" t="s">
        <v>2381</v>
      </c>
      <c r="D1186" s="1" t="s">
        <v>1925</v>
      </c>
    </row>
    <row r="1187" spans="1:4" ht="17" customHeight="1">
      <c r="A1187" s="1">
        <v>3710</v>
      </c>
      <c r="B1187" s="1" t="s">
        <v>2382</v>
      </c>
      <c r="C1187" s="1" t="s">
        <v>2383</v>
      </c>
      <c r="D1187" s="1" t="s">
        <v>1925</v>
      </c>
    </row>
    <row r="1188" spans="1:4" ht="17" customHeight="1">
      <c r="A1188" s="1">
        <v>3713</v>
      </c>
      <c r="B1188" s="1" t="s">
        <v>2384</v>
      </c>
      <c r="C1188" s="1" t="s">
        <v>2385</v>
      </c>
      <c r="D1188" s="1" t="s">
        <v>1925</v>
      </c>
    </row>
    <row r="1189" spans="1:4" ht="17" customHeight="1">
      <c r="A1189" s="1">
        <v>4102</v>
      </c>
      <c r="B1189" s="1" t="s">
        <v>2386</v>
      </c>
      <c r="C1189" s="1" t="s">
        <v>2387</v>
      </c>
      <c r="D1189" s="1" t="s">
        <v>1925</v>
      </c>
    </row>
    <row r="1190" spans="1:4" ht="17" customHeight="1">
      <c r="A1190" s="1">
        <v>4105</v>
      </c>
      <c r="B1190" s="1" t="s">
        <v>2388</v>
      </c>
      <c r="C1190" s="1" t="s">
        <v>2389</v>
      </c>
      <c r="D1190" s="1" t="s">
        <v>1925</v>
      </c>
    </row>
    <row r="1191" spans="1:4" ht="17" customHeight="1">
      <c r="A1191" s="1">
        <v>4107</v>
      </c>
      <c r="B1191" s="1" t="s">
        <v>2390</v>
      </c>
      <c r="C1191" s="1" t="s">
        <v>2391</v>
      </c>
      <c r="D1191" s="1" t="s">
        <v>1925</v>
      </c>
    </row>
    <row r="1192" spans="1:4" ht="17" customHeight="1">
      <c r="A1192" s="1">
        <v>4109</v>
      </c>
      <c r="B1192" s="1" t="s">
        <v>2392</v>
      </c>
      <c r="C1192" s="1" t="s">
        <v>2393</v>
      </c>
      <c r="D1192" s="1" t="s">
        <v>1925</v>
      </c>
    </row>
    <row r="1193" spans="1:4" ht="17" customHeight="1">
      <c r="A1193" s="1">
        <v>4111</v>
      </c>
      <c r="B1193" s="1" t="s">
        <v>2394</v>
      </c>
      <c r="C1193" s="1" t="s">
        <v>2395</v>
      </c>
      <c r="D1193" s="1" t="s">
        <v>1925</v>
      </c>
    </row>
    <row r="1194" spans="1:4" ht="17" customHeight="1">
      <c r="A1194" s="1">
        <v>4113</v>
      </c>
      <c r="B1194" s="1" t="s">
        <v>2396</v>
      </c>
      <c r="C1194" s="1" t="s">
        <v>2397</v>
      </c>
      <c r="D1194" s="1" t="s">
        <v>1925</v>
      </c>
    </row>
    <row r="1195" spans="1:4" ht="17" customHeight="1">
      <c r="A1195" s="1">
        <v>4114</v>
      </c>
      <c r="B1195" s="1" t="s">
        <v>2398</v>
      </c>
      <c r="C1195" s="1" t="s">
        <v>2399</v>
      </c>
      <c r="D1195" s="1" t="s">
        <v>1925</v>
      </c>
    </row>
    <row r="1196" spans="1:4" ht="17" customHeight="1">
      <c r="A1196" s="1">
        <v>4116</v>
      </c>
      <c r="B1196" s="1" t="s">
        <v>2400</v>
      </c>
      <c r="C1196" s="1" t="s">
        <v>2401</v>
      </c>
      <c r="D1196" s="1" t="s">
        <v>1925</v>
      </c>
    </row>
    <row r="1197" spans="1:4" ht="17" customHeight="1">
      <c r="A1197" s="1">
        <v>4120</v>
      </c>
      <c r="B1197" s="1" t="s">
        <v>2402</v>
      </c>
      <c r="C1197" s="1" t="s">
        <v>2403</v>
      </c>
      <c r="D1197" s="1" t="s">
        <v>1925</v>
      </c>
    </row>
    <row r="1198" spans="1:4" ht="17" customHeight="1">
      <c r="A1198" s="1">
        <v>4121</v>
      </c>
      <c r="B1198" s="1" t="s">
        <v>2404</v>
      </c>
      <c r="C1198" s="1" t="s">
        <v>2405</v>
      </c>
      <c r="D1198" s="1" t="s">
        <v>1925</v>
      </c>
    </row>
    <row r="1199" spans="1:4" ht="17" customHeight="1">
      <c r="A1199" s="1">
        <v>4123</v>
      </c>
      <c r="B1199" s="1" t="s">
        <v>2406</v>
      </c>
      <c r="C1199" s="1" t="s">
        <v>2407</v>
      </c>
      <c r="D1199" s="1" t="s">
        <v>1925</v>
      </c>
    </row>
    <row r="1200" spans="1:4" ht="17" customHeight="1">
      <c r="A1200" s="1">
        <v>4126</v>
      </c>
      <c r="B1200" s="1" t="s">
        <v>2408</v>
      </c>
      <c r="C1200" s="1" t="s">
        <v>2409</v>
      </c>
      <c r="D1200" s="1" t="s">
        <v>1925</v>
      </c>
    </row>
    <row r="1201" spans="1:4" ht="17" customHeight="1">
      <c r="A1201" s="1">
        <v>4127</v>
      </c>
      <c r="B1201" s="1" t="s">
        <v>2410</v>
      </c>
      <c r="C1201" s="1" t="s">
        <v>2411</v>
      </c>
      <c r="D1201" s="1" t="s">
        <v>1925</v>
      </c>
    </row>
    <row r="1202" spans="1:4" ht="17" customHeight="1">
      <c r="A1202" s="1">
        <v>4128</v>
      </c>
      <c r="B1202" s="1" t="s">
        <v>2412</v>
      </c>
      <c r="C1202" s="1" t="s">
        <v>2413</v>
      </c>
      <c r="D1202" s="1" t="s">
        <v>1925</v>
      </c>
    </row>
    <row r="1203" spans="1:4" ht="17" customHeight="1">
      <c r="A1203" s="1">
        <v>4129</v>
      </c>
      <c r="B1203" s="1" t="s">
        <v>2414</v>
      </c>
      <c r="C1203" s="1" t="s">
        <v>2415</v>
      </c>
      <c r="D1203" s="1" t="s">
        <v>1925</v>
      </c>
    </row>
    <row r="1204" spans="1:4" ht="17" customHeight="1">
      <c r="A1204" s="1">
        <v>4130</v>
      </c>
      <c r="B1204" s="1" t="s">
        <v>2416</v>
      </c>
      <c r="C1204" s="1" t="s">
        <v>2417</v>
      </c>
      <c r="D1204" s="1" t="s">
        <v>1925</v>
      </c>
    </row>
    <row r="1205" spans="1:4" ht="17" customHeight="1">
      <c r="A1205" s="1">
        <v>4131</v>
      </c>
      <c r="B1205" s="1" t="s">
        <v>2418</v>
      </c>
      <c r="C1205" s="1" t="s">
        <v>2419</v>
      </c>
      <c r="D1205" s="1" t="s">
        <v>1925</v>
      </c>
    </row>
    <row r="1206" spans="1:4" ht="17" customHeight="1">
      <c r="A1206" s="1">
        <v>4138</v>
      </c>
      <c r="B1206" s="1" t="s">
        <v>2420</v>
      </c>
      <c r="C1206" s="1" t="s">
        <v>2421</v>
      </c>
      <c r="D1206" s="1" t="s">
        <v>1925</v>
      </c>
    </row>
    <row r="1207" spans="1:4" ht="17" customHeight="1">
      <c r="A1207" s="1">
        <v>4139</v>
      </c>
      <c r="B1207" s="1" t="s">
        <v>2422</v>
      </c>
      <c r="C1207" s="1" t="s">
        <v>2423</v>
      </c>
      <c r="D1207" s="1" t="s">
        <v>1925</v>
      </c>
    </row>
    <row r="1208" spans="1:4" ht="17" customHeight="1">
      <c r="A1208" s="1">
        <v>4147</v>
      </c>
      <c r="B1208" s="1" t="s">
        <v>2424</v>
      </c>
      <c r="C1208" s="1" t="s">
        <v>2425</v>
      </c>
      <c r="D1208" s="1" t="s">
        <v>1925</v>
      </c>
    </row>
    <row r="1209" spans="1:4" ht="17" customHeight="1">
      <c r="A1209" s="1">
        <v>4152</v>
      </c>
      <c r="B1209" s="1" t="s">
        <v>2426</v>
      </c>
      <c r="C1209" s="1" t="s">
        <v>2427</v>
      </c>
      <c r="D1209" s="1" t="s">
        <v>1925</v>
      </c>
    </row>
    <row r="1210" spans="1:4" ht="17" customHeight="1">
      <c r="A1210" s="1">
        <v>4153</v>
      </c>
      <c r="B1210" s="1" t="s">
        <v>2428</v>
      </c>
      <c r="C1210" s="1" t="s">
        <v>2429</v>
      </c>
      <c r="D1210" s="1" t="s">
        <v>1925</v>
      </c>
    </row>
    <row r="1211" spans="1:4" ht="17" customHeight="1">
      <c r="A1211" s="1">
        <v>4154</v>
      </c>
      <c r="B1211" s="1" t="s">
        <v>2430</v>
      </c>
      <c r="C1211" s="1" t="s">
        <v>2431</v>
      </c>
      <c r="D1211" s="1" t="s">
        <v>1925</v>
      </c>
    </row>
    <row r="1212" spans="1:4" ht="17" customHeight="1">
      <c r="A1212" s="1">
        <v>4157</v>
      </c>
      <c r="B1212" s="1" t="s">
        <v>2432</v>
      </c>
      <c r="C1212" s="1" t="s">
        <v>2433</v>
      </c>
      <c r="D1212" s="1" t="s">
        <v>1925</v>
      </c>
    </row>
    <row r="1213" spans="1:4" ht="17" customHeight="1">
      <c r="A1213" s="1">
        <v>4160</v>
      </c>
      <c r="B1213" s="1" t="s">
        <v>2434</v>
      </c>
      <c r="C1213" s="1" t="s">
        <v>2435</v>
      </c>
      <c r="D1213" s="1" t="s">
        <v>1925</v>
      </c>
    </row>
    <row r="1214" spans="1:4" ht="17" customHeight="1">
      <c r="A1214" s="1">
        <v>4161</v>
      </c>
      <c r="B1214" s="1" t="s">
        <v>2436</v>
      </c>
      <c r="C1214" s="1" t="s">
        <v>2437</v>
      </c>
      <c r="D1214" s="1" t="s">
        <v>1925</v>
      </c>
    </row>
    <row r="1215" spans="1:4" ht="17" customHeight="1">
      <c r="A1215" s="1">
        <v>4162</v>
      </c>
      <c r="B1215" s="1" t="s">
        <v>2438</v>
      </c>
      <c r="C1215" s="1" t="s">
        <v>2439</v>
      </c>
      <c r="D1215" s="1" t="s">
        <v>1925</v>
      </c>
    </row>
    <row r="1216" spans="1:4" ht="17" customHeight="1">
      <c r="A1216" s="1">
        <v>4163</v>
      </c>
      <c r="B1216" s="1" t="s">
        <v>2440</v>
      </c>
      <c r="C1216" s="1" t="s">
        <v>2441</v>
      </c>
      <c r="D1216" s="1" t="s">
        <v>1925</v>
      </c>
    </row>
    <row r="1217" spans="1:4" ht="17" customHeight="1">
      <c r="A1217" s="1">
        <v>4167</v>
      </c>
      <c r="B1217" s="1" t="s">
        <v>2442</v>
      </c>
      <c r="C1217" s="1" t="s">
        <v>2443</v>
      </c>
      <c r="D1217" s="1" t="s">
        <v>1925</v>
      </c>
    </row>
    <row r="1218" spans="1:4" ht="17" customHeight="1">
      <c r="A1218" s="1">
        <v>4168</v>
      </c>
      <c r="B1218" s="1" t="s">
        <v>2444</v>
      </c>
      <c r="C1218" s="1" t="s">
        <v>2445</v>
      </c>
      <c r="D1218" s="1" t="s">
        <v>1925</v>
      </c>
    </row>
    <row r="1219" spans="1:4" ht="17" customHeight="1">
      <c r="A1219" s="1">
        <v>4171</v>
      </c>
      <c r="B1219" s="1" t="s">
        <v>2446</v>
      </c>
      <c r="C1219" s="1" t="s">
        <v>2447</v>
      </c>
      <c r="D1219" s="1" t="s">
        <v>1925</v>
      </c>
    </row>
    <row r="1220" spans="1:4" ht="17" customHeight="1">
      <c r="A1220" s="1">
        <v>4173</v>
      </c>
      <c r="B1220" s="1" t="s">
        <v>2448</v>
      </c>
      <c r="C1220" s="1" t="s">
        <v>2449</v>
      </c>
      <c r="D1220" s="1" t="s">
        <v>1925</v>
      </c>
    </row>
    <row r="1221" spans="1:4" ht="17" customHeight="1">
      <c r="A1221" s="1">
        <v>4174</v>
      </c>
      <c r="B1221" s="1" t="s">
        <v>2450</v>
      </c>
      <c r="C1221" s="1" t="s">
        <v>2451</v>
      </c>
      <c r="D1221" s="1" t="s">
        <v>1925</v>
      </c>
    </row>
    <row r="1222" spans="1:4" ht="17" customHeight="1">
      <c r="A1222" s="1">
        <v>4175</v>
      </c>
      <c r="B1222" s="1" t="s">
        <v>2452</v>
      </c>
      <c r="C1222" s="1" t="s">
        <v>2453</v>
      </c>
      <c r="D1222" s="1" t="s">
        <v>1925</v>
      </c>
    </row>
    <row r="1223" spans="1:4" ht="17" customHeight="1">
      <c r="A1223" s="1">
        <v>4183</v>
      </c>
      <c r="B1223" s="1" t="s">
        <v>2454</v>
      </c>
      <c r="C1223" s="1" t="s">
        <v>2455</v>
      </c>
      <c r="D1223" s="1" t="s">
        <v>1925</v>
      </c>
    </row>
    <row r="1224" spans="1:4" ht="17" customHeight="1">
      <c r="A1224" s="1">
        <v>4188</v>
      </c>
      <c r="B1224" s="1" t="s">
        <v>2456</v>
      </c>
      <c r="C1224" s="1" t="s">
        <v>2457</v>
      </c>
      <c r="D1224" s="1" t="s">
        <v>1925</v>
      </c>
    </row>
    <row r="1225" spans="1:4" ht="17" customHeight="1">
      <c r="A1225" s="1">
        <v>4192</v>
      </c>
      <c r="B1225" s="1" t="s">
        <v>2458</v>
      </c>
      <c r="C1225" s="1" t="s">
        <v>2459</v>
      </c>
      <c r="D1225" s="1" t="s">
        <v>1925</v>
      </c>
    </row>
    <row r="1226" spans="1:4" ht="17" customHeight="1">
      <c r="A1226" s="1">
        <v>4198</v>
      </c>
      <c r="B1226" s="1" t="s">
        <v>2460</v>
      </c>
      <c r="C1226" s="1" t="s">
        <v>2461</v>
      </c>
      <c r="D1226" s="1" t="s">
        <v>1925</v>
      </c>
    </row>
    <row r="1227" spans="1:4" ht="17" customHeight="1">
      <c r="A1227" s="1">
        <v>4205</v>
      </c>
      <c r="B1227" s="1" t="s">
        <v>2462</v>
      </c>
      <c r="C1227" s="1" t="s">
        <v>2463</v>
      </c>
      <c r="D1227" s="1" t="s">
        <v>1925</v>
      </c>
    </row>
    <row r="1228" spans="1:4" ht="17" customHeight="1">
      <c r="A1228" s="1">
        <v>4207</v>
      </c>
      <c r="B1228" s="1" t="s">
        <v>2464</v>
      </c>
      <c r="C1228" s="1" t="s">
        <v>2465</v>
      </c>
      <c r="D1228" s="1" t="s">
        <v>1925</v>
      </c>
    </row>
    <row r="1229" spans="1:4" ht="17" customHeight="1">
      <c r="A1229" s="1">
        <v>4303</v>
      </c>
      <c r="B1229" s="1" t="s">
        <v>2466</v>
      </c>
      <c r="C1229" s="1" t="s">
        <v>2467</v>
      </c>
      <c r="D1229" s="1" t="s">
        <v>1925</v>
      </c>
    </row>
    <row r="1230" spans="1:4" ht="17" customHeight="1">
      <c r="A1230" s="1">
        <v>4304</v>
      </c>
      <c r="B1230" s="1" t="s">
        <v>2468</v>
      </c>
      <c r="C1230" s="1" t="s">
        <v>2469</v>
      </c>
      <c r="D1230" s="1" t="s">
        <v>1925</v>
      </c>
    </row>
    <row r="1231" spans="1:4" ht="17" customHeight="1">
      <c r="A1231" s="1">
        <v>4305</v>
      </c>
      <c r="B1231" s="1" t="s">
        <v>2470</v>
      </c>
      <c r="C1231" s="1" t="s">
        <v>2471</v>
      </c>
      <c r="D1231" s="1" t="s">
        <v>1925</v>
      </c>
    </row>
    <row r="1232" spans="1:4" ht="17" customHeight="1">
      <c r="A1232" s="1">
        <v>4401</v>
      </c>
      <c r="B1232" s="1" t="s">
        <v>2472</v>
      </c>
      <c r="C1232" s="1" t="s">
        <v>2473</v>
      </c>
      <c r="D1232" s="1" t="s">
        <v>1925</v>
      </c>
    </row>
    <row r="1233" spans="1:4" ht="17" customHeight="1">
      <c r="A1233" s="1">
        <v>4402</v>
      </c>
      <c r="B1233" s="1" t="s">
        <v>2474</v>
      </c>
      <c r="C1233" s="1" t="s">
        <v>2475</v>
      </c>
      <c r="D1233" s="1" t="s">
        <v>1925</v>
      </c>
    </row>
    <row r="1234" spans="1:4" ht="17" customHeight="1">
      <c r="A1234" s="1">
        <v>4406</v>
      </c>
      <c r="B1234" s="1" t="s">
        <v>2476</v>
      </c>
      <c r="C1234" s="1" t="s">
        <v>2477</v>
      </c>
      <c r="D1234" s="1" t="s">
        <v>1925</v>
      </c>
    </row>
    <row r="1235" spans="1:4" ht="17" customHeight="1">
      <c r="A1235" s="1">
        <v>4413</v>
      </c>
      <c r="B1235" s="1" t="s">
        <v>2478</v>
      </c>
      <c r="C1235" s="1" t="s">
        <v>2479</v>
      </c>
      <c r="D1235" s="1" t="s">
        <v>1925</v>
      </c>
    </row>
    <row r="1236" spans="1:4" ht="17" customHeight="1">
      <c r="A1236" s="1">
        <v>4416</v>
      </c>
      <c r="B1236" s="1" t="s">
        <v>2480</v>
      </c>
      <c r="C1236" s="1" t="s">
        <v>2481</v>
      </c>
      <c r="D1236" s="1" t="s">
        <v>1925</v>
      </c>
    </row>
    <row r="1237" spans="1:4" ht="17" customHeight="1">
      <c r="A1237" s="1">
        <v>4417</v>
      </c>
      <c r="B1237" s="1" t="s">
        <v>2482</v>
      </c>
      <c r="C1237" s="1" t="s">
        <v>2483</v>
      </c>
      <c r="D1237" s="1" t="s">
        <v>1925</v>
      </c>
    </row>
    <row r="1238" spans="1:4" ht="17" customHeight="1">
      <c r="A1238" s="1">
        <v>4419</v>
      </c>
      <c r="B1238" s="1" t="s">
        <v>2484</v>
      </c>
      <c r="C1238" s="1" t="s">
        <v>2485</v>
      </c>
      <c r="D1238" s="1" t="s">
        <v>1925</v>
      </c>
    </row>
    <row r="1239" spans="1:4" ht="17" customHeight="1">
      <c r="A1239" s="1">
        <v>4420</v>
      </c>
      <c r="B1239" s="1" t="s">
        <v>2486</v>
      </c>
      <c r="C1239" s="1" t="s">
        <v>2487</v>
      </c>
      <c r="D1239" s="1" t="s">
        <v>1925</v>
      </c>
    </row>
    <row r="1240" spans="1:4" ht="17" customHeight="1">
      <c r="A1240" s="1">
        <v>4429</v>
      </c>
      <c r="B1240" s="1" t="s">
        <v>2488</v>
      </c>
      <c r="C1240" s="1" t="s">
        <v>2489</v>
      </c>
      <c r="D1240" s="1" t="s">
        <v>1925</v>
      </c>
    </row>
    <row r="1241" spans="1:4" ht="17" customHeight="1">
      <c r="A1241" s="1">
        <v>4430</v>
      </c>
      <c r="B1241" s="1" t="s">
        <v>2490</v>
      </c>
      <c r="C1241" s="1" t="s">
        <v>2491</v>
      </c>
      <c r="D1241" s="1" t="s">
        <v>1925</v>
      </c>
    </row>
    <row r="1242" spans="1:4" ht="17" customHeight="1">
      <c r="A1242" s="1">
        <v>4432</v>
      </c>
      <c r="B1242" s="1" t="s">
        <v>2492</v>
      </c>
      <c r="C1242" s="1" t="s">
        <v>2493</v>
      </c>
      <c r="D1242" s="1" t="s">
        <v>1925</v>
      </c>
    </row>
    <row r="1243" spans="1:4" ht="17" customHeight="1">
      <c r="A1243" s="1">
        <v>4433</v>
      </c>
      <c r="B1243" s="1" t="s">
        <v>2494</v>
      </c>
      <c r="C1243" s="1" t="s">
        <v>2495</v>
      </c>
      <c r="D1243" s="1" t="s">
        <v>1925</v>
      </c>
    </row>
    <row r="1244" spans="1:4" ht="17" customHeight="1">
      <c r="A1244" s="1">
        <v>4502</v>
      </c>
      <c r="B1244" s="1" t="s">
        <v>2496</v>
      </c>
      <c r="C1244" s="1" t="s">
        <v>2497</v>
      </c>
      <c r="D1244" s="1" t="s">
        <v>1925</v>
      </c>
    </row>
    <row r="1245" spans="1:4" ht="17" customHeight="1">
      <c r="A1245" s="1">
        <v>4503</v>
      </c>
      <c r="B1245" s="1" t="s">
        <v>2498</v>
      </c>
      <c r="C1245" s="1" t="s">
        <v>2499</v>
      </c>
      <c r="D1245" s="1" t="s">
        <v>1925</v>
      </c>
    </row>
    <row r="1246" spans="1:4" ht="17" customHeight="1">
      <c r="A1246" s="1">
        <v>4506</v>
      </c>
      <c r="B1246" s="1" t="s">
        <v>2500</v>
      </c>
      <c r="C1246" s="1" t="s">
        <v>2501</v>
      </c>
      <c r="D1246" s="1" t="s">
        <v>1925</v>
      </c>
    </row>
    <row r="1247" spans="1:4" ht="17" customHeight="1">
      <c r="A1247" s="1">
        <v>4510</v>
      </c>
      <c r="B1247" s="1" t="s">
        <v>2502</v>
      </c>
      <c r="C1247" s="1" t="s">
        <v>2503</v>
      </c>
      <c r="D1247" s="1" t="s">
        <v>1925</v>
      </c>
    </row>
    <row r="1248" spans="1:4" ht="17" customHeight="1">
      <c r="A1248" s="1">
        <v>4513</v>
      </c>
      <c r="B1248" s="1" t="s">
        <v>2504</v>
      </c>
      <c r="C1248" s="1" t="s">
        <v>2505</v>
      </c>
      <c r="D1248" s="1" t="s">
        <v>1925</v>
      </c>
    </row>
    <row r="1249" spans="1:4" ht="17" customHeight="1">
      <c r="A1249" s="1">
        <v>4523</v>
      </c>
      <c r="B1249" s="1" t="s">
        <v>2506</v>
      </c>
      <c r="C1249" s="1" t="s">
        <v>2507</v>
      </c>
      <c r="D1249" s="1" t="s">
        <v>1925</v>
      </c>
    </row>
    <row r="1250" spans="1:4" ht="17" customHeight="1">
      <c r="A1250" s="1">
        <v>4527</v>
      </c>
      <c r="B1250" s="1" t="s">
        <v>2508</v>
      </c>
      <c r="C1250" s="1" t="s">
        <v>2509</v>
      </c>
      <c r="D1250" s="1" t="s">
        <v>1925</v>
      </c>
    </row>
    <row r="1251" spans="1:4" ht="17" customHeight="1">
      <c r="A1251" s="1">
        <v>4528</v>
      </c>
      <c r="B1251" s="1" t="s">
        <v>2510</v>
      </c>
      <c r="C1251" s="1" t="s">
        <v>2511</v>
      </c>
      <c r="D1251" s="1" t="s">
        <v>1925</v>
      </c>
    </row>
    <row r="1252" spans="1:4" ht="17" customHeight="1">
      <c r="A1252" s="1">
        <v>4529</v>
      </c>
      <c r="B1252" s="1" t="s">
        <v>2512</v>
      </c>
      <c r="C1252" s="1" t="s">
        <v>2513</v>
      </c>
      <c r="D1252" s="1" t="s">
        <v>1925</v>
      </c>
    </row>
    <row r="1253" spans="1:4" ht="17" customHeight="1">
      <c r="A1253" s="1">
        <v>4530</v>
      </c>
      <c r="B1253" s="1" t="s">
        <v>2514</v>
      </c>
      <c r="C1253" s="1" t="s">
        <v>2515</v>
      </c>
      <c r="D1253" s="1" t="s">
        <v>1925</v>
      </c>
    </row>
    <row r="1254" spans="1:4" ht="17" customHeight="1">
      <c r="A1254" s="1">
        <v>4533</v>
      </c>
      <c r="B1254" s="1" t="s">
        <v>2516</v>
      </c>
      <c r="C1254" s="1" t="s">
        <v>2517</v>
      </c>
      <c r="D1254" s="1" t="s">
        <v>1925</v>
      </c>
    </row>
    <row r="1255" spans="1:4" ht="17" customHeight="1">
      <c r="A1255" s="1">
        <v>4534</v>
      </c>
      <c r="B1255" s="1" t="s">
        <v>2518</v>
      </c>
      <c r="C1255" s="1" t="s">
        <v>2519</v>
      </c>
      <c r="D1255" s="1" t="s">
        <v>1925</v>
      </c>
    </row>
    <row r="1256" spans="1:4" ht="17" customHeight="1">
      <c r="A1256" s="1">
        <v>4535</v>
      </c>
      <c r="B1256" s="1" t="s">
        <v>2520</v>
      </c>
      <c r="C1256" s="1" t="s">
        <v>2521</v>
      </c>
      <c r="D1256" s="1" t="s">
        <v>1925</v>
      </c>
    </row>
    <row r="1257" spans="1:4" ht="17" customHeight="1">
      <c r="A1257" s="1">
        <v>4538</v>
      </c>
      <c r="B1257" s="1" t="s">
        <v>2522</v>
      </c>
      <c r="C1257" s="1" t="s">
        <v>2523</v>
      </c>
      <c r="D1257" s="1" t="s">
        <v>1925</v>
      </c>
    </row>
    <row r="1258" spans="1:4" ht="17" customHeight="1">
      <c r="A1258" s="1">
        <v>4541</v>
      </c>
      <c r="B1258" s="1" t="s">
        <v>2524</v>
      </c>
      <c r="C1258" s="1" t="s">
        <v>2525</v>
      </c>
      <c r="D1258" s="1" t="s">
        <v>1925</v>
      </c>
    </row>
    <row r="1259" spans="1:4" ht="17" customHeight="1">
      <c r="A1259" s="1">
        <v>4542</v>
      </c>
      <c r="B1259" s="1" t="s">
        <v>2526</v>
      </c>
      <c r="C1259" s="1" t="s">
        <v>2527</v>
      </c>
      <c r="D1259" s="1" t="s">
        <v>1925</v>
      </c>
    </row>
    <row r="1260" spans="1:4" ht="17" customHeight="1">
      <c r="A1260" s="1">
        <v>4543</v>
      </c>
      <c r="B1260" s="1" t="s">
        <v>2528</v>
      </c>
      <c r="C1260" s="1" t="s">
        <v>2529</v>
      </c>
      <c r="D1260" s="1" t="s">
        <v>1925</v>
      </c>
    </row>
    <row r="1261" spans="1:4" ht="17" customHeight="1">
      <c r="A1261" s="1">
        <v>4549</v>
      </c>
      <c r="B1261" s="1" t="s">
        <v>2530</v>
      </c>
      <c r="C1261" s="1" t="s">
        <v>2531</v>
      </c>
      <c r="D1261" s="1" t="s">
        <v>1925</v>
      </c>
    </row>
    <row r="1262" spans="1:4" ht="17" customHeight="1">
      <c r="A1262" s="1">
        <v>4550</v>
      </c>
      <c r="B1262" s="1" t="s">
        <v>2532</v>
      </c>
      <c r="C1262" s="1" t="s">
        <v>2533</v>
      </c>
      <c r="D1262" s="1" t="s">
        <v>1925</v>
      </c>
    </row>
    <row r="1263" spans="1:4" ht="17" customHeight="1">
      <c r="A1263" s="1">
        <v>4554</v>
      </c>
      <c r="B1263" s="1" t="s">
        <v>2534</v>
      </c>
      <c r="C1263" s="1" t="s">
        <v>2535</v>
      </c>
      <c r="D1263" s="1" t="s">
        <v>1925</v>
      </c>
    </row>
    <row r="1264" spans="1:4" ht="17" customHeight="1">
      <c r="A1264" s="1">
        <v>4556</v>
      </c>
      <c r="B1264" s="1" t="s">
        <v>2536</v>
      </c>
      <c r="C1264" s="1" t="s">
        <v>2537</v>
      </c>
      <c r="D1264" s="1" t="s">
        <v>1925</v>
      </c>
    </row>
    <row r="1265" spans="1:4" ht="17" customHeight="1">
      <c r="A1265" s="1">
        <v>4561</v>
      </c>
      <c r="B1265" s="1" t="s">
        <v>2538</v>
      </c>
      <c r="C1265" s="1" t="s">
        <v>2539</v>
      </c>
      <c r="D1265" s="1" t="s">
        <v>1925</v>
      </c>
    </row>
    <row r="1266" spans="1:4" ht="17" customHeight="1">
      <c r="A1266" s="1">
        <v>4563</v>
      </c>
      <c r="B1266" s="1" t="s">
        <v>2540</v>
      </c>
      <c r="C1266" s="1" t="s">
        <v>2541</v>
      </c>
      <c r="D1266" s="1" t="s">
        <v>1925</v>
      </c>
    </row>
    <row r="1267" spans="1:4" ht="17" customHeight="1">
      <c r="A1267" s="1">
        <v>4568</v>
      </c>
      <c r="B1267" s="1" t="s">
        <v>2542</v>
      </c>
      <c r="C1267" s="1" t="s">
        <v>2543</v>
      </c>
      <c r="D1267" s="1" t="s">
        <v>1925</v>
      </c>
    </row>
    <row r="1268" spans="1:4" ht="17" customHeight="1">
      <c r="A1268" s="1">
        <v>4580</v>
      </c>
      <c r="B1268" s="1" t="s">
        <v>2544</v>
      </c>
      <c r="C1268" s="1" t="s">
        <v>2545</v>
      </c>
      <c r="D1268" s="1" t="s">
        <v>1925</v>
      </c>
    </row>
    <row r="1269" spans="1:4" ht="17" customHeight="1">
      <c r="A1269" s="1">
        <v>4609</v>
      </c>
      <c r="B1269" s="1" t="s">
        <v>2546</v>
      </c>
      <c r="C1269" s="1" t="s">
        <v>2547</v>
      </c>
      <c r="D1269" s="1" t="s">
        <v>1925</v>
      </c>
    </row>
    <row r="1270" spans="1:4" ht="17" customHeight="1">
      <c r="A1270" s="1">
        <v>4702</v>
      </c>
      <c r="B1270" s="1" t="s">
        <v>2548</v>
      </c>
      <c r="C1270" s="1" t="s">
        <v>2549</v>
      </c>
      <c r="D1270" s="1" t="s">
        <v>1925</v>
      </c>
    </row>
    <row r="1271" spans="1:4" ht="17" customHeight="1">
      <c r="A1271" s="1">
        <v>4706</v>
      </c>
      <c r="B1271" s="1" t="s">
        <v>2550</v>
      </c>
      <c r="C1271" s="1" t="s">
        <v>2551</v>
      </c>
      <c r="D1271" s="1" t="s">
        <v>1925</v>
      </c>
    </row>
    <row r="1272" spans="1:4" ht="17" customHeight="1">
      <c r="A1272" s="1">
        <v>4707</v>
      </c>
      <c r="B1272" s="1" t="s">
        <v>2552</v>
      </c>
      <c r="C1272" s="1" t="s">
        <v>2553</v>
      </c>
      <c r="D1272" s="1" t="s">
        <v>1925</v>
      </c>
    </row>
    <row r="1273" spans="1:4" ht="17" customHeight="1">
      <c r="A1273" s="1">
        <v>4711</v>
      </c>
      <c r="B1273" s="1" t="s">
        <v>2554</v>
      </c>
      <c r="C1273" s="1" t="s">
        <v>2555</v>
      </c>
      <c r="D1273" s="1" t="s">
        <v>1925</v>
      </c>
    </row>
    <row r="1274" spans="1:4" ht="17" customHeight="1">
      <c r="A1274" s="1">
        <v>4712</v>
      </c>
      <c r="B1274" s="1" t="s">
        <v>2556</v>
      </c>
      <c r="C1274" s="1" t="s">
        <v>2557</v>
      </c>
      <c r="D1274" s="1" t="s">
        <v>1925</v>
      </c>
    </row>
    <row r="1275" spans="1:4" ht="17" customHeight="1">
      <c r="A1275" s="1">
        <v>4714</v>
      </c>
      <c r="B1275" s="1" t="s">
        <v>2558</v>
      </c>
      <c r="C1275" s="1" t="s">
        <v>2559</v>
      </c>
      <c r="D1275" s="1" t="s">
        <v>1925</v>
      </c>
    </row>
    <row r="1276" spans="1:4" ht="17" customHeight="1">
      <c r="A1276" s="1">
        <v>4716</v>
      </c>
      <c r="B1276" s="1" t="s">
        <v>2560</v>
      </c>
      <c r="C1276" s="1" t="s">
        <v>2561</v>
      </c>
      <c r="D1276" s="1" t="s">
        <v>1925</v>
      </c>
    </row>
    <row r="1277" spans="1:4" ht="17" customHeight="1">
      <c r="A1277" s="1">
        <v>4721</v>
      </c>
      <c r="B1277" s="1" t="s">
        <v>2562</v>
      </c>
      <c r="C1277" s="1" t="s">
        <v>2563</v>
      </c>
      <c r="D1277" s="1" t="s">
        <v>1925</v>
      </c>
    </row>
    <row r="1278" spans="1:4" ht="17" customHeight="1">
      <c r="A1278" s="1">
        <v>4726</v>
      </c>
      <c r="B1278" s="1" t="s">
        <v>2564</v>
      </c>
      <c r="C1278" s="1" t="s">
        <v>2565</v>
      </c>
      <c r="D1278" s="1" t="s">
        <v>1925</v>
      </c>
    </row>
    <row r="1279" spans="1:4" ht="17" customHeight="1">
      <c r="A1279" s="1">
        <v>4728</v>
      </c>
      <c r="B1279" s="1" t="s">
        <v>2566</v>
      </c>
      <c r="C1279" s="1" t="s">
        <v>2567</v>
      </c>
      <c r="D1279" s="1" t="s">
        <v>1925</v>
      </c>
    </row>
    <row r="1280" spans="1:4" ht="17" customHeight="1">
      <c r="A1280" s="1">
        <v>4729</v>
      </c>
      <c r="B1280" s="1" t="s">
        <v>2568</v>
      </c>
      <c r="C1280" s="1" t="s">
        <v>2569</v>
      </c>
      <c r="D1280" s="1" t="s">
        <v>1925</v>
      </c>
    </row>
    <row r="1281" spans="1:4" ht="17" customHeight="1">
      <c r="A1281" s="1">
        <v>4735</v>
      </c>
      <c r="B1281" s="1" t="s">
        <v>2570</v>
      </c>
      <c r="C1281" s="1" t="s">
        <v>2571</v>
      </c>
      <c r="D1281" s="1" t="s">
        <v>1925</v>
      </c>
    </row>
    <row r="1282" spans="1:4" ht="17" customHeight="1">
      <c r="A1282" s="1">
        <v>4736</v>
      </c>
      <c r="B1282" s="1" t="s">
        <v>2572</v>
      </c>
      <c r="C1282" s="1" t="s">
        <v>2573</v>
      </c>
      <c r="D1282" s="1" t="s">
        <v>1925</v>
      </c>
    </row>
    <row r="1283" spans="1:4" ht="17" customHeight="1">
      <c r="A1283" s="1">
        <v>4741</v>
      </c>
      <c r="B1283" s="1" t="s">
        <v>2574</v>
      </c>
      <c r="C1283" s="1" t="s">
        <v>2575</v>
      </c>
      <c r="D1283" s="1" t="s">
        <v>1925</v>
      </c>
    </row>
    <row r="1284" spans="1:4" ht="17" customHeight="1">
      <c r="A1284" s="1">
        <v>4743</v>
      </c>
      <c r="B1284" s="1" t="s">
        <v>2576</v>
      </c>
      <c r="C1284" s="1" t="s">
        <v>2577</v>
      </c>
      <c r="D1284" s="1" t="s">
        <v>1925</v>
      </c>
    </row>
    <row r="1285" spans="1:4" ht="17" customHeight="1">
      <c r="A1285" s="1">
        <v>4744</v>
      </c>
      <c r="B1285" s="1" t="s">
        <v>2578</v>
      </c>
      <c r="C1285" s="1" t="s">
        <v>2579</v>
      </c>
      <c r="D1285" s="1" t="s">
        <v>1925</v>
      </c>
    </row>
    <row r="1286" spans="1:4" ht="17" customHeight="1">
      <c r="A1286" s="1">
        <v>4745</v>
      </c>
      <c r="B1286" s="1" t="s">
        <v>2580</v>
      </c>
      <c r="C1286" s="1" t="s">
        <v>2581</v>
      </c>
      <c r="D1286" s="1" t="s">
        <v>1925</v>
      </c>
    </row>
    <row r="1287" spans="1:4" ht="17" customHeight="1">
      <c r="A1287" s="1">
        <v>4747</v>
      </c>
      <c r="B1287" s="1" t="s">
        <v>2582</v>
      </c>
      <c r="C1287" s="1" t="s">
        <v>2583</v>
      </c>
      <c r="D1287" s="1" t="s">
        <v>1925</v>
      </c>
    </row>
    <row r="1288" spans="1:4" ht="17" customHeight="1">
      <c r="A1288" s="1">
        <v>4754</v>
      </c>
      <c r="B1288" s="1" t="s">
        <v>2584</v>
      </c>
      <c r="C1288" s="1" t="s">
        <v>2585</v>
      </c>
      <c r="D1288" s="1" t="s">
        <v>1925</v>
      </c>
    </row>
    <row r="1289" spans="1:4" ht="17" customHeight="1">
      <c r="A1289" s="1">
        <v>4760</v>
      </c>
      <c r="B1289" s="1" t="s">
        <v>2586</v>
      </c>
      <c r="C1289" s="1" t="s">
        <v>7126</v>
      </c>
      <c r="D1289" s="1" t="s">
        <v>1925</v>
      </c>
    </row>
    <row r="1290" spans="1:4" ht="17" customHeight="1">
      <c r="A1290" s="1">
        <v>4767</v>
      </c>
      <c r="B1290" s="1" t="s">
        <v>2588</v>
      </c>
      <c r="C1290" s="1" t="s">
        <v>2589</v>
      </c>
      <c r="D1290" s="1" t="s">
        <v>1925</v>
      </c>
    </row>
    <row r="1291" spans="1:4" ht="17" customHeight="1">
      <c r="A1291" s="1">
        <v>4803</v>
      </c>
      <c r="B1291" s="1" t="s">
        <v>2590</v>
      </c>
      <c r="C1291" s="1" t="s">
        <v>2591</v>
      </c>
      <c r="D1291" s="1" t="s">
        <v>1925</v>
      </c>
    </row>
    <row r="1292" spans="1:4" ht="17" customHeight="1">
      <c r="A1292" s="1">
        <v>4804</v>
      </c>
      <c r="B1292" s="1" t="s">
        <v>2592</v>
      </c>
      <c r="C1292" s="1" t="s">
        <v>2593</v>
      </c>
      <c r="D1292" s="1" t="s">
        <v>1925</v>
      </c>
    </row>
    <row r="1293" spans="1:4" ht="17" customHeight="1">
      <c r="A1293" s="1">
        <v>4806</v>
      </c>
      <c r="B1293" s="1" t="s">
        <v>2594</v>
      </c>
      <c r="C1293" s="1" t="s">
        <v>2595</v>
      </c>
      <c r="D1293" s="1" t="s">
        <v>1925</v>
      </c>
    </row>
    <row r="1294" spans="1:4" ht="17" customHeight="1">
      <c r="A1294" s="1">
        <v>4903</v>
      </c>
      <c r="B1294" s="1" t="s">
        <v>2596</v>
      </c>
      <c r="C1294" s="1" t="s">
        <v>2597</v>
      </c>
      <c r="D1294" s="1" t="s">
        <v>1925</v>
      </c>
    </row>
    <row r="1295" spans="1:4" ht="17" customHeight="1">
      <c r="A1295" s="1">
        <v>4905</v>
      </c>
      <c r="B1295" s="1" t="s">
        <v>2598</v>
      </c>
      <c r="C1295" s="1" t="s">
        <v>2599</v>
      </c>
      <c r="D1295" s="1" t="s">
        <v>1925</v>
      </c>
    </row>
    <row r="1296" spans="1:4" ht="17" customHeight="1">
      <c r="A1296" s="1">
        <v>4907</v>
      </c>
      <c r="B1296" s="1" t="s">
        <v>2600</v>
      </c>
      <c r="C1296" s="1" t="s">
        <v>2601</v>
      </c>
      <c r="D1296" s="1" t="s">
        <v>1925</v>
      </c>
    </row>
    <row r="1297" spans="1:4" ht="17" customHeight="1">
      <c r="A1297" s="1">
        <v>4908</v>
      </c>
      <c r="B1297" s="1" t="s">
        <v>2602</v>
      </c>
      <c r="C1297" s="1" t="s">
        <v>2603</v>
      </c>
      <c r="D1297" s="1" t="s">
        <v>1925</v>
      </c>
    </row>
    <row r="1298" spans="1:4" ht="17" customHeight="1">
      <c r="A1298" s="1">
        <v>4909</v>
      </c>
      <c r="B1298" s="1" t="s">
        <v>2604</v>
      </c>
      <c r="C1298" s="1" t="s">
        <v>2605</v>
      </c>
      <c r="D1298" s="1" t="s">
        <v>1925</v>
      </c>
    </row>
    <row r="1299" spans="1:4" ht="17" customHeight="1">
      <c r="A1299" s="1">
        <v>4911</v>
      </c>
      <c r="B1299" s="1" t="s">
        <v>2606</v>
      </c>
      <c r="C1299" s="1" t="s">
        <v>2607</v>
      </c>
      <c r="D1299" s="1" t="s">
        <v>1925</v>
      </c>
    </row>
    <row r="1300" spans="1:4" ht="17" customHeight="1">
      <c r="A1300" s="1">
        <v>4924</v>
      </c>
      <c r="B1300" s="1" t="s">
        <v>2608</v>
      </c>
      <c r="C1300" s="1" t="s">
        <v>2609</v>
      </c>
      <c r="D1300" s="1" t="s">
        <v>1925</v>
      </c>
    </row>
    <row r="1301" spans="1:4" ht="17" customHeight="1">
      <c r="A1301" s="1">
        <v>4931</v>
      </c>
      <c r="B1301" s="1" t="s">
        <v>2610</v>
      </c>
      <c r="C1301" s="1" t="s">
        <v>2611</v>
      </c>
      <c r="D1301" s="1" t="s">
        <v>1925</v>
      </c>
    </row>
    <row r="1302" spans="1:4" ht="17" customHeight="1">
      <c r="A1302" s="1">
        <v>4933</v>
      </c>
      <c r="B1302" s="1" t="s">
        <v>2612</v>
      </c>
      <c r="C1302" s="1" t="s">
        <v>2613</v>
      </c>
      <c r="D1302" s="1" t="s">
        <v>1925</v>
      </c>
    </row>
    <row r="1303" spans="1:4" ht="17" customHeight="1">
      <c r="A1303" s="1">
        <v>4939</v>
      </c>
      <c r="B1303" s="1" t="s">
        <v>2614</v>
      </c>
      <c r="C1303" s="1" t="s">
        <v>2615</v>
      </c>
      <c r="D1303" s="1" t="s">
        <v>1925</v>
      </c>
    </row>
    <row r="1304" spans="1:4" ht="17" customHeight="1">
      <c r="A1304" s="1">
        <v>4944</v>
      </c>
      <c r="B1304" s="1" t="s">
        <v>2616</v>
      </c>
      <c r="C1304" s="1" t="s">
        <v>2617</v>
      </c>
      <c r="D1304" s="1" t="s">
        <v>1925</v>
      </c>
    </row>
    <row r="1305" spans="1:4" ht="17" customHeight="1">
      <c r="A1305" s="1">
        <v>4946</v>
      </c>
      <c r="B1305" s="1" t="s">
        <v>2618</v>
      </c>
      <c r="C1305" s="1" t="s">
        <v>2619</v>
      </c>
      <c r="D1305" s="1" t="s">
        <v>1925</v>
      </c>
    </row>
    <row r="1306" spans="1:4" ht="17" customHeight="1">
      <c r="A1306" s="1">
        <v>4947</v>
      </c>
      <c r="B1306" s="1" t="s">
        <v>2620</v>
      </c>
      <c r="C1306" s="1" t="s">
        <v>2621</v>
      </c>
      <c r="D1306" s="1" t="s">
        <v>1925</v>
      </c>
    </row>
    <row r="1307" spans="1:4" ht="17" customHeight="1">
      <c r="A1307" s="1">
        <v>4950</v>
      </c>
      <c r="B1307" s="1" t="s">
        <v>2622</v>
      </c>
      <c r="C1307" s="1" t="s">
        <v>2623</v>
      </c>
      <c r="D1307" s="1" t="s">
        <v>1925</v>
      </c>
    </row>
    <row r="1308" spans="1:4" ht="17" customHeight="1">
      <c r="A1308" s="1">
        <v>4953</v>
      </c>
      <c r="B1308" s="1" t="s">
        <v>2624</v>
      </c>
      <c r="C1308" s="1" t="s">
        <v>2625</v>
      </c>
      <c r="D1308" s="1" t="s">
        <v>1925</v>
      </c>
    </row>
    <row r="1309" spans="1:4" ht="17" customHeight="1">
      <c r="A1309" s="1">
        <v>4966</v>
      </c>
      <c r="B1309" s="1" t="s">
        <v>2626</v>
      </c>
      <c r="C1309" s="1" t="s">
        <v>2627</v>
      </c>
      <c r="D1309" s="1" t="s">
        <v>1925</v>
      </c>
    </row>
    <row r="1310" spans="1:4" ht="17" customHeight="1">
      <c r="A1310" s="1">
        <v>4971</v>
      </c>
      <c r="B1310" s="1" t="s">
        <v>2628</v>
      </c>
      <c r="C1310" s="1" t="s">
        <v>2629</v>
      </c>
      <c r="D1310" s="1" t="s">
        <v>1925</v>
      </c>
    </row>
    <row r="1311" spans="1:4" ht="17" customHeight="1">
      <c r="A1311" s="1">
        <v>4972</v>
      </c>
      <c r="B1311" s="1" t="s">
        <v>2630</v>
      </c>
      <c r="C1311" s="1" t="s">
        <v>2631</v>
      </c>
      <c r="D1311" s="1" t="s">
        <v>1925</v>
      </c>
    </row>
    <row r="1312" spans="1:4" ht="17" customHeight="1">
      <c r="A1312" s="1">
        <v>4973</v>
      </c>
      <c r="B1312" s="1" t="s">
        <v>2632</v>
      </c>
      <c r="C1312" s="1" t="s">
        <v>2633</v>
      </c>
      <c r="D1312" s="1" t="s">
        <v>1925</v>
      </c>
    </row>
    <row r="1313" spans="1:4" ht="17" customHeight="1">
      <c r="A1313" s="1">
        <v>4974</v>
      </c>
      <c r="B1313" s="1" t="s">
        <v>2634</v>
      </c>
      <c r="C1313" s="1" t="s">
        <v>2635</v>
      </c>
      <c r="D1313" s="1" t="s">
        <v>1925</v>
      </c>
    </row>
    <row r="1314" spans="1:4" ht="17" customHeight="1">
      <c r="A1314" s="1">
        <v>4979</v>
      </c>
      <c r="B1314" s="1" t="s">
        <v>2636</v>
      </c>
      <c r="C1314" s="1" t="s">
        <v>2637</v>
      </c>
      <c r="D1314" s="1" t="s">
        <v>1925</v>
      </c>
    </row>
    <row r="1315" spans="1:4" ht="17" customHeight="1">
      <c r="A1315" s="1">
        <v>4987</v>
      </c>
      <c r="B1315" s="1" t="s">
        <v>2638</v>
      </c>
      <c r="C1315" s="1" t="s">
        <v>2639</v>
      </c>
      <c r="D1315" s="1" t="s">
        <v>1925</v>
      </c>
    </row>
    <row r="1316" spans="1:4" ht="17" customHeight="1">
      <c r="A1316" s="1">
        <v>4991</v>
      </c>
      <c r="B1316" s="1" t="s">
        <v>2640</v>
      </c>
      <c r="C1316" s="1" t="s">
        <v>2641</v>
      </c>
      <c r="D1316" s="1" t="s">
        <v>1925</v>
      </c>
    </row>
    <row r="1317" spans="1:4" ht="17" customHeight="1">
      <c r="A1317" s="1">
        <v>4995</v>
      </c>
      <c r="B1317" s="1" t="s">
        <v>2642</v>
      </c>
      <c r="C1317" s="1" t="s">
        <v>2643</v>
      </c>
      <c r="D1317" s="1" t="s">
        <v>1925</v>
      </c>
    </row>
    <row r="1318" spans="1:4" ht="17" customHeight="1">
      <c r="A1318" s="1">
        <v>5009</v>
      </c>
      <c r="B1318" s="1" t="s">
        <v>2644</v>
      </c>
      <c r="C1318" s="1" t="s">
        <v>2645</v>
      </c>
      <c r="D1318" s="1" t="s">
        <v>1925</v>
      </c>
    </row>
    <row r="1319" spans="1:4" ht="17" customHeight="1">
      <c r="A1319" s="1">
        <v>5011</v>
      </c>
      <c r="B1319" s="1" t="s">
        <v>2646</v>
      </c>
      <c r="C1319" s="1" t="s">
        <v>2647</v>
      </c>
      <c r="D1319" s="1" t="s">
        <v>1925</v>
      </c>
    </row>
    <row r="1320" spans="1:4" ht="17" customHeight="1">
      <c r="A1320" s="1">
        <v>5013</v>
      </c>
      <c r="B1320" s="1" t="s">
        <v>2648</v>
      </c>
      <c r="C1320" s="1" t="s">
        <v>2649</v>
      </c>
      <c r="D1320" s="1" t="s">
        <v>1925</v>
      </c>
    </row>
    <row r="1321" spans="1:4" ht="17" customHeight="1">
      <c r="A1321" s="1">
        <v>5014</v>
      </c>
      <c r="B1321" s="1" t="s">
        <v>2650</v>
      </c>
      <c r="C1321" s="1" t="s">
        <v>2651</v>
      </c>
      <c r="D1321" s="1" t="s">
        <v>1925</v>
      </c>
    </row>
    <row r="1322" spans="1:4" ht="17" customHeight="1">
      <c r="A1322" s="1">
        <v>5015</v>
      </c>
      <c r="B1322" s="1" t="s">
        <v>2652</v>
      </c>
      <c r="C1322" s="1" t="s">
        <v>2653</v>
      </c>
      <c r="D1322" s="1" t="s">
        <v>1925</v>
      </c>
    </row>
    <row r="1323" spans="1:4" ht="17" customHeight="1">
      <c r="A1323" s="1">
        <v>5016</v>
      </c>
      <c r="B1323" s="1" t="s">
        <v>2654</v>
      </c>
      <c r="C1323" s="1" t="s">
        <v>2655</v>
      </c>
      <c r="D1323" s="1" t="s">
        <v>1925</v>
      </c>
    </row>
    <row r="1324" spans="1:4" ht="17" customHeight="1">
      <c r="A1324" s="1">
        <v>5102</v>
      </c>
      <c r="B1324" s="1" t="s">
        <v>2656</v>
      </c>
      <c r="C1324" s="1" t="s">
        <v>2657</v>
      </c>
      <c r="D1324" s="1" t="s">
        <v>1925</v>
      </c>
    </row>
    <row r="1325" spans="1:4" ht="17" customHeight="1">
      <c r="A1325" s="1">
        <v>5201</v>
      </c>
      <c r="B1325" s="1" t="s">
        <v>2658</v>
      </c>
      <c r="C1325" s="1" t="s">
        <v>2659</v>
      </c>
      <c r="D1325" s="1" t="s">
        <v>1925</v>
      </c>
    </row>
    <row r="1326" spans="1:4" ht="17" customHeight="1">
      <c r="A1326" s="1">
        <v>5202</v>
      </c>
      <c r="B1326" s="1" t="s">
        <v>2660</v>
      </c>
      <c r="C1326" s="1" t="s">
        <v>2661</v>
      </c>
      <c r="D1326" s="1" t="s">
        <v>1925</v>
      </c>
    </row>
    <row r="1327" spans="1:4" ht="17" customHeight="1">
      <c r="A1327" s="1">
        <v>5205</v>
      </c>
      <c r="B1327" s="1" t="s">
        <v>2662</v>
      </c>
      <c r="C1327" s="1" t="s">
        <v>2663</v>
      </c>
      <c r="D1327" s="1" t="s">
        <v>1925</v>
      </c>
    </row>
    <row r="1328" spans="1:4" ht="17" customHeight="1">
      <c r="A1328" s="1">
        <v>5206</v>
      </c>
      <c r="B1328" s="1" t="s">
        <v>2664</v>
      </c>
      <c r="C1328" s="1" t="s">
        <v>2665</v>
      </c>
      <c r="D1328" s="1" t="s">
        <v>1925</v>
      </c>
    </row>
    <row r="1329" spans="1:4" ht="17" customHeight="1">
      <c r="A1329" s="1">
        <v>5209</v>
      </c>
      <c r="B1329" s="1" t="s">
        <v>2666</v>
      </c>
      <c r="C1329" s="1" t="s">
        <v>2667</v>
      </c>
      <c r="D1329" s="1" t="s">
        <v>1925</v>
      </c>
    </row>
    <row r="1330" spans="1:4" ht="17" customHeight="1">
      <c r="A1330" s="1">
        <v>5210</v>
      </c>
      <c r="B1330" s="1" t="s">
        <v>2668</v>
      </c>
      <c r="C1330" s="1" t="s">
        <v>2669</v>
      </c>
      <c r="D1330" s="1" t="s">
        <v>1925</v>
      </c>
    </row>
    <row r="1331" spans="1:4" ht="17" customHeight="1">
      <c r="A1331" s="1">
        <v>5211</v>
      </c>
      <c r="B1331" s="1" t="s">
        <v>2670</v>
      </c>
      <c r="C1331" s="1" t="s">
        <v>2671</v>
      </c>
      <c r="D1331" s="1" t="s">
        <v>1925</v>
      </c>
    </row>
    <row r="1332" spans="1:4" ht="17" customHeight="1">
      <c r="A1332" s="1">
        <v>5212</v>
      </c>
      <c r="B1332" s="1" t="s">
        <v>2672</v>
      </c>
      <c r="C1332" s="1" t="s">
        <v>2673</v>
      </c>
      <c r="D1332" s="1" t="s">
        <v>1925</v>
      </c>
    </row>
    <row r="1333" spans="1:4" ht="17" customHeight="1">
      <c r="A1333" s="1">
        <v>5213</v>
      </c>
      <c r="B1333" s="1" t="s">
        <v>2674</v>
      </c>
      <c r="C1333" s="1" t="s">
        <v>2675</v>
      </c>
      <c r="D1333" s="1" t="s">
        <v>1925</v>
      </c>
    </row>
    <row r="1334" spans="1:4" ht="17" customHeight="1">
      <c r="A1334" s="1">
        <v>5220</v>
      </c>
      <c r="B1334" s="1" t="s">
        <v>2676</v>
      </c>
      <c r="C1334" s="1" t="s">
        <v>2677</v>
      </c>
      <c r="D1334" s="1" t="s">
        <v>1925</v>
      </c>
    </row>
    <row r="1335" spans="1:4" ht="17" customHeight="1">
      <c r="A1335" s="1">
        <v>5223</v>
      </c>
      <c r="B1335" s="1" t="s">
        <v>2678</v>
      </c>
      <c r="C1335" s="1" t="s">
        <v>2679</v>
      </c>
      <c r="D1335" s="1" t="s">
        <v>1925</v>
      </c>
    </row>
    <row r="1336" spans="1:4" ht="17" customHeight="1">
      <c r="A1336" s="1">
        <v>5227</v>
      </c>
      <c r="B1336" s="1" t="s">
        <v>2680</v>
      </c>
      <c r="C1336" s="1" t="s">
        <v>2681</v>
      </c>
      <c r="D1336" s="1" t="s">
        <v>1925</v>
      </c>
    </row>
    <row r="1337" spans="1:4" ht="17" customHeight="1">
      <c r="A1337" s="1">
        <v>5230</v>
      </c>
      <c r="B1337" s="1" t="s">
        <v>2682</v>
      </c>
      <c r="C1337" s="1" t="s">
        <v>2683</v>
      </c>
      <c r="D1337" s="1" t="s">
        <v>1925</v>
      </c>
    </row>
    <row r="1338" spans="1:4" ht="17" customHeight="1">
      <c r="A1338" s="1">
        <v>5245</v>
      </c>
      <c r="B1338" s="1" t="s">
        <v>2684</v>
      </c>
      <c r="C1338" s="1" t="s">
        <v>2685</v>
      </c>
      <c r="D1338" s="1" t="s">
        <v>1925</v>
      </c>
    </row>
    <row r="1339" spans="1:4" ht="17" customHeight="1">
      <c r="A1339" s="1">
        <v>5251</v>
      </c>
      <c r="B1339" s="1" t="s">
        <v>2686</v>
      </c>
      <c r="C1339" s="1" t="s">
        <v>2687</v>
      </c>
      <c r="D1339" s="1" t="s">
        <v>1925</v>
      </c>
    </row>
    <row r="1340" spans="1:4" ht="17" customHeight="1">
      <c r="A1340" s="1">
        <v>5263</v>
      </c>
      <c r="B1340" s="1" t="s">
        <v>2688</v>
      </c>
      <c r="C1340" s="1" t="s">
        <v>2689</v>
      </c>
      <c r="D1340" s="1" t="s">
        <v>1925</v>
      </c>
    </row>
    <row r="1341" spans="1:4" ht="17" customHeight="1">
      <c r="A1341" s="1">
        <v>5272</v>
      </c>
      <c r="B1341" s="1" t="s">
        <v>2690</v>
      </c>
      <c r="C1341" s="1" t="s">
        <v>2691</v>
      </c>
      <c r="D1341" s="1" t="s">
        <v>1925</v>
      </c>
    </row>
    <row r="1342" spans="1:4" ht="17" customHeight="1">
      <c r="A1342" s="1">
        <v>5274</v>
      </c>
      <c r="B1342" s="1" t="s">
        <v>2692</v>
      </c>
      <c r="C1342" s="1" t="s">
        <v>2693</v>
      </c>
      <c r="D1342" s="1" t="s">
        <v>1925</v>
      </c>
    </row>
    <row r="1343" spans="1:4" ht="17" customHeight="1">
      <c r="A1343" s="1">
        <v>5276</v>
      </c>
      <c r="B1343" s="1" t="s">
        <v>2694</v>
      </c>
      <c r="C1343" s="1" t="s">
        <v>2695</v>
      </c>
      <c r="D1343" s="1" t="s">
        <v>1925</v>
      </c>
    </row>
    <row r="1344" spans="1:4" ht="17" customHeight="1">
      <c r="A1344" s="1">
        <v>5278</v>
      </c>
      <c r="B1344" s="1" t="s">
        <v>2696</v>
      </c>
      <c r="C1344" s="1" t="s">
        <v>2697</v>
      </c>
      <c r="D1344" s="1" t="s">
        <v>1925</v>
      </c>
    </row>
    <row r="1345" spans="1:4" ht="17" customHeight="1">
      <c r="A1345" s="1">
        <v>5281</v>
      </c>
      <c r="B1345" s="1" t="s">
        <v>2698</v>
      </c>
      <c r="C1345" s="1" t="s">
        <v>2699</v>
      </c>
      <c r="D1345" s="1" t="s">
        <v>1925</v>
      </c>
    </row>
    <row r="1346" spans="1:4" ht="17" customHeight="1">
      <c r="A1346" s="1">
        <v>5287</v>
      </c>
      <c r="B1346" s="1" t="s">
        <v>2700</v>
      </c>
      <c r="C1346" s="1" t="s">
        <v>2701</v>
      </c>
      <c r="D1346" s="1" t="s">
        <v>1925</v>
      </c>
    </row>
    <row r="1347" spans="1:4" ht="17" customHeight="1">
      <c r="A1347" s="1">
        <v>5289</v>
      </c>
      <c r="B1347" s="1" t="s">
        <v>2702</v>
      </c>
      <c r="C1347" s="1" t="s">
        <v>2703</v>
      </c>
      <c r="D1347" s="1" t="s">
        <v>1925</v>
      </c>
    </row>
    <row r="1348" spans="1:4" ht="17" customHeight="1">
      <c r="A1348" s="1">
        <v>5291</v>
      </c>
      <c r="B1348" s="1" t="s">
        <v>2704</v>
      </c>
      <c r="C1348" s="1" t="s">
        <v>2705</v>
      </c>
      <c r="D1348" s="1" t="s">
        <v>1925</v>
      </c>
    </row>
    <row r="1349" spans="1:4" ht="17" customHeight="1">
      <c r="A1349" s="1">
        <v>5299</v>
      </c>
      <c r="B1349" s="1" t="s">
        <v>2706</v>
      </c>
      <c r="C1349" s="1" t="s">
        <v>2707</v>
      </c>
      <c r="D1349" s="1" t="s">
        <v>1925</v>
      </c>
    </row>
    <row r="1350" spans="1:4" ht="17" customHeight="1">
      <c r="A1350" s="1">
        <v>5301</v>
      </c>
      <c r="B1350" s="1" t="s">
        <v>2708</v>
      </c>
      <c r="C1350" s="1" t="s">
        <v>2709</v>
      </c>
      <c r="D1350" s="1" t="s">
        <v>1925</v>
      </c>
    </row>
    <row r="1351" spans="1:4" ht="17" customHeight="1">
      <c r="A1351" s="1">
        <v>5302</v>
      </c>
      <c r="B1351" s="1" t="s">
        <v>2710</v>
      </c>
      <c r="C1351" s="1" t="s">
        <v>2711</v>
      </c>
      <c r="D1351" s="1" t="s">
        <v>1925</v>
      </c>
    </row>
    <row r="1352" spans="1:4" ht="17" customHeight="1">
      <c r="A1352" s="1">
        <v>5304</v>
      </c>
      <c r="B1352" s="1" t="s">
        <v>2712</v>
      </c>
      <c r="C1352" s="1" t="s">
        <v>2713</v>
      </c>
      <c r="D1352" s="1" t="s">
        <v>1925</v>
      </c>
    </row>
    <row r="1353" spans="1:4" ht="17" customHeight="1">
      <c r="A1353" s="1">
        <v>5306</v>
      </c>
      <c r="B1353" s="1" t="s">
        <v>2714</v>
      </c>
      <c r="C1353" s="1" t="s">
        <v>2715</v>
      </c>
      <c r="D1353" s="1" t="s">
        <v>1925</v>
      </c>
    </row>
    <row r="1354" spans="1:4" ht="17" customHeight="1">
      <c r="A1354" s="1">
        <v>5309</v>
      </c>
      <c r="B1354" s="1" t="s">
        <v>2716</v>
      </c>
      <c r="C1354" s="1" t="s">
        <v>2717</v>
      </c>
      <c r="D1354" s="1" t="s">
        <v>1925</v>
      </c>
    </row>
    <row r="1355" spans="1:4" ht="17" customHeight="1">
      <c r="A1355" s="1">
        <v>5310</v>
      </c>
      <c r="B1355" s="1" t="s">
        <v>2718</v>
      </c>
      <c r="C1355" s="1" t="s">
        <v>2719</v>
      </c>
      <c r="D1355" s="1" t="s">
        <v>1925</v>
      </c>
    </row>
    <row r="1356" spans="1:4" ht="17" customHeight="1">
      <c r="A1356" s="1">
        <v>5312</v>
      </c>
      <c r="B1356" s="1" t="s">
        <v>2720</v>
      </c>
      <c r="C1356" s="1" t="s">
        <v>2721</v>
      </c>
      <c r="D1356" s="1" t="s">
        <v>1925</v>
      </c>
    </row>
    <row r="1357" spans="1:4" ht="17" customHeight="1">
      <c r="A1357" s="1">
        <v>5314</v>
      </c>
      <c r="B1357" s="1" t="s">
        <v>2722</v>
      </c>
      <c r="C1357" s="1" t="s">
        <v>2723</v>
      </c>
      <c r="D1357" s="1" t="s">
        <v>1925</v>
      </c>
    </row>
    <row r="1358" spans="1:4" ht="17" customHeight="1">
      <c r="A1358" s="1">
        <v>5315</v>
      </c>
      <c r="B1358" s="1" t="s">
        <v>2724</v>
      </c>
      <c r="C1358" s="1" t="s">
        <v>2725</v>
      </c>
      <c r="D1358" s="1" t="s">
        <v>1925</v>
      </c>
    </row>
    <row r="1359" spans="1:4" ht="17" customHeight="1">
      <c r="A1359" s="1">
        <v>5321</v>
      </c>
      <c r="B1359" s="1" t="s">
        <v>2726</v>
      </c>
      <c r="C1359" s="1" t="s">
        <v>2727</v>
      </c>
      <c r="D1359" s="1" t="s">
        <v>1925</v>
      </c>
    </row>
    <row r="1360" spans="1:4" ht="17" customHeight="1">
      <c r="A1360" s="1">
        <v>5324</v>
      </c>
      <c r="B1360" s="1" t="s">
        <v>2728</v>
      </c>
      <c r="C1360" s="1" t="s">
        <v>2729</v>
      </c>
      <c r="D1360" s="1" t="s">
        <v>1925</v>
      </c>
    </row>
    <row r="1361" spans="1:4" ht="17" customHeight="1">
      <c r="A1361" s="1">
        <v>5328</v>
      </c>
      <c r="B1361" s="1" t="s">
        <v>2730</v>
      </c>
      <c r="C1361" s="1" t="s">
        <v>2731</v>
      </c>
      <c r="D1361" s="1" t="s">
        <v>1925</v>
      </c>
    </row>
    <row r="1362" spans="1:4" ht="17" customHeight="1">
      <c r="A1362" s="1">
        <v>5340</v>
      </c>
      <c r="B1362" s="1" t="s">
        <v>2732</v>
      </c>
      <c r="C1362" s="1" t="s">
        <v>2733</v>
      </c>
      <c r="D1362" s="1" t="s">
        <v>1925</v>
      </c>
    </row>
    <row r="1363" spans="1:4" ht="17" customHeight="1">
      <c r="A1363" s="1">
        <v>5344</v>
      </c>
      <c r="B1363" s="1" t="s">
        <v>2734</v>
      </c>
      <c r="C1363" s="1" t="s">
        <v>2735</v>
      </c>
      <c r="D1363" s="1" t="s">
        <v>1925</v>
      </c>
    </row>
    <row r="1364" spans="1:4" ht="17" customHeight="1">
      <c r="A1364" s="1">
        <v>5345</v>
      </c>
      <c r="B1364" s="1" t="s">
        <v>2736</v>
      </c>
      <c r="C1364" s="1" t="s">
        <v>2737</v>
      </c>
      <c r="D1364" s="1" t="s">
        <v>1925</v>
      </c>
    </row>
    <row r="1365" spans="1:4" ht="17" customHeight="1">
      <c r="A1365" s="1">
        <v>5347</v>
      </c>
      <c r="B1365" s="1" t="s">
        <v>2738</v>
      </c>
      <c r="C1365" s="1" t="s">
        <v>2739</v>
      </c>
      <c r="D1365" s="1" t="s">
        <v>1925</v>
      </c>
    </row>
    <row r="1366" spans="1:4" ht="17" customHeight="1">
      <c r="A1366" s="1">
        <v>5348</v>
      </c>
      <c r="B1366" s="1" t="s">
        <v>2740</v>
      </c>
      <c r="C1366" s="1" t="s">
        <v>2741</v>
      </c>
      <c r="D1366" s="1" t="s">
        <v>1925</v>
      </c>
    </row>
    <row r="1367" spans="1:4" ht="17" customHeight="1">
      <c r="A1367" s="1">
        <v>5349</v>
      </c>
      <c r="B1367" s="1" t="s">
        <v>2742</v>
      </c>
      <c r="C1367" s="1" t="s">
        <v>2743</v>
      </c>
      <c r="D1367" s="1" t="s">
        <v>1925</v>
      </c>
    </row>
    <row r="1368" spans="1:4" ht="17" customHeight="1">
      <c r="A1368" s="1">
        <v>5351</v>
      </c>
      <c r="B1368" s="1" t="s">
        <v>2744</v>
      </c>
      <c r="C1368" s="1" t="s">
        <v>2745</v>
      </c>
      <c r="D1368" s="1" t="s">
        <v>1925</v>
      </c>
    </row>
    <row r="1369" spans="1:4" ht="17" customHeight="1">
      <c r="A1369" s="1">
        <v>5353</v>
      </c>
      <c r="B1369" s="1" t="s">
        <v>2746</v>
      </c>
      <c r="C1369" s="1" t="s">
        <v>2747</v>
      </c>
      <c r="D1369" s="1" t="s">
        <v>1925</v>
      </c>
    </row>
    <row r="1370" spans="1:4" ht="17" customHeight="1">
      <c r="A1370" s="1">
        <v>5355</v>
      </c>
      <c r="B1370" s="1" t="s">
        <v>2748</v>
      </c>
      <c r="C1370" s="1" t="s">
        <v>2749</v>
      </c>
      <c r="D1370" s="1" t="s">
        <v>1925</v>
      </c>
    </row>
    <row r="1371" spans="1:4" ht="17" customHeight="1">
      <c r="A1371" s="1">
        <v>5356</v>
      </c>
      <c r="B1371" s="1" t="s">
        <v>2750</v>
      </c>
      <c r="C1371" s="1" t="s">
        <v>2751</v>
      </c>
      <c r="D1371" s="1" t="s">
        <v>1925</v>
      </c>
    </row>
    <row r="1372" spans="1:4" ht="17" customHeight="1">
      <c r="A1372" s="1">
        <v>5364</v>
      </c>
      <c r="B1372" s="1" t="s">
        <v>2752</v>
      </c>
      <c r="C1372" s="1" t="s">
        <v>2753</v>
      </c>
      <c r="D1372" s="1" t="s">
        <v>1925</v>
      </c>
    </row>
    <row r="1373" spans="1:4" ht="17" customHeight="1">
      <c r="A1373" s="1">
        <v>5371</v>
      </c>
      <c r="B1373" s="1" t="s">
        <v>2754</v>
      </c>
      <c r="C1373" s="1" t="s">
        <v>2755</v>
      </c>
      <c r="D1373" s="1" t="s">
        <v>1925</v>
      </c>
    </row>
    <row r="1374" spans="1:4" ht="17" customHeight="1">
      <c r="A1374" s="1">
        <v>5381</v>
      </c>
      <c r="B1374" s="1" t="s">
        <v>2756</v>
      </c>
      <c r="C1374" s="1" t="s">
        <v>2757</v>
      </c>
      <c r="D1374" s="1" t="s">
        <v>1925</v>
      </c>
    </row>
    <row r="1375" spans="1:4" ht="17" customHeight="1">
      <c r="A1375" s="1">
        <v>5383</v>
      </c>
      <c r="B1375" s="1" t="s">
        <v>2758</v>
      </c>
      <c r="C1375" s="1" t="s">
        <v>2759</v>
      </c>
      <c r="D1375" s="1" t="s">
        <v>1925</v>
      </c>
    </row>
    <row r="1376" spans="1:4" ht="17" customHeight="1">
      <c r="A1376" s="1">
        <v>5386</v>
      </c>
      <c r="B1376" s="1" t="s">
        <v>2760</v>
      </c>
      <c r="C1376" s="1" t="s">
        <v>2761</v>
      </c>
      <c r="D1376" s="1" t="s">
        <v>1925</v>
      </c>
    </row>
    <row r="1377" spans="1:4" ht="17" customHeight="1">
      <c r="A1377" s="1">
        <v>5392</v>
      </c>
      <c r="B1377" s="1" t="s">
        <v>2762</v>
      </c>
      <c r="C1377" s="1" t="s">
        <v>2763</v>
      </c>
      <c r="D1377" s="1" t="s">
        <v>1925</v>
      </c>
    </row>
    <row r="1378" spans="1:4" ht="17" customHeight="1">
      <c r="A1378" s="1">
        <v>5398</v>
      </c>
      <c r="B1378" s="1" t="s">
        <v>2764</v>
      </c>
      <c r="C1378" s="1" t="s">
        <v>2765</v>
      </c>
      <c r="D1378" s="1" t="s">
        <v>1925</v>
      </c>
    </row>
    <row r="1379" spans="1:4" ht="17" customHeight="1">
      <c r="A1379" s="1">
        <v>5403</v>
      </c>
      <c r="B1379" s="1" t="s">
        <v>2766</v>
      </c>
      <c r="C1379" s="1" t="s">
        <v>2767</v>
      </c>
      <c r="D1379" s="1" t="s">
        <v>1925</v>
      </c>
    </row>
    <row r="1380" spans="1:4" ht="17" customHeight="1">
      <c r="A1380" s="1">
        <v>5410</v>
      </c>
      <c r="B1380" s="1" t="s">
        <v>2768</v>
      </c>
      <c r="C1380" s="1" t="s">
        <v>2769</v>
      </c>
      <c r="D1380" s="1" t="s">
        <v>1925</v>
      </c>
    </row>
    <row r="1381" spans="1:4" ht="17" customHeight="1">
      <c r="A1381" s="1">
        <v>5425</v>
      </c>
      <c r="B1381" s="1" t="s">
        <v>2770</v>
      </c>
      <c r="C1381" s="1" t="s">
        <v>2771</v>
      </c>
      <c r="D1381" s="1" t="s">
        <v>1925</v>
      </c>
    </row>
    <row r="1382" spans="1:4" ht="17" customHeight="1">
      <c r="A1382" s="1">
        <v>5426</v>
      </c>
      <c r="B1382" s="1" t="s">
        <v>2772</v>
      </c>
      <c r="C1382" s="1" t="s">
        <v>2773</v>
      </c>
      <c r="D1382" s="1" t="s">
        <v>1925</v>
      </c>
    </row>
    <row r="1383" spans="1:4" ht="17" customHeight="1">
      <c r="A1383" s="1">
        <v>5432</v>
      </c>
      <c r="B1383" s="1" t="s">
        <v>2774</v>
      </c>
      <c r="C1383" s="1" t="s">
        <v>2775</v>
      </c>
      <c r="D1383" s="1" t="s">
        <v>1925</v>
      </c>
    </row>
    <row r="1384" spans="1:4" ht="17" customHeight="1">
      <c r="A1384" s="1">
        <v>5438</v>
      </c>
      <c r="B1384" s="1" t="s">
        <v>2776</v>
      </c>
      <c r="C1384" s="1" t="s">
        <v>2777</v>
      </c>
      <c r="D1384" s="1" t="s">
        <v>1925</v>
      </c>
    </row>
    <row r="1385" spans="1:4" ht="17" customHeight="1">
      <c r="A1385" s="1">
        <v>5439</v>
      </c>
      <c r="B1385" s="1" t="s">
        <v>2778</v>
      </c>
      <c r="C1385" s="1" t="s">
        <v>2779</v>
      </c>
      <c r="D1385" s="1" t="s">
        <v>1925</v>
      </c>
    </row>
    <row r="1386" spans="1:4" ht="17" customHeight="1">
      <c r="A1386" s="1">
        <v>5443</v>
      </c>
      <c r="B1386" s="1" t="s">
        <v>2780</v>
      </c>
      <c r="C1386" s="1" t="s">
        <v>2781</v>
      </c>
      <c r="D1386" s="1" t="s">
        <v>1925</v>
      </c>
    </row>
    <row r="1387" spans="1:4" ht="17" customHeight="1">
      <c r="A1387" s="1">
        <v>5450</v>
      </c>
      <c r="B1387" s="1" t="s">
        <v>2782</v>
      </c>
      <c r="C1387" s="1" t="s">
        <v>2783</v>
      </c>
      <c r="D1387" s="1" t="s">
        <v>1925</v>
      </c>
    </row>
    <row r="1388" spans="1:4" ht="17" customHeight="1">
      <c r="A1388" s="1">
        <v>5452</v>
      </c>
      <c r="B1388" s="1" t="s">
        <v>2784</v>
      </c>
      <c r="C1388" s="1" t="s">
        <v>2785</v>
      </c>
      <c r="D1388" s="1" t="s">
        <v>1925</v>
      </c>
    </row>
    <row r="1389" spans="1:4" ht="17" customHeight="1">
      <c r="A1389" s="1">
        <v>5455</v>
      </c>
      <c r="B1389" s="1" t="s">
        <v>2786</v>
      </c>
      <c r="C1389" s="1" t="s">
        <v>2787</v>
      </c>
      <c r="D1389" s="1" t="s">
        <v>1925</v>
      </c>
    </row>
    <row r="1390" spans="1:4" ht="17" customHeight="1">
      <c r="A1390" s="1">
        <v>5457</v>
      </c>
      <c r="B1390" s="1" t="s">
        <v>2788</v>
      </c>
      <c r="C1390" s="1" t="s">
        <v>2789</v>
      </c>
      <c r="D1390" s="1" t="s">
        <v>1925</v>
      </c>
    </row>
    <row r="1391" spans="1:4" ht="17" customHeight="1">
      <c r="A1391" s="1">
        <v>5460</v>
      </c>
      <c r="B1391" s="1" t="s">
        <v>2790</v>
      </c>
      <c r="C1391" s="1" t="s">
        <v>2791</v>
      </c>
      <c r="D1391" s="1" t="s">
        <v>1925</v>
      </c>
    </row>
    <row r="1392" spans="1:4" ht="17" customHeight="1">
      <c r="A1392" s="1">
        <v>5464</v>
      </c>
      <c r="B1392" s="1" t="s">
        <v>2792</v>
      </c>
      <c r="C1392" s="1" t="s">
        <v>2793</v>
      </c>
      <c r="D1392" s="1" t="s">
        <v>1925</v>
      </c>
    </row>
    <row r="1393" spans="1:4" ht="17" customHeight="1">
      <c r="A1393" s="1">
        <v>5465</v>
      </c>
      <c r="B1393" s="1" t="s">
        <v>2794</v>
      </c>
      <c r="C1393" s="1" t="s">
        <v>2795</v>
      </c>
      <c r="D1393" s="1" t="s">
        <v>1925</v>
      </c>
    </row>
    <row r="1394" spans="1:4" ht="17" customHeight="1">
      <c r="A1394" s="1">
        <v>5468</v>
      </c>
      <c r="B1394" s="1" t="s">
        <v>2796</v>
      </c>
      <c r="C1394" s="1" t="s">
        <v>2797</v>
      </c>
      <c r="D1394" s="1" t="s">
        <v>1925</v>
      </c>
    </row>
    <row r="1395" spans="1:4" ht="17" customHeight="1">
      <c r="A1395" s="1">
        <v>5474</v>
      </c>
      <c r="B1395" s="1" t="s">
        <v>2798</v>
      </c>
      <c r="C1395" s="1" t="s">
        <v>2799</v>
      </c>
      <c r="D1395" s="1" t="s">
        <v>1925</v>
      </c>
    </row>
    <row r="1396" spans="1:4" ht="17" customHeight="1">
      <c r="A1396" s="1">
        <v>5475</v>
      </c>
      <c r="B1396" s="1" t="s">
        <v>2800</v>
      </c>
      <c r="C1396" s="1" t="s">
        <v>2801</v>
      </c>
      <c r="D1396" s="1" t="s">
        <v>1925</v>
      </c>
    </row>
    <row r="1397" spans="1:4" ht="17" customHeight="1">
      <c r="A1397" s="1">
        <v>5478</v>
      </c>
      <c r="B1397" s="1" t="s">
        <v>2802</v>
      </c>
      <c r="C1397" s="1" t="s">
        <v>2803</v>
      </c>
      <c r="D1397" s="1" t="s">
        <v>1925</v>
      </c>
    </row>
    <row r="1398" spans="1:4" ht="17" customHeight="1">
      <c r="A1398" s="1">
        <v>5481</v>
      </c>
      <c r="B1398" s="1" t="s">
        <v>2804</v>
      </c>
      <c r="C1398" s="1" t="s">
        <v>2805</v>
      </c>
      <c r="D1398" s="1" t="s">
        <v>1925</v>
      </c>
    </row>
    <row r="1399" spans="1:4" ht="17" customHeight="1">
      <c r="A1399" s="1">
        <v>5483</v>
      </c>
      <c r="B1399" s="1" t="s">
        <v>2806</v>
      </c>
      <c r="C1399" s="1" t="s">
        <v>2807</v>
      </c>
      <c r="D1399" s="1" t="s">
        <v>1925</v>
      </c>
    </row>
    <row r="1400" spans="1:4" ht="17" customHeight="1">
      <c r="A1400" s="1">
        <v>5487</v>
      </c>
      <c r="B1400" s="1" t="s">
        <v>2808</v>
      </c>
      <c r="C1400" s="1" t="s">
        <v>2809</v>
      </c>
      <c r="D1400" s="1" t="s">
        <v>1925</v>
      </c>
    </row>
    <row r="1401" spans="1:4" ht="17" customHeight="1">
      <c r="A1401" s="1">
        <v>5488</v>
      </c>
      <c r="B1401" s="1" t="s">
        <v>2810</v>
      </c>
      <c r="C1401" s="1" t="s">
        <v>2811</v>
      </c>
      <c r="D1401" s="1" t="s">
        <v>1925</v>
      </c>
    </row>
    <row r="1402" spans="1:4" ht="17" customHeight="1">
      <c r="A1402" s="1">
        <v>5489</v>
      </c>
      <c r="B1402" s="1" t="s">
        <v>2812</v>
      </c>
      <c r="C1402" s="1" t="s">
        <v>2813</v>
      </c>
      <c r="D1402" s="1" t="s">
        <v>1925</v>
      </c>
    </row>
    <row r="1403" spans="1:4" ht="17" customHeight="1">
      <c r="A1403" s="1">
        <v>5490</v>
      </c>
      <c r="B1403" s="1" t="s">
        <v>2814</v>
      </c>
      <c r="C1403" s="1" t="s">
        <v>2815</v>
      </c>
      <c r="D1403" s="1" t="s">
        <v>1925</v>
      </c>
    </row>
    <row r="1404" spans="1:4" ht="17" customHeight="1">
      <c r="A1404" s="1">
        <v>5493</v>
      </c>
      <c r="B1404" s="1" t="s">
        <v>2816</v>
      </c>
      <c r="C1404" s="1" t="s">
        <v>2817</v>
      </c>
      <c r="D1404" s="1" t="s">
        <v>1925</v>
      </c>
    </row>
    <row r="1405" spans="1:4" ht="17" customHeight="1">
      <c r="A1405" s="1">
        <v>5498</v>
      </c>
      <c r="B1405" s="1" t="s">
        <v>2818</v>
      </c>
      <c r="C1405" s="1" t="s">
        <v>2819</v>
      </c>
      <c r="D1405" s="1" t="s">
        <v>1925</v>
      </c>
    </row>
    <row r="1406" spans="1:4" ht="17" customHeight="1">
      <c r="A1406" s="1">
        <v>5508</v>
      </c>
      <c r="B1406" s="1" t="s">
        <v>2820</v>
      </c>
      <c r="C1406" s="1" t="s">
        <v>2821</v>
      </c>
      <c r="D1406" s="1" t="s">
        <v>1925</v>
      </c>
    </row>
    <row r="1407" spans="1:4" ht="17" customHeight="1">
      <c r="A1407" s="1">
        <v>5511</v>
      </c>
      <c r="B1407" s="1" t="s">
        <v>2822</v>
      </c>
      <c r="C1407" s="1" t="s">
        <v>2823</v>
      </c>
      <c r="D1407" s="1" t="s">
        <v>1925</v>
      </c>
    </row>
    <row r="1408" spans="1:4" ht="17" customHeight="1">
      <c r="A1408" s="1">
        <v>5512</v>
      </c>
      <c r="B1408" s="1" t="s">
        <v>2824</v>
      </c>
      <c r="C1408" s="1" t="s">
        <v>2825</v>
      </c>
      <c r="D1408" s="1" t="s">
        <v>1925</v>
      </c>
    </row>
    <row r="1409" spans="1:4" ht="17" customHeight="1">
      <c r="A1409" s="1">
        <v>5514</v>
      </c>
      <c r="B1409" s="1" t="s">
        <v>2826</v>
      </c>
      <c r="C1409" s="1" t="s">
        <v>2827</v>
      </c>
      <c r="D1409" s="1" t="s">
        <v>1925</v>
      </c>
    </row>
    <row r="1410" spans="1:4" ht="17" customHeight="1">
      <c r="A1410" s="1">
        <v>5516</v>
      </c>
      <c r="B1410" s="1" t="s">
        <v>2828</v>
      </c>
      <c r="C1410" s="1" t="s">
        <v>2829</v>
      </c>
      <c r="D1410" s="1" t="s">
        <v>1925</v>
      </c>
    </row>
    <row r="1411" spans="1:4" ht="17" customHeight="1">
      <c r="A1411" s="1">
        <v>5520</v>
      </c>
      <c r="B1411" s="1" t="s">
        <v>2830</v>
      </c>
      <c r="C1411" s="1" t="s">
        <v>2831</v>
      </c>
      <c r="D1411" s="1" t="s">
        <v>1925</v>
      </c>
    </row>
    <row r="1412" spans="1:4" ht="17" customHeight="1">
      <c r="A1412" s="1">
        <v>5523</v>
      </c>
      <c r="B1412" s="1" t="s">
        <v>2832</v>
      </c>
      <c r="C1412" s="1" t="s">
        <v>2833</v>
      </c>
      <c r="D1412" s="1" t="s">
        <v>1925</v>
      </c>
    </row>
    <row r="1413" spans="1:4" ht="17" customHeight="1">
      <c r="A1413" s="1">
        <v>5529</v>
      </c>
      <c r="B1413" s="1" t="s">
        <v>2834</v>
      </c>
      <c r="C1413" s="1" t="s">
        <v>2835</v>
      </c>
      <c r="D1413" s="1" t="s">
        <v>1925</v>
      </c>
    </row>
    <row r="1414" spans="1:4" ht="17" customHeight="1">
      <c r="A1414" s="1">
        <v>5530</v>
      </c>
      <c r="B1414" s="1" t="s">
        <v>2836</v>
      </c>
      <c r="C1414" s="1" t="s">
        <v>2837</v>
      </c>
      <c r="D1414" s="1" t="s">
        <v>1925</v>
      </c>
    </row>
    <row r="1415" spans="1:4" ht="17" customHeight="1">
      <c r="A1415" s="1">
        <v>5536</v>
      </c>
      <c r="B1415" s="1" t="s">
        <v>2838</v>
      </c>
      <c r="C1415" s="1" t="s">
        <v>2839</v>
      </c>
      <c r="D1415" s="1" t="s">
        <v>1925</v>
      </c>
    </row>
    <row r="1416" spans="1:4" ht="17" customHeight="1">
      <c r="A1416" s="1">
        <v>5543</v>
      </c>
      <c r="B1416" s="1" t="s">
        <v>2840</v>
      </c>
      <c r="C1416" s="1" t="s">
        <v>2841</v>
      </c>
      <c r="D1416" s="1" t="s">
        <v>1925</v>
      </c>
    </row>
    <row r="1417" spans="1:4" ht="17" customHeight="1">
      <c r="A1417" s="1">
        <v>5601</v>
      </c>
      <c r="B1417" s="1" t="s">
        <v>2842</v>
      </c>
      <c r="C1417" s="1" t="s">
        <v>2843</v>
      </c>
      <c r="D1417" s="1" t="s">
        <v>1925</v>
      </c>
    </row>
    <row r="1418" spans="1:4" ht="17" customHeight="1">
      <c r="A1418" s="1">
        <v>5603</v>
      </c>
      <c r="B1418" s="1" t="s">
        <v>2844</v>
      </c>
      <c r="C1418" s="1" t="s">
        <v>2845</v>
      </c>
      <c r="D1418" s="1" t="s">
        <v>1925</v>
      </c>
    </row>
    <row r="1419" spans="1:4" ht="17" customHeight="1">
      <c r="A1419" s="1">
        <v>5604</v>
      </c>
      <c r="B1419" s="1" t="s">
        <v>2846</v>
      </c>
      <c r="C1419" s="1" t="s">
        <v>2847</v>
      </c>
      <c r="D1419" s="1" t="s">
        <v>1925</v>
      </c>
    </row>
    <row r="1420" spans="1:4" ht="17" customHeight="1">
      <c r="A1420" s="1">
        <v>5609</v>
      </c>
      <c r="B1420" s="1" t="s">
        <v>2848</v>
      </c>
      <c r="C1420" s="1" t="s">
        <v>2849</v>
      </c>
      <c r="D1420" s="1" t="s">
        <v>1925</v>
      </c>
    </row>
    <row r="1421" spans="1:4" ht="17" customHeight="1">
      <c r="A1421" s="1">
        <v>5701</v>
      </c>
      <c r="B1421" s="1" t="s">
        <v>2850</v>
      </c>
      <c r="C1421" s="1" t="s">
        <v>2851</v>
      </c>
      <c r="D1421" s="1" t="s">
        <v>1925</v>
      </c>
    </row>
    <row r="1422" spans="1:4" ht="17" customHeight="1">
      <c r="A1422" s="1">
        <v>5703</v>
      </c>
      <c r="B1422" s="1" t="s">
        <v>2852</v>
      </c>
      <c r="C1422" s="1" t="s">
        <v>2853</v>
      </c>
      <c r="D1422" s="1" t="s">
        <v>1925</v>
      </c>
    </row>
    <row r="1423" spans="1:4" ht="17" customHeight="1">
      <c r="A1423" s="1">
        <v>5704</v>
      </c>
      <c r="B1423" s="1" t="s">
        <v>2854</v>
      </c>
      <c r="C1423" s="1" t="s">
        <v>2855</v>
      </c>
      <c r="D1423" s="1" t="s">
        <v>1925</v>
      </c>
    </row>
    <row r="1424" spans="1:4" ht="17" customHeight="1">
      <c r="A1424" s="1">
        <v>5820</v>
      </c>
      <c r="B1424" s="1" t="s">
        <v>2856</v>
      </c>
      <c r="C1424" s="1" t="s">
        <v>2857</v>
      </c>
      <c r="D1424" s="1" t="s">
        <v>1925</v>
      </c>
    </row>
    <row r="1425" spans="1:4" ht="17" customHeight="1">
      <c r="A1425" s="1">
        <v>5864</v>
      </c>
      <c r="B1425" s="1" t="s">
        <v>2858</v>
      </c>
      <c r="C1425" s="1" t="s">
        <v>2859</v>
      </c>
      <c r="D1425" s="1" t="s">
        <v>1925</v>
      </c>
    </row>
    <row r="1426" spans="1:4" ht="17" customHeight="1">
      <c r="A1426" s="1">
        <v>5878</v>
      </c>
      <c r="B1426" s="1" t="s">
        <v>2860</v>
      </c>
      <c r="C1426" s="1" t="s">
        <v>2861</v>
      </c>
      <c r="D1426" s="1" t="s">
        <v>1925</v>
      </c>
    </row>
    <row r="1427" spans="1:4" ht="17" customHeight="1">
      <c r="A1427" s="1">
        <v>5902</v>
      </c>
      <c r="B1427" s="1" t="s">
        <v>2862</v>
      </c>
      <c r="C1427" s="1" t="s">
        <v>2863</v>
      </c>
      <c r="D1427" s="1" t="s">
        <v>1925</v>
      </c>
    </row>
    <row r="1428" spans="1:4" ht="17" customHeight="1">
      <c r="A1428" s="1">
        <v>5903</v>
      </c>
      <c r="B1428" s="1" t="s">
        <v>2864</v>
      </c>
      <c r="C1428" s="1" t="s">
        <v>2865</v>
      </c>
      <c r="D1428" s="1" t="s">
        <v>1925</v>
      </c>
    </row>
    <row r="1429" spans="1:4" ht="17" customHeight="1">
      <c r="A1429" s="1">
        <v>5904</v>
      </c>
      <c r="B1429" s="1" t="s">
        <v>2866</v>
      </c>
      <c r="C1429" s="1" t="s">
        <v>2867</v>
      </c>
      <c r="D1429" s="1" t="s">
        <v>1925</v>
      </c>
    </row>
    <row r="1430" spans="1:4" ht="17" customHeight="1">
      <c r="A1430" s="1">
        <v>5905</v>
      </c>
      <c r="B1430" s="1" t="s">
        <v>2868</v>
      </c>
      <c r="C1430" s="1" t="s">
        <v>2869</v>
      </c>
      <c r="D1430" s="1" t="s">
        <v>1925</v>
      </c>
    </row>
    <row r="1431" spans="1:4" ht="17" customHeight="1">
      <c r="A1431" s="1">
        <v>6015</v>
      </c>
      <c r="B1431" s="1" t="s">
        <v>2870</v>
      </c>
      <c r="C1431" s="1" t="s">
        <v>2871</v>
      </c>
      <c r="D1431" s="1" t="s">
        <v>1925</v>
      </c>
    </row>
    <row r="1432" spans="1:4" ht="17" customHeight="1">
      <c r="A1432" s="1">
        <v>6016</v>
      </c>
      <c r="B1432" s="1" t="s">
        <v>2872</v>
      </c>
      <c r="C1432" s="1" t="s">
        <v>2873</v>
      </c>
      <c r="D1432" s="1" t="s">
        <v>1925</v>
      </c>
    </row>
    <row r="1433" spans="1:4" ht="17" customHeight="1">
      <c r="A1433" s="1">
        <v>6020</v>
      </c>
      <c r="B1433" s="1" t="s">
        <v>2874</v>
      </c>
      <c r="C1433" s="1" t="s">
        <v>2875</v>
      </c>
      <c r="D1433" s="1" t="s">
        <v>1925</v>
      </c>
    </row>
    <row r="1434" spans="1:4" ht="17" customHeight="1">
      <c r="A1434" s="1">
        <v>6021</v>
      </c>
      <c r="B1434" s="1" t="s">
        <v>2876</v>
      </c>
      <c r="C1434" s="1" t="s">
        <v>2877</v>
      </c>
      <c r="D1434" s="1" t="s">
        <v>1925</v>
      </c>
    </row>
    <row r="1435" spans="1:4" ht="17" customHeight="1">
      <c r="A1435" s="1">
        <v>6023</v>
      </c>
      <c r="B1435" s="1" t="s">
        <v>2878</v>
      </c>
      <c r="C1435" s="1" t="s">
        <v>7127</v>
      </c>
      <c r="D1435" s="1" t="s">
        <v>1925</v>
      </c>
    </row>
    <row r="1436" spans="1:4" ht="17" customHeight="1">
      <c r="A1436" s="1">
        <v>6026</v>
      </c>
      <c r="B1436" s="1" t="s">
        <v>2880</v>
      </c>
      <c r="C1436" s="1" t="s">
        <v>2881</v>
      </c>
      <c r="D1436" s="1" t="s">
        <v>1925</v>
      </c>
    </row>
    <row r="1437" spans="1:4" ht="17" customHeight="1">
      <c r="A1437" s="1">
        <v>6101</v>
      </c>
      <c r="B1437" s="1" t="s">
        <v>2882</v>
      </c>
      <c r="C1437" s="1" t="s">
        <v>2883</v>
      </c>
      <c r="D1437" s="1" t="s">
        <v>1925</v>
      </c>
    </row>
    <row r="1438" spans="1:4" ht="17" customHeight="1">
      <c r="A1438" s="1">
        <v>6103</v>
      </c>
      <c r="B1438" s="1" t="s">
        <v>2884</v>
      </c>
      <c r="C1438" s="1" t="s">
        <v>2885</v>
      </c>
      <c r="D1438" s="1" t="s">
        <v>1925</v>
      </c>
    </row>
    <row r="1439" spans="1:4" ht="17" customHeight="1">
      <c r="A1439" s="1">
        <v>6104</v>
      </c>
      <c r="B1439" s="1" t="s">
        <v>2886</v>
      </c>
      <c r="C1439" s="1" t="s">
        <v>2887</v>
      </c>
      <c r="D1439" s="1" t="s">
        <v>1925</v>
      </c>
    </row>
    <row r="1440" spans="1:4" ht="17" customHeight="1">
      <c r="A1440" s="1">
        <v>6109</v>
      </c>
      <c r="B1440" s="1" t="s">
        <v>2888</v>
      </c>
      <c r="C1440" s="1" t="s">
        <v>2889</v>
      </c>
      <c r="D1440" s="1" t="s">
        <v>1925</v>
      </c>
    </row>
    <row r="1441" spans="1:4" ht="17" customHeight="1">
      <c r="A1441" s="1">
        <v>6111</v>
      </c>
      <c r="B1441" s="1" t="s">
        <v>2890</v>
      </c>
      <c r="C1441" s="1" t="s">
        <v>2891</v>
      </c>
      <c r="D1441" s="1" t="s">
        <v>1925</v>
      </c>
    </row>
    <row r="1442" spans="1:4" ht="17" customHeight="1">
      <c r="A1442" s="1">
        <v>6113</v>
      </c>
      <c r="B1442" s="1" t="s">
        <v>2892</v>
      </c>
      <c r="C1442" s="1" t="s">
        <v>2893</v>
      </c>
      <c r="D1442" s="1" t="s">
        <v>1925</v>
      </c>
    </row>
    <row r="1443" spans="1:4" ht="17" customHeight="1">
      <c r="A1443" s="1">
        <v>6114</v>
      </c>
      <c r="B1443" s="1" t="s">
        <v>2894</v>
      </c>
      <c r="C1443" s="1" t="s">
        <v>2895</v>
      </c>
      <c r="D1443" s="1" t="s">
        <v>1925</v>
      </c>
    </row>
    <row r="1444" spans="1:4" ht="17" customHeight="1">
      <c r="A1444" s="1">
        <v>6118</v>
      </c>
      <c r="B1444" s="1" t="s">
        <v>2896</v>
      </c>
      <c r="C1444" s="1" t="s">
        <v>2897</v>
      </c>
      <c r="D1444" s="1" t="s">
        <v>1925</v>
      </c>
    </row>
    <row r="1445" spans="1:4" ht="17" customHeight="1">
      <c r="A1445" s="1">
        <v>6121</v>
      </c>
      <c r="B1445" s="1" t="s">
        <v>2898</v>
      </c>
      <c r="C1445" s="1" t="s">
        <v>2899</v>
      </c>
      <c r="D1445" s="1" t="s">
        <v>1925</v>
      </c>
    </row>
    <row r="1446" spans="1:4" ht="17" customHeight="1">
      <c r="A1446" s="1">
        <v>6122</v>
      </c>
      <c r="B1446" s="1" t="s">
        <v>2900</v>
      </c>
      <c r="C1446" s="1" t="s">
        <v>2901</v>
      </c>
      <c r="D1446" s="1" t="s">
        <v>1925</v>
      </c>
    </row>
    <row r="1447" spans="1:4" ht="17" customHeight="1">
      <c r="A1447" s="1">
        <v>6123</v>
      </c>
      <c r="B1447" s="1" t="s">
        <v>2902</v>
      </c>
      <c r="C1447" s="1" t="s">
        <v>2903</v>
      </c>
      <c r="D1447" s="1" t="s">
        <v>1925</v>
      </c>
    </row>
    <row r="1448" spans="1:4" ht="17" customHeight="1">
      <c r="A1448" s="1">
        <v>6124</v>
      </c>
      <c r="B1448" s="1" t="s">
        <v>2904</v>
      </c>
      <c r="C1448" s="1" t="s">
        <v>2905</v>
      </c>
      <c r="D1448" s="1" t="s">
        <v>1925</v>
      </c>
    </row>
    <row r="1449" spans="1:4" ht="17" customHeight="1">
      <c r="A1449" s="1">
        <v>6125</v>
      </c>
      <c r="B1449" s="1" t="s">
        <v>2906</v>
      </c>
      <c r="C1449" s="1" t="s">
        <v>2907</v>
      </c>
      <c r="D1449" s="1" t="s">
        <v>1925</v>
      </c>
    </row>
    <row r="1450" spans="1:4" ht="17" customHeight="1">
      <c r="A1450" s="1">
        <v>6126</v>
      </c>
      <c r="B1450" s="1" t="s">
        <v>2908</v>
      </c>
      <c r="C1450" s="1" t="s">
        <v>2909</v>
      </c>
      <c r="D1450" s="1" t="s">
        <v>1925</v>
      </c>
    </row>
    <row r="1451" spans="1:4" ht="17" customHeight="1">
      <c r="A1451" s="1">
        <v>6127</v>
      </c>
      <c r="B1451" s="1" t="s">
        <v>2910</v>
      </c>
      <c r="C1451" s="1" t="s">
        <v>2911</v>
      </c>
      <c r="D1451" s="1" t="s">
        <v>1925</v>
      </c>
    </row>
    <row r="1452" spans="1:4" ht="17" customHeight="1">
      <c r="A1452" s="1">
        <v>6129</v>
      </c>
      <c r="B1452" s="1" t="s">
        <v>2912</v>
      </c>
      <c r="C1452" s="1" t="s">
        <v>2913</v>
      </c>
      <c r="D1452" s="1" t="s">
        <v>1925</v>
      </c>
    </row>
    <row r="1453" spans="1:4" ht="17" customHeight="1">
      <c r="A1453" s="1">
        <v>6130</v>
      </c>
      <c r="B1453" s="1" t="s">
        <v>2914</v>
      </c>
      <c r="C1453" s="1" t="s">
        <v>2915</v>
      </c>
      <c r="D1453" s="1" t="s">
        <v>1925</v>
      </c>
    </row>
    <row r="1454" spans="1:4" ht="17" customHeight="1">
      <c r="A1454" s="1">
        <v>6134</v>
      </c>
      <c r="B1454" s="1" t="s">
        <v>2916</v>
      </c>
      <c r="C1454" s="1" t="s">
        <v>2917</v>
      </c>
      <c r="D1454" s="1" t="s">
        <v>1925</v>
      </c>
    </row>
    <row r="1455" spans="1:4" ht="17" customHeight="1">
      <c r="A1455" s="1">
        <v>6138</v>
      </c>
      <c r="B1455" s="1" t="s">
        <v>2918</v>
      </c>
      <c r="C1455" s="1" t="s">
        <v>2919</v>
      </c>
      <c r="D1455" s="1" t="s">
        <v>1925</v>
      </c>
    </row>
    <row r="1456" spans="1:4" ht="17" customHeight="1">
      <c r="A1456" s="1">
        <v>6140</v>
      </c>
      <c r="B1456" s="1" t="s">
        <v>2920</v>
      </c>
      <c r="C1456" s="1" t="s">
        <v>7128</v>
      </c>
      <c r="D1456" s="1" t="s">
        <v>1925</v>
      </c>
    </row>
    <row r="1457" spans="1:4" ht="17" customHeight="1">
      <c r="A1457" s="1">
        <v>6143</v>
      </c>
      <c r="B1457" s="1" t="s">
        <v>2922</v>
      </c>
      <c r="C1457" s="1" t="s">
        <v>2923</v>
      </c>
      <c r="D1457" s="1" t="s">
        <v>1925</v>
      </c>
    </row>
    <row r="1458" spans="1:4" ht="17" customHeight="1">
      <c r="A1458" s="1">
        <v>6144</v>
      </c>
      <c r="B1458" s="1" t="s">
        <v>2924</v>
      </c>
      <c r="C1458" s="1" t="s">
        <v>2925</v>
      </c>
      <c r="D1458" s="1" t="s">
        <v>1925</v>
      </c>
    </row>
    <row r="1459" spans="1:4" ht="17" customHeight="1">
      <c r="A1459" s="1">
        <v>6146</v>
      </c>
      <c r="B1459" s="1" t="s">
        <v>2926</v>
      </c>
      <c r="C1459" s="1" t="s">
        <v>2927</v>
      </c>
      <c r="D1459" s="1" t="s">
        <v>1925</v>
      </c>
    </row>
    <row r="1460" spans="1:4" ht="17" customHeight="1">
      <c r="A1460" s="1">
        <v>6147</v>
      </c>
      <c r="B1460" s="1" t="s">
        <v>2928</v>
      </c>
      <c r="C1460" s="1" t="s">
        <v>2929</v>
      </c>
      <c r="D1460" s="1" t="s">
        <v>1925</v>
      </c>
    </row>
    <row r="1461" spans="1:4" ht="17" customHeight="1">
      <c r="A1461" s="1">
        <v>6148</v>
      </c>
      <c r="B1461" s="1" t="s">
        <v>2930</v>
      </c>
      <c r="C1461" s="1" t="s">
        <v>2931</v>
      </c>
      <c r="D1461" s="1" t="s">
        <v>1925</v>
      </c>
    </row>
    <row r="1462" spans="1:4" ht="17" customHeight="1">
      <c r="A1462" s="1">
        <v>6150</v>
      </c>
      <c r="B1462" s="1" t="s">
        <v>2932</v>
      </c>
      <c r="C1462" s="1" t="s">
        <v>2933</v>
      </c>
      <c r="D1462" s="1" t="s">
        <v>1925</v>
      </c>
    </row>
    <row r="1463" spans="1:4" ht="17" customHeight="1">
      <c r="A1463" s="1">
        <v>6151</v>
      </c>
      <c r="B1463" s="1" t="s">
        <v>2934</v>
      </c>
      <c r="C1463" s="1" t="s">
        <v>2935</v>
      </c>
      <c r="D1463" s="1" t="s">
        <v>1925</v>
      </c>
    </row>
    <row r="1464" spans="1:4" ht="17" customHeight="1">
      <c r="A1464" s="1">
        <v>6154</v>
      </c>
      <c r="B1464" s="1" t="s">
        <v>2936</v>
      </c>
      <c r="C1464" s="1" t="s">
        <v>2937</v>
      </c>
      <c r="D1464" s="1" t="s">
        <v>1925</v>
      </c>
    </row>
    <row r="1465" spans="1:4" ht="17" customHeight="1">
      <c r="A1465" s="1">
        <v>6156</v>
      </c>
      <c r="B1465" s="1" t="s">
        <v>2938</v>
      </c>
      <c r="C1465" s="1" t="s">
        <v>2939</v>
      </c>
      <c r="D1465" s="1" t="s">
        <v>1925</v>
      </c>
    </row>
    <row r="1466" spans="1:4" ht="17" customHeight="1">
      <c r="A1466" s="1">
        <v>6158</v>
      </c>
      <c r="B1466" s="1" t="s">
        <v>2940</v>
      </c>
      <c r="C1466" s="1" t="s">
        <v>2941</v>
      </c>
      <c r="D1466" s="1" t="s">
        <v>1925</v>
      </c>
    </row>
    <row r="1467" spans="1:4" ht="17" customHeight="1">
      <c r="A1467" s="1">
        <v>6160</v>
      </c>
      <c r="B1467" s="1" t="s">
        <v>2942</v>
      </c>
      <c r="C1467" s="1" t="s">
        <v>2943</v>
      </c>
      <c r="D1467" s="1" t="s">
        <v>1925</v>
      </c>
    </row>
    <row r="1468" spans="1:4" ht="17" customHeight="1">
      <c r="A1468" s="1">
        <v>6161</v>
      </c>
      <c r="B1468" s="1" t="s">
        <v>2944</v>
      </c>
      <c r="C1468" s="1" t="s">
        <v>2945</v>
      </c>
      <c r="D1468" s="1" t="s">
        <v>1925</v>
      </c>
    </row>
    <row r="1469" spans="1:4" ht="17" customHeight="1">
      <c r="A1469" s="1">
        <v>6163</v>
      </c>
      <c r="B1469" s="1" t="s">
        <v>2946</v>
      </c>
      <c r="C1469" s="1" t="s">
        <v>2947</v>
      </c>
      <c r="D1469" s="1" t="s">
        <v>1925</v>
      </c>
    </row>
    <row r="1470" spans="1:4" ht="17" customHeight="1">
      <c r="A1470" s="1">
        <v>6167</v>
      </c>
      <c r="B1470" s="1" t="s">
        <v>2948</v>
      </c>
      <c r="C1470" s="1" t="s">
        <v>2949</v>
      </c>
      <c r="D1470" s="1" t="s">
        <v>1925</v>
      </c>
    </row>
    <row r="1471" spans="1:4" ht="17" customHeight="1">
      <c r="A1471" s="1">
        <v>6169</v>
      </c>
      <c r="B1471" s="1" t="s">
        <v>2950</v>
      </c>
      <c r="C1471" s="1" t="s">
        <v>2951</v>
      </c>
      <c r="D1471" s="1" t="s">
        <v>1925</v>
      </c>
    </row>
    <row r="1472" spans="1:4" ht="17" customHeight="1">
      <c r="A1472" s="1">
        <v>6170</v>
      </c>
      <c r="B1472" s="1" t="s">
        <v>2952</v>
      </c>
      <c r="C1472" s="1" t="s">
        <v>2953</v>
      </c>
      <c r="D1472" s="1" t="s">
        <v>1925</v>
      </c>
    </row>
    <row r="1473" spans="1:4" ht="17" customHeight="1">
      <c r="A1473" s="1">
        <v>6171</v>
      </c>
      <c r="B1473" s="1" t="s">
        <v>2954</v>
      </c>
      <c r="C1473" s="1" t="s">
        <v>2955</v>
      </c>
      <c r="D1473" s="1" t="s">
        <v>1925</v>
      </c>
    </row>
    <row r="1474" spans="1:4" ht="17" customHeight="1">
      <c r="A1474" s="1">
        <v>6173</v>
      </c>
      <c r="B1474" s="1" t="s">
        <v>2956</v>
      </c>
      <c r="C1474" s="1" t="s">
        <v>2957</v>
      </c>
      <c r="D1474" s="1" t="s">
        <v>1925</v>
      </c>
    </row>
    <row r="1475" spans="1:4" ht="17" customHeight="1">
      <c r="A1475" s="1">
        <v>6174</v>
      </c>
      <c r="B1475" s="1" t="s">
        <v>2958</v>
      </c>
      <c r="C1475" s="1" t="s">
        <v>2959</v>
      </c>
      <c r="D1475" s="1" t="s">
        <v>1925</v>
      </c>
    </row>
    <row r="1476" spans="1:4" ht="17" customHeight="1">
      <c r="A1476" s="1">
        <v>6175</v>
      </c>
      <c r="B1476" s="1" t="s">
        <v>2960</v>
      </c>
      <c r="C1476" s="1" t="s">
        <v>2961</v>
      </c>
      <c r="D1476" s="1" t="s">
        <v>1925</v>
      </c>
    </row>
    <row r="1477" spans="1:4" ht="17" customHeight="1">
      <c r="A1477" s="1">
        <v>6179</v>
      </c>
      <c r="B1477" s="1" t="s">
        <v>2962</v>
      </c>
      <c r="C1477" s="1" t="s">
        <v>2963</v>
      </c>
      <c r="D1477" s="1" t="s">
        <v>1925</v>
      </c>
    </row>
    <row r="1478" spans="1:4" ht="17" customHeight="1">
      <c r="A1478" s="1">
        <v>6180</v>
      </c>
      <c r="B1478" s="1" t="s">
        <v>2964</v>
      </c>
      <c r="C1478" s="1" t="s">
        <v>2965</v>
      </c>
      <c r="D1478" s="1" t="s">
        <v>1925</v>
      </c>
    </row>
    <row r="1479" spans="1:4" ht="17" customHeight="1">
      <c r="A1479" s="1">
        <v>6182</v>
      </c>
      <c r="B1479" s="1" t="s">
        <v>2966</v>
      </c>
      <c r="C1479" s="1" t="s">
        <v>2967</v>
      </c>
      <c r="D1479" s="1" t="s">
        <v>1925</v>
      </c>
    </row>
    <row r="1480" spans="1:4" ht="17" customHeight="1">
      <c r="A1480" s="1">
        <v>6185</v>
      </c>
      <c r="B1480" s="1" t="s">
        <v>2968</v>
      </c>
      <c r="C1480" s="1" t="s">
        <v>2969</v>
      </c>
      <c r="D1480" s="1" t="s">
        <v>1925</v>
      </c>
    </row>
    <row r="1481" spans="1:4" ht="17" customHeight="1">
      <c r="A1481" s="1">
        <v>6186</v>
      </c>
      <c r="B1481" s="1" t="s">
        <v>2970</v>
      </c>
      <c r="C1481" s="1" t="s">
        <v>2971</v>
      </c>
      <c r="D1481" s="1" t="s">
        <v>1925</v>
      </c>
    </row>
    <row r="1482" spans="1:4" ht="17" customHeight="1">
      <c r="A1482" s="1">
        <v>6187</v>
      </c>
      <c r="B1482" s="1" t="s">
        <v>2972</v>
      </c>
      <c r="C1482" s="1" t="s">
        <v>2973</v>
      </c>
      <c r="D1482" s="1" t="s">
        <v>1925</v>
      </c>
    </row>
    <row r="1483" spans="1:4" ht="17" customHeight="1">
      <c r="A1483" s="1">
        <v>6188</v>
      </c>
      <c r="B1483" s="1" t="s">
        <v>2974</v>
      </c>
      <c r="C1483" s="1" t="s">
        <v>2975</v>
      </c>
      <c r="D1483" s="1" t="s">
        <v>1925</v>
      </c>
    </row>
    <row r="1484" spans="1:4" ht="17" customHeight="1">
      <c r="A1484" s="1">
        <v>6190</v>
      </c>
      <c r="B1484" s="1" t="s">
        <v>2976</v>
      </c>
      <c r="C1484" s="1" t="s">
        <v>2977</v>
      </c>
      <c r="D1484" s="1" t="s">
        <v>1925</v>
      </c>
    </row>
    <row r="1485" spans="1:4" ht="17" customHeight="1">
      <c r="A1485" s="1">
        <v>6194</v>
      </c>
      <c r="B1485" s="1" t="s">
        <v>2978</v>
      </c>
      <c r="C1485" s="1" t="s">
        <v>2979</v>
      </c>
      <c r="D1485" s="1" t="s">
        <v>1925</v>
      </c>
    </row>
    <row r="1486" spans="1:4" ht="17" customHeight="1">
      <c r="A1486" s="1">
        <v>6195</v>
      </c>
      <c r="B1486" s="1" t="s">
        <v>2980</v>
      </c>
      <c r="C1486" s="1" t="s">
        <v>2981</v>
      </c>
      <c r="D1486" s="1" t="s">
        <v>1925</v>
      </c>
    </row>
    <row r="1487" spans="1:4" ht="17" customHeight="1">
      <c r="A1487" s="1">
        <v>6198</v>
      </c>
      <c r="B1487" s="1" t="s">
        <v>2982</v>
      </c>
      <c r="C1487" s="1" t="s">
        <v>2983</v>
      </c>
      <c r="D1487" s="1" t="s">
        <v>1925</v>
      </c>
    </row>
    <row r="1488" spans="1:4" ht="17" customHeight="1">
      <c r="A1488" s="1">
        <v>6199</v>
      </c>
      <c r="B1488" s="1" t="s">
        <v>2984</v>
      </c>
      <c r="C1488" s="1" t="s">
        <v>2985</v>
      </c>
      <c r="D1488" s="1" t="s">
        <v>1925</v>
      </c>
    </row>
    <row r="1489" spans="1:4" ht="17" customHeight="1">
      <c r="A1489" s="1">
        <v>6203</v>
      </c>
      <c r="B1489" s="1" t="s">
        <v>2986</v>
      </c>
      <c r="C1489" s="1" t="s">
        <v>2987</v>
      </c>
      <c r="D1489" s="1" t="s">
        <v>1925</v>
      </c>
    </row>
    <row r="1490" spans="1:4" ht="17" customHeight="1">
      <c r="A1490" s="1">
        <v>6204</v>
      </c>
      <c r="B1490" s="1" t="s">
        <v>2988</v>
      </c>
      <c r="C1490" s="1" t="s">
        <v>2989</v>
      </c>
      <c r="D1490" s="1" t="s">
        <v>1925</v>
      </c>
    </row>
    <row r="1491" spans="1:4" ht="17" customHeight="1">
      <c r="A1491" s="1">
        <v>6207</v>
      </c>
      <c r="B1491" s="1" t="s">
        <v>2990</v>
      </c>
      <c r="C1491" s="1" t="s">
        <v>2991</v>
      </c>
      <c r="D1491" s="1" t="s">
        <v>1925</v>
      </c>
    </row>
    <row r="1492" spans="1:4" ht="17" customHeight="1">
      <c r="A1492" s="1">
        <v>6208</v>
      </c>
      <c r="B1492" s="1" t="s">
        <v>2992</v>
      </c>
      <c r="C1492" s="1" t="s">
        <v>2993</v>
      </c>
      <c r="D1492" s="1" t="s">
        <v>1925</v>
      </c>
    </row>
    <row r="1493" spans="1:4" ht="17" customHeight="1">
      <c r="A1493" s="1">
        <v>6210</v>
      </c>
      <c r="B1493" s="1" t="s">
        <v>2994</v>
      </c>
      <c r="C1493" s="1" t="s">
        <v>2995</v>
      </c>
      <c r="D1493" s="1" t="s">
        <v>1925</v>
      </c>
    </row>
    <row r="1494" spans="1:4" ht="17" customHeight="1">
      <c r="A1494" s="1">
        <v>6212</v>
      </c>
      <c r="B1494" s="1" t="s">
        <v>2996</v>
      </c>
      <c r="C1494" s="1" t="s">
        <v>2997</v>
      </c>
      <c r="D1494" s="1" t="s">
        <v>1925</v>
      </c>
    </row>
    <row r="1495" spans="1:4" ht="17" customHeight="1">
      <c r="A1495" s="1">
        <v>6217</v>
      </c>
      <c r="B1495" s="1" t="s">
        <v>2998</v>
      </c>
      <c r="C1495" s="1" t="s">
        <v>2999</v>
      </c>
      <c r="D1495" s="1" t="s">
        <v>1925</v>
      </c>
    </row>
    <row r="1496" spans="1:4" ht="17" customHeight="1">
      <c r="A1496" s="1">
        <v>6218</v>
      </c>
      <c r="B1496" s="1" t="s">
        <v>3000</v>
      </c>
      <c r="C1496" s="1" t="s">
        <v>3001</v>
      </c>
      <c r="D1496" s="1" t="s">
        <v>1925</v>
      </c>
    </row>
    <row r="1497" spans="1:4" ht="17" customHeight="1">
      <c r="A1497" s="1">
        <v>6219</v>
      </c>
      <c r="B1497" s="1" t="s">
        <v>3002</v>
      </c>
      <c r="C1497" s="1" t="s">
        <v>3003</v>
      </c>
      <c r="D1497" s="1" t="s">
        <v>1925</v>
      </c>
    </row>
    <row r="1498" spans="1:4" ht="17" customHeight="1">
      <c r="A1498" s="1">
        <v>6220</v>
      </c>
      <c r="B1498" s="1" t="s">
        <v>3004</v>
      </c>
      <c r="C1498" s="1" t="s">
        <v>3005</v>
      </c>
      <c r="D1498" s="1" t="s">
        <v>1925</v>
      </c>
    </row>
    <row r="1499" spans="1:4" ht="17" customHeight="1">
      <c r="A1499" s="1">
        <v>6221</v>
      </c>
      <c r="B1499" s="1" t="s">
        <v>3006</v>
      </c>
      <c r="C1499" s="1" t="s">
        <v>3007</v>
      </c>
      <c r="D1499" s="1" t="s">
        <v>1925</v>
      </c>
    </row>
    <row r="1500" spans="1:4" ht="17" customHeight="1">
      <c r="A1500" s="1">
        <v>6222</v>
      </c>
      <c r="B1500" s="1" t="s">
        <v>3008</v>
      </c>
      <c r="C1500" s="1" t="s">
        <v>3009</v>
      </c>
      <c r="D1500" s="1" t="s">
        <v>1925</v>
      </c>
    </row>
    <row r="1501" spans="1:4" ht="17" customHeight="1">
      <c r="A1501" s="1">
        <v>6223</v>
      </c>
      <c r="B1501" s="1" t="s">
        <v>3010</v>
      </c>
      <c r="C1501" s="1" t="s">
        <v>3011</v>
      </c>
      <c r="D1501" s="1" t="s">
        <v>1925</v>
      </c>
    </row>
    <row r="1502" spans="1:4" ht="17" customHeight="1">
      <c r="A1502" s="1">
        <v>6227</v>
      </c>
      <c r="B1502" s="1" t="s">
        <v>3012</v>
      </c>
      <c r="C1502" s="1" t="s">
        <v>3013</v>
      </c>
      <c r="D1502" s="1" t="s">
        <v>1925</v>
      </c>
    </row>
    <row r="1503" spans="1:4" ht="17" customHeight="1">
      <c r="A1503" s="1">
        <v>6228</v>
      </c>
      <c r="B1503" s="1" t="s">
        <v>3014</v>
      </c>
      <c r="C1503" s="1" t="s">
        <v>3015</v>
      </c>
      <c r="D1503" s="1" t="s">
        <v>1925</v>
      </c>
    </row>
    <row r="1504" spans="1:4" ht="17" customHeight="1">
      <c r="A1504" s="1">
        <v>6229</v>
      </c>
      <c r="B1504" s="1" t="s">
        <v>3016</v>
      </c>
      <c r="C1504" s="1" t="s">
        <v>3017</v>
      </c>
      <c r="D1504" s="1" t="s">
        <v>1925</v>
      </c>
    </row>
    <row r="1505" spans="1:4" ht="17" customHeight="1">
      <c r="A1505" s="1">
        <v>6231</v>
      </c>
      <c r="B1505" s="1" t="s">
        <v>3018</v>
      </c>
      <c r="C1505" s="1" t="s">
        <v>3019</v>
      </c>
      <c r="D1505" s="1" t="s">
        <v>1925</v>
      </c>
    </row>
    <row r="1506" spans="1:4" ht="17" customHeight="1">
      <c r="A1506" s="1">
        <v>6233</v>
      </c>
      <c r="B1506" s="1" t="s">
        <v>3020</v>
      </c>
      <c r="C1506" s="1" t="s">
        <v>3021</v>
      </c>
      <c r="D1506" s="1" t="s">
        <v>1925</v>
      </c>
    </row>
    <row r="1507" spans="1:4" ht="17" customHeight="1">
      <c r="A1507" s="1">
        <v>6234</v>
      </c>
      <c r="B1507" s="1" t="s">
        <v>3022</v>
      </c>
      <c r="C1507" s="1" t="s">
        <v>3023</v>
      </c>
      <c r="D1507" s="1" t="s">
        <v>1925</v>
      </c>
    </row>
    <row r="1508" spans="1:4" ht="17" customHeight="1">
      <c r="A1508" s="1">
        <v>6236</v>
      </c>
      <c r="B1508" s="1" t="s">
        <v>3024</v>
      </c>
      <c r="C1508" s="1" t="s">
        <v>3025</v>
      </c>
      <c r="D1508" s="1" t="s">
        <v>1925</v>
      </c>
    </row>
    <row r="1509" spans="1:4" ht="17" customHeight="1">
      <c r="A1509" s="1">
        <v>6237</v>
      </c>
      <c r="B1509" s="1" t="s">
        <v>3026</v>
      </c>
      <c r="C1509" s="1" t="s">
        <v>3027</v>
      </c>
      <c r="D1509" s="1" t="s">
        <v>1925</v>
      </c>
    </row>
    <row r="1510" spans="1:4" ht="17" customHeight="1">
      <c r="A1510" s="1">
        <v>6238</v>
      </c>
      <c r="B1510" s="1" t="s">
        <v>3028</v>
      </c>
      <c r="C1510" s="1" t="s">
        <v>3029</v>
      </c>
      <c r="D1510" s="1" t="s">
        <v>1925</v>
      </c>
    </row>
    <row r="1511" spans="1:4" ht="17" customHeight="1">
      <c r="A1511" s="1">
        <v>6240</v>
      </c>
      <c r="B1511" s="1" t="s">
        <v>3030</v>
      </c>
      <c r="C1511" s="1" t="s">
        <v>3031</v>
      </c>
      <c r="D1511" s="1" t="s">
        <v>1925</v>
      </c>
    </row>
    <row r="1512" spans="1:4" ht="17" customHeight="1">
      <c r="A1512" s="1">
        <v>6241</v>
      </c>
      <c r="B1512" s="1" t="s">
        <v>3032</v>
      </c>
      <c r="C1512" s="1" t="s">
        <v>3033</v>
      </c>
      <c r="D1512" s="1" t="s">
        <v>1925</v>
      </c>
    </row>
    <row r="1513" spans="1:4" ht="17" customHeight="1">
      <c r="A1513" s="1">
        <v>6242</v>
      </c>
      <c r="B1513" s="1" t="s">
        <v>3034</v>
      </c>
      <c r="C1513" s="1" t="s">
        <v>3035</v>
      </c>
      <c r="D1513" s="1" t="s">
        <v>1925</v>
      </c>
    </row>
    <row r="1514" spans="1:4" ht="17" customHeight="1">
      <c r="A1514" s="1">
        <v>6244</v>
      </c>
      <c r="B1514" s="1" t="s">
        <v>3036</v>
      </c>
      <c r="C1514" s="1" t="s">
        <v>3037</v>
      </c>
      <c r="D1514" s="1" t="s">
        <v>1925</v>
      </c>
    </row>
    <row r="1515" spans="1:4" ht="17" customHeight="1">
      <c r="A1515" s="1">
        <v>6245</v>
      </c>
      <c r="B1515" s="1" t="s">
        <v>3038</v>
      </c>
      <c r="C1515" s="1" t="s">
        <v>3039</v>
      </c>
      <c r="D1515" s="1" t="s">
        <v>1925</v>
      </c>
    </row>
    <row r="1516" spans="1:4" ht="17" customHeight="1">
      <c r="A1516" s="1">
        <v>6246</v>
      </c>
      <c r="B1516" s="1" t="s">
        <v>3040</v>
      </c>
      <c r="C1516" s="1" t="s">
        <v>3041</v>
      </c>
      <c r="D1516" s="1" t="s">
        <v>1925</v>
      </c>
    </row>
    <row r="1517" spans="1:4" ht="17" customHeight="1">
      <c r="A1517" s="1">
        <v>6247</v>
      </c>
      <c r="B1517" s="1" t="s">
        <v>3042</v>
      </c>
      <c r="C1517" s="1" t="s">
        <v>3043</v>
      </c>
      <c r="D1517" s="1" t="s">
        <v>1925</v>
      </c>
    </row>
    <row r="1518" spans="1:4" ht="17" customHeight="1">
      <c r="A1518" s="1">
        <v>6248</v>
      </c>
      <c r="B1518" s="1" t="s">
        <v>3044</v>
      </c>
      <c r="C1518" s="1" t="s">
        <v>3045</v>
      </c>
      <c r="D1518" s="1" t="s">
        <v>1925</v>
      </c>
    </row>
    <row r="1519" spans="1:4" ht="17" customHeight="1">
      <c r="A1519" s="1">
        <v>6259</v>
      </c>
      <c r="B1519" s="1" t="s">
        <v>3046</v>
      </c>
      <c r="C1519" s="1" t="s">
        <v>3047</v>
      </c>
      <c r="D1519" s="1" t="s">
        <v>1925</v>
      </c>
    </row>
    <row r="1520" spans="1:4" ht="17" customHeight="1">
      <c r="A1520" s="1">
        <v>6261</v>
      </c>
      <c r="B1520" s="1" t="s">
        <v>3048</v>
      </c>
      <c r="C1520" s="1" t="s">
        <v>3049</v>
      </c>
      <c r="D1520" s="1" t="s">
        <v>1925</v>
      </c>
    </row>
    <row r="1521" spans="1:4" ht="17" customHeight="1">
      <c r="A1521" s="1">
        <v>6263</v>
      </c>
      <c r="B1521" s="1" t="s">
        <v>3050</v>
      </c>
      <c r="C1521" s="1" t="s">
        <v>3051</v>
      </c>
      <c r="D1521" s="1" t="s">
        <v>1925</v>
      </c>
    </row>
    <row r="1522" spans="1:4" ht="17" customHeight="1">
      <c r="A1522" s="1">
        <v>6264</v>
      </c>
      <c r="B1522" s="1" t="s">
        <v>3052</v>
      </c>
      <c r="C1522" s="1" t="s">
        <v>3053</v>
      </c>
      <c r="D1522" s="1" t="s">
        <v>1925</v>
      </c>
    </row>
    <row r="1523" spans="1:4" ht="17" customHeight="1">
      <c r="A1523" s="1">
        <v>6265</v>
      </c>
      <c r="B1523" s="1" t="s">
        <v>3054</v>
      </c>
      <c r="C1523" s="1" t="s">
        <v>3055</v>
      </c>
      <c r="D1523" s="1" t="s">
        <v>1925</v>
      </c>
    </row>
    <row r="1524" spans="1:4" ht="17" customHeight="1">
      <c r="A1524" s="1">
        <v>6266</v>
      </c>
      <c r="B1524" s="1" t="s">
        <v>3056</v>
      </c>
      <c r="C1524" s="1" t="s">
        <v>3057</v>
      </c>
      <c r="D1524" s="1" t="s">
        <v>1925</v>
      </c>
    </row>
    <row r="1525" spans="1:4" ht="17" customHeight="1">
      <c r="A1525" s="1">
        <v>6270</v>
      </c>
      <c r="B1525" s="1" t="s">
        <v>3058</v>
      </c>
      <c r="C1525" s="1" t="s">
        <v>3059</v>
      </c>
      <c r="D1525" s="1" t="s">
        <v>1925</v>
      </c>
    </row>
    <row r="1526" spans="1:4" ht="17" customHeight="1">
      <c r="A1526" s="1">
        <v>6274</v>
      </c>
      <c r="B1526" s="1" t="s">
        <v>3060</v>
      </c>
      <c r="C1526" s="1" t="s">
        <v>3061</v>
      </c>
      <c r="D1526" s="1" t="s">
        <v>1925</v>
      </c>
    </row>
    <row r="1527" spans="1:4" ht="17" customHeight="1">
      <c r="A1527" s="1">
        <v>6275</v>
      </c>
      <c r="B1527" s="1" t="s">
        <v>3062</v>
      </c>
      <c r="C1527" s="1" t="s">
        <v>3063</v>
      </c>
      <c r="D1527" s="1" t="s">
        <v>1925</v>
      </c>
    </row>
    <row r="1528" spans="1:4" ht="17" customHeight="1">
      <c r="A1528" s="1">
        <v>6276</v>
      </c>
      <c r="B1528" s="1" t="s">
        <v>3064</v>
      </c>
      <c r="C1528" s="1" t="s">
        <v>3065</v>
      </c>
      <c r="D1528" s="1" t="s">
        <v>1925</v>
      </c>
    </row>
    <row r="1529" spans="1:4" ht="17" customHeight="1">
      <c r="A1529" s="1">
        <v>6279</v>
      </c>
      <c r="B1529" s="1" t="s">
        <v>3066</v>
      </c>
      <c r="C1529" s="1" t="s">
        <v>3067</v>
      </c>
      <c r="D1529" s="1" t="s">
        <v>1925</v>
      </c>
    </row>
    <row r="1530" spans="1:4" ht="17" customHeight="1">
      <c r="A1530" s="1">
        <v>6284</v>
      </c>
      <c r="B1530" s="1" t="s">
        <v>3068</v>
      </c>
      <c r="C1530" s="1" t="s">
        <v>3069</v>
      </c>
      <c r="D1530" s="1" t="s">
        <v>1925</v>
      </c>
    </row>
    <row r="1531" spans="1:4" ht="17" customHeight="1">
      <c r="A1531" s="1">
        <v>6287</v>
      </c>
      <c r="B1531" s="1" t="s">
        <v>3070</v>
      </c>
      <c r="C1531" s="1" t="s">
        <v>3071</v>
      </c>
      <c r="D1531" s="1" t="s">
        <v>1925</v>
      </c>
    </row>
    <row r="1532" spans="1:4" ht="17" customHeight="1">
      <c r="A1532" s="1">
        <v>6290</v>
      </c>
      <c r="B1532" s="1" t="s">
        <v>3072</v>
      </c>
      <c r="C1532" s="1" t="s">
        <v>3073</v>
      </c>
      <c r="D1532" s="1" t="s">
        <v>1925</v>
      </c>
    </row>
    <row r="1533" spans="1:4" ht="17" customHeight="1">
      <c r="A1533" s="1">
        <v>6291</v>
      </c>
      <c r="B1533" s="1" t="s">
        <v>3074</v>
      </c>
      <c r="C1533" s="1" t="s">
        <v>3075</v>
      </c>
      <c r="D1533" s="1" t="s">
        <v>1925</v>
      </c>
    </row>
    <row r="1534" spans="1:4" ht="17" customHeight="1">
      <c r="A1534" s="1">
        <v>6292</v>
      </c>
      <c r="B1534" s="1" t="s">
        <v>3076</v>
      </c>
      <c r="C1534" s="1" t="s">
        <v>3077</v>
      </c>
      <c r="D1534" s="1" t="s">
        <v>1925</v>
      </c>
    </row>
    <row r="1535" spans="1:4" ht="17" customHeight="1">
      <c r="A1535" s="1">
        <v>6294</v>
      </c>
      <c r="B1535" s="1" t="s">
        <v>3078</v>
      </c>
      <c r="C1535" s="1" t="s">
        <v>3079</v>
      </c>
      <c r="D1535" s="1" t="s">
        <v>1925</v>
      </c>
    </row>
    <row r="1536" spans="1:4" ht="17" customHeight="1">
      <c r="A1536" s="1">
        <v>6404</v>
      </c>
      <c r="B1536" s="1" t="s">
        <v>3080</v>
      </c>
      <c r="C1536" s="1" t="s">
        <v>3081</v>
      </c>
      <c r="D1536" s="1" t="s">
        <v>1925</v>
      </c>
    </row>
    <row r="1537" spans="1:4" ht="17" customHeight="1">
      <c r="A1537" s="1">
        <v>6411</v>
      </c>
      <c r="B1537" s="1" t="s">
        <v>3082</v>
      </c>
      <c r="C1537" s="1" t="s">
        <v>3083</v>
      </c>
      <c r="D1537" s="1" t="s">
        <v>1925</v>
      </c>
    </row>
    <row r="1538" spans="1:4" ht="17" customHeight="1">
      <c r="A1538" s="1">
        <v>6417</v>
      </c>
      <c r="B1538" s="1" t="s">
        <v>3084</v>
      </c>
      <c r="C1538" s="1" t="s">
        <v>3085</v>
      </c>
      <c r="D1538" s="1" t="s">
        <v>1925</v>
      </c>
    </row>
    <row r="1539" spans="1:4" ht="17" customHeight="1">
      <c r="A1539" s="1">
        <v>6418</v>
      </c>
      <c r="B1539" s="1" t="s">
        <v>3086</v>
      </c>
      <c r="C1539" s="1" t="s">
        <v>3087</v>
      </c>
      <c r="D1539" s="1" t="s">
        <v>1925</v>
      </c>
    </row>
    <row r="1540" spans="1:4" ht="17" customHeight="1">
      <c r="A1540" s="1">
        <v>6419</v>
      </c>
      <c r="B1540" s="1" t="s">
        <v>3088</v>
      </c>
      <c r="C1540" s="1" t="s">
        <v>3089</v>
      </c>
      <c r="D1540" s="1" t="s">
        <v>1925</v>
      </c>
    </row>
    <row r="1541" spans="1:4" ht="17" customHeight="1">
      <c r="A1541" s="1">
        <v>6425</v>
      </c>
      <c r="B1541" s="1" t="s">
        <v>3090</v>
      </c>
      <c r="C1541" s="1" t="s">
        <v>3091</v>
      </c>
      <c r="D1541" s="1" t="s">
        <v>1925</v>
      </c>
    </row>
    <row r="1542" spans="1:4" ht="17" customHeight="1">
      <c r="A1542" s="1">
        <v>6426</v>
      </c>
      <c r="B1542" s="1" t="s">
        <v>3092</v>
      </c>
      <c r="C1542" s="1" t="s">
        <v>3093</v>
      </c>
      <c r="D1542" s="1" t="s">
        <v>1925</v>
      </c>
    </row>
    <row r="1543" spans="1:4" ht="17" customHeight="1">
      <c r="A1543" s="1">
        <v>6432</v>
      </c>
      <c r="B1543" s="1" t="s">
        <v>3094</v>
      </c>
      <c r="C1543" s="1" t="s">
        <v>3095</v>
      </c>
      <c r="D1543" s="1" t="s">
        <v>1925</v>
      </c>
    </row>
    <row r="1544" spans="1:4" ht="17" customHeight="1">
      <c r="A1544" s="1">
        <v>6435</v>
      </c>
      <c r="B1544" s="1" t="s">
        <v>3096</v>
      </c>
      <c r="C1544" s="1" t="s">
        <v>3097</v>
      </c>
      <c r="D1544" s="1" t="s">
        <v>1925</v>
      </c>
    </row>
    <row r="1545" spans="1:4" ht="17" customHeight="1">
      <c r="A1545" s="1">
        <v>6438</v>
      </c>
      <c r="B1545" s="1" t="s">
        <v>3098</v>
      </c>
      <c r="C1545" s="1" t="s">
        <v>3099</v>
      </c>
      <c r="D1545" s="1" t="s">
        <v>1925</v>
      </c>
    </row>
    <row r="1546" spans="1:4" ht="17" customHeight="1">
      <c r="A1546" s="1">
        <v>6441</v>
      </c>
      <c r="B1546" s="1" t="s">
        <v>3100</v>
      </c>
      <c r="C1546" s="1" t="s">
        <v>3101</v>
      </c>
      <c r="D1546" s="1" t="s">
        <v>1925</v>
      </c>
    </row>
    <row r="1547" spans="1:4" ht="17" customHeight="1">
      <c r="A1547" s="1">
        <v>6446</v>
      </c>
      <c r="B1547" s="1" t="s">
        <v>3102</v>
      </c>
      <c r="C1547" s="1" t="s">
        <v>3103</v>
      </c>
      <c r="D1547" s="1" t="s">
        <v>1925</v>
      </c>
    </row>
    <row r="1548" spans="1:4" ht="17" customHeight="1">
      <c r="A1548" s="1">
        <v>6457</v>
      </c>
      <c r="B1548" s="1" t="s">
        <v>3104</v>
      </c>
      <c r="C1548" s="1" t="s">
        <v>3105</v>
      </c>
      <c r="D1548" s="1" t="s">
        <v>1925</v>
      </c>
    </row>
    <row r="1549" spans="1:4" ht="17" customHeight="1">
      <c r="A1549" s="1">
        <v>6461</v>
      </c>
      <c r="B1549" s="1" t="s">
        <v>3106</v>
      </c>
      <c r="C1549" s="1" t="s">
        <v>3107</v>
      </c>
      <c r="D1549" s="1" t="s">
        <v>1925</v>
      </c>
    </row>
    <row r="1550" spans="1:4" ht="17" customHeight="1">
      <c r="A1550" s="1">
        <v>6462</v>
      </c>
      <c r="B1550" s="1" t="s">
        <v>3108</v>
      </c>
      <c r="C1550" s="1" t="s">
        <v>3109</v>
      </c>
      <c r="D1550" s="1" t="s">
        <v>1925</v>
      </c>
    </row>
    <row r="1551" spans="1:4" ht="17" customHeight="1">
      <c r="A1551" s="1">
        <v>6465</v>
      </c>
      <c r="B1551" s="1" t="s">
        <v>3110</v>
      </c>
      <c r="C1551" s="1" t="s">
        <v>3111</v>
      </c>
      <c r="D1551" s="1" t="s">
        <v>1925</v>
      </c>
    </row>
    <row r="1552" spans="1:4" ht="17" customHeight="1">
      <c r="A1552" s="1">
        <v>6469</v>
      </c>
      <c r="B1552" s="1" t="s">
        <v>3112</v>
      </c>
      <c r="C1552" s="1" t="s">
        <v>3113</v>
      </c>
      <c r="D1552" s="1" t="s">
        <v>1925</v>
      </c>
    </row>
    <row r="1553" spans="1:4" ht="17" customHeight="1">
      <c r="A1553" s="1">
        <v>6470</v>
      </c>
      <c r="B1553" s="1" t="s">
        <v>3114</v>
      </c>
      <c r="C1553" s="1" t="s">
        <v>3115</v>
      </c>
      <c r="D1553" s="1" t="s">
        <v>1925</v>
      </c>
    </row>
    <row r="1554" spans="1:4" ht="17" customHeight="1">
      <c r="A1554" s="1">
        <v>6472</v>
      </c>
      <c r="B1554" s="1" t="s">
        <v>3116</v>
      </c>
      <c r="C1554" s="1" t="s">
        <v>3117</v>
      </c>
      <c r="D1554" s="1" t="s">
        <v>1925</v>
      </c>
    </row>
    <row r="1555" spans="1:4" ht="17" customHeight="1">
      <c r="A1555" s="1">
        <v>6482</v>
      </c>
      <c r="B1555" s="1" t="s">
        <v>3118</v>
      </c>
      <c r="C1555" s="1" t="s">
        <v>3119</v>
      </c>
      <c r="D1555" s="1" t="s">
        <v>1925</v>
      </c>
    </row>
    <row r="1556" spans="1:4" ht="17" customHeight="1">
      <c r="A1556" s="1">
        <v>6485</v>
      </c>
      <c r="B1556" s="1" t="s">
        <v>3120</v>
      </c>
      <c r="C1556" s="1" t="s">
        <v>3121</v>
      </c>
      <c r="D1556" s="1" t="s">
        <v>1925</v>
      </c>
    </row>
    <row r="1557" spans="1:4" ht="17" customHeight="1">
      <c r="A1557" s="1">
        <v>6486</v>
      </c>
      <c r="B1557" s="1" t="s">
        <v>3122</v>
      </c>
      <c r="C1557" s="1" t="s">
        <v>3123</v>
      </c>
      <c r="D1557" s="1" t="s">
        <v>1925</v>
      </c>
    </row>
    <row r="1558" spans="1:4" ht="17" customHeight="1">
      <c r="A1558" s="1">
        <v>6488</v>
      </c>
      <c r="B1558" s="1" t="s">
        <v>3124</v>
      </c>
      <c r="C1558" s="1" t="s">
        <v>3125</v>
      </c>
      <c r="D1558" s="1" t="s">
        <v>1925</v>
      </c>
    </row>
    <row r="1559" spans="1:4" ht="17" customHeight="1">
      <c r="A1559" s="1">
        <v>6492</v>
      </c>
      <c r="B1559" s="1" t="s">
        <v>3126</v>
      </c>
      <c r="C1559" s="1" t="s">
        <v>3127</v>
      </c>
      <c r="D1559" s="1" t="s">
        <v>1925</v>
      </c>
    </row>
    <row r="1560" spans="1:4" ht="17" customHeight="1">
      <c r="A1560" s="1">
        <v>6494</v>
      </c>
      <c r="B1560" s="1" t="s">
        <v>3128</v>
      </c>
      <c r="C1560" s="1" t="s">
        <v>3129</v>
      </c>
      <c r="D1560" s="1" t="s">
        <v>1925</v>
      </c>
    </row>
    <row r="1561" spans="1:4" ht="17" customHeight="1">
      <c r="A1561" s="1">
        <v>6496</v>
      </c>
      <c r="B1561" s="1" t="s">
        <v>3130</v>
      </c>
      <c r="C1561" s="1" t="s">
        <v>3131</v>
      </c>
      <c r="D1561" s="1" t="s">
        <v>1925</v>
      </c>
    </row>
    <row r="1562" spans="1:4" ht="17" customHeight="1">
      <c r="A1562" s="1">
        <v>6497</v>
      </c>
      <c r="B1562" s="1" t="s">
        <v>3132</v>
      </c>
      <c r="C1562" s="1" t="s">
        <v>3133</v>
      </c>
      <c r="D1562" s="1" t="s">
        <v>1925</v>
      </c>
    </row>
    <row r="1563" spans="1:4" ht="17" customHeight="1">
      <c r="A1563" s="1">
        <v>6499</v>
      </c>
      <c r="B1563" s="1" t="s">
        <v>3134</v>
      </c>
      <c r="C1563" s="1" t="s">
        <v>3135</v>
      </c>
      <c r="D1563" s="1" t="s">
        <v>1925</v>
      </c>
    </row>
    <row r="1564" spans="1:4" ht="17" customHeight="1">
      <c r="A1564" s="1">
        <v>6506</v>
      </c>
      <c r="B1564" s="1" t="s">
        <v>3136</v>
      </c>
      <c r="C1564" s="1" t="s">
        <v>3137</v>
      </c>
      <c r="D1564" s="1" t="s">
        <v>1925</v>
      </c>
    </row>
    <row r="1565" spans="1:4" ht="17" customHeight="1">
      <c r="A1565" s="1">
        <v>6508</v>
      </c>
      <c r="B1565" s="1" t="s">
        <v>3138</v>
      </c>
      <c r="C1565" s="1" t="s">
        <v>3139</v>
      </c>
      <c r="D1565" s="1" t="s">
        <v>1925</v>
      </c>
    </row>
    <row r="1566" spans="1:4" ht="17" customHeight="1">
      <c r="A1566" s="1">
        <v>6509</v>
      </c>
      <c r="B1566" s="1" t="s">
        <v>3140</v>
      </c>
      <c r="C1566" s="1" t="s">
        <v>3141</v>
      </c>
      <c r="D1566" s="1" t="s">
        <v>1925</v>
      </c>
    </row>
    <row r="1567" spans="1:4" ht="17" customHeight="1">
      <c r="A1567" s="1">
        <v>6510</v>
      </c>
      <c r="B1567" s="1" t="s">
        <v>3142</v>
      </c>
      <c r="C1567" s="1" t="s">
        <v>3143</v>
      </c>
      <c r="D1567" s="1" t="s">
        <v>1925</v>
      </c>
    </row>
    <row r="1568" spans="1:4" ht="17" customHeight="1">
      <c r="A1568" s="1">
        <v>6512</v>
      </c>
      <c r="B1568" s="1" t="s">
        <v>3144</v>
      </c>
      <c r="C1568" s="1" t="s">
        <v>3145</v>
      </c>
      <c r="D1568" s="1" t="s">
        <v>1925</v>
      </c>
    </row>
    <row r="1569" spans="1:4" ht="17" customHeight="1">
      <c r="A1569" s="1">
        <v>6514</v>
      </c>
      <c r="B1569" s="1" t="s">
        <v>3146</v>
      </c>
      <c r="C1569" s="1" t="s">
        <v>3147</v>
      </c>
      <c r="D1569" s="1" t="s">
        <v>1925</v>
      </c>
    </row>
    <row r="1570" spans="1:4" ht="17" customHeight="1">
      <c r="A1570" s="1">
        <v>6516</v>
      </c>
      <c r="B1570" s="1" t="s">
        <v>3148</v>
      </c>
      <c r="C1570" s="1" t="s">
        <v>3149</v>
      </c>
      <c r="D1570" s="1" t="s">
        <v>1925</v>
      </c>
    </row>
    <row r="1571" spans="1:4" ht="17" customHeight="1">
      <c r="A1571" s="1">
        <v>6523</v>
      </c>
      <c r="B1571" s="1" t="s">
        <v>3150</v>
      </c>
      <c r="C1571" s="1" t="s">
        <v>3151</v>
      </c>
      <c r="D1571" s="1" t="s">
        <v>1925</v>
      </c>
    </row>
    <row r="1572" spans="1:4" ht="17" customHeight="1">
      <c r="A1572" s="1">
        <v>6527</v>
      </c>
      <c r="B1572" s="1" t="s">
        <v>3152</v>
      </c>
      <c r="C1572" s="1" t="s">
        <v>3153</v>
      </c>
      <c r="D1572" s="1" t="s">
        <v>1925</v>
      </c>
    </row>
    <row r="1573" spans="1:4" ht="17" customHeight="1">
      <c r="A1573" s="1">
        <v>6530</v>
      </c>
      <c r="B1573" s="1" t="s">
        <v>3154</v>
      </c>
      <c r="C1573" s="1" t="s">
        <v>3155</v>
      </c>
      <c r="D1573" s="1" t="s">
        <v>1925</v>
      </c>
    </row>
    <row r="1574" spans="1:4" ht="17" customHeight="1">
      <c r="A1574" s="1">
        <v>6532</v>
      </c>
      <c r="B1574" s="1" t="s">
        <v>3156</v>
      </c>
      <c r="C1574" s="1" t="s">
        <v>3157</v>
      </c>
      <c r="D1574" s="1" t="s">
        <v>1925</v>
      </c>
    </row>
    <row r="1575" spans="1:4" ht="17" customHeight="1">
      <c r="A1575" s="1">
        <v>6535</v>
      </c>
      <c r="B1575" s="1" t="s">
        <v>3158</v>
      </c>
      <c r="C1575" s="1" t="s">
        <v>3159</v>
      </c>
      <c r="D1575" s="1" t="s">
        <v>1925</v>
      </c>
    </row>
    <row r="1576" spans="1:4" ht="17" customHeight="1">
      <c r="A1576" s="1">
        <v>6538</v>
      </c>
      <c r="B1576" s="1" t="s">
        <v>3160</v>
      </c>
      <c r="C1576" s="1" t="s">
        <v>3161</v>
      </c>
      <c r="D1576" s="1" t="s">
        <v>1925</v>
      </c>
    </row>
    <row r="1577" spans="1:4" ht="17" customHeight="1">
      <c r="A1577" s="1">
        <v>6542</v>
      </c>
      <c r="B1577" s="1" t="s">
        <v>3162</v>
      </c>
      <c r="C1577" s="1" t="s">
        <v>3163</v>
      </c>
      <c r="D1577" s="1" t="s">
        <v>1925</v>
      </c>
    </row>
    <row r="1578" spans="1:4" ht="17" customHeight="1">
      <c r="A1578" s="1">
        <v>6547</v>
      </c>
      <c r="B1578" s="1" t="s">
        <v>3164</v>
      </c>
      <c r="C1578" s="1" t="s">
        <v>3165</v>
      </c>
      <c r="D1578" s="1" t="s">
        <v>1925</v>
      </c>
    </row>
    <row r="1579" spans="1:4" ht="17" customHeight="1">
      <c r="A1579" s="1">
        <v>6548</v>
      </c>
      <c r="B1579" s="1" t="s">
        <v>3166</v>
      </c>
      <c r="C1579" s="1" t="s">
        <v>3167</v>
      </c>
      <c r="D1579" s="1" t="s">
        <v>1925</v>
      </c>
    </row>
    <row r="1580" spans="1:4" ht="17" customHeight="1">
      <c r="A1580" s="1">
        <v>6556</v>
      </c>
      <c r="B1580" s="1" t="s">
        <v>3168</v>
      </c>
      <c r="C1580" s="1" t="s">
        <v>3169</v>
      </c>
      <c r="D1580" s="1" t="s">
        <v>1925</v>
      </c>
    </row>
    <row r="1581" spans="1:4" ht="17" customHeight="1">
      <c r="A1581" s="1">
        <v>6560</v>
      </c>
      <c r="B1581" s="1" t="s">
        <v>3170</v>
      </c>
      <c r="C1581" s="1" t="s">
        <v>3171</v>
      </c>
      <c r="D1581" s="1" t="s">
        <v>1925</v>
      </c>
    </row>
    <row r="1582" spans="1:4" ht="17" customHeight="1">
      <c r="A1582" s="1">
        <v>6561</v>
      </c>
      <c r="B1582" s="1" t="s">
        <v>3172</v>
      </c>
      <c r="C1582" s="1" t="s">
        <v>3173</v>
      </c>
      <c r="D1582" s="1" t="s">
        <v>1925</v>
      </c>
    </row>
    <row r="1583" spans="1:4" ht="17" customHeight="1">
      <c r="A1583" s="1">
        <v>6568</v>
      </c>
      <c r="B1583" s="1" t="s">
        <v>3174</v>
      </c>
      <c r="C1583" s="1" t="s">
        <v>3175</v>
      </c>
      <c r="D1583" s="1" t="s">
        <v>1925</v>
      </c>
    </row>
    <row r="1584" spans="1:4" ht="17" customHeight="1">
      <c r="A1584" s="1">
        <v>6569</v>
      </c>
      <c r="B1584" s="1" t="s">
        <v>3176</v>
      </c>
      <c r="C1584" s="1" t="s">
        <v>3177</v>
      </c>
      <c r="D1584" s="1" t="s">
        <v>1925</v>
      </c>
    </row>
    <row r="1585" spans="1:4" ht="17" customHeight="1">
      <c r="A1585" s="1">
        <v>6570</v>
      </c>
      <c r="B1585" s="1" t="s">
        <v>3178</v>
      </c>
      <c r="C1585" s="1" t="s">
        <v>3179</v>
      </c>
      <c r="D1585" s="1" t="s">
        <v>1925</v>
      </c>
    </row>
    <row r="1586" spans="1:4" ht="17" customHeight="1">
      <c r="A1586" s="1">
        <v>6574</v>
      </c>
      <c r="B1586" s="1" t="s">
        <v>3180</v>
      </c>
      <c r="C1586" s="1" t="s">
        <v>3181</v>
      </c>
      <c r="D1586" s="1" t="s">
        <v>1925</v>
      </c>
    </row>
    <row r="1587" spans="1:4" ht="17" customHeight="1">
      <c r="A1587" s="1">
        <v>6576</v>
      </c>
      <c r="B1587" s="1" t="s">
        <v>3182</v>
      </c>
      <c r="C1587" s="1" t="s">
        <v>3183</v>
      </c>
      <c r="D1587" s="1" t="s">
        <v>1925</v>
      </c>
    </row>
    <row r="1588" spans="1:4" ht="17" customHeight="1">
      <c r="A1588" s="1">
        <v>6577</v>
      </c>
      <c r="B1588" s="1" t="s">
        <v>3184</v>
      </c>
      <c r="C1588" s="1" t="s">
        <v>3185</v>
      </c>
      <c r="D1588" s="1" t="s">
        <v>1925</v>
      </c>
    </row>
    <row r="1589" spans="1:4" ht="17" customHeight="1">
      <c r="A1589" s="1">
        <v>6578</v>
      </c>
      <c r="B1589" s="1" t="s">
        <v>3186</v>
      </c>
      <c r="C1589" s="1" t="s">
        <v>3187</v>
      </c>
      <c r="D1589" s="1" t="s">
        <v>1925</v>
      </c>
    </row>
    <row r="1590" spans="1:4" ht="17" customHeight="1">
      <c r="A1590" s="1">
        <v>6589</v>
      </c>
      <c r="B1590" s="1" t="s">
        <v>3188</v>
      </c>
      <c r="C1590" s="1" t="s">
        <v>3189</v>
      </c>
      <c r="D1590" s="1" t="s">
        <v>1925</v>
      </c>
    </row>
    <row r="1591" spans="1:4" ht="17" customHeight="1">
      <c r="A1591" s="1">
        <v>6590</v>
      </c>
      <c r="B1591" s="1" t="s">
        <v>3190</v>
      </c>
      <c r="C1591" s="1" t="s">
        <v>3191</v>
      </c>
      <c r="D1591" s="1" t="s">
        <v>1925</v>
      </c>
    </row>
    <row r="1592" spans="1:4" ht="17" customHeight="1">
      <c r="A1592" s="1">
        <v>6593</v>
      </c>
      <c r="B1592" s="1" t="s">
        <v>3192</v>
      </c>
      <c r="C1592" s="1" t="s">
        <v>3193</v>
      </c>
      <c r="D1592" s="1" t="s">
        <v>1925</v>
      </c>
    </row>
    <row r="1593" spans="1:4" ht="17" customHeight="1">
      <c r="A1593" s="1">
        <v>6594</v>
      </c>
      <c r="B1593" s="1" t="s">
        <v>3194</v>
      </c>
      <c r="C1593" s="1" t="s">
        <v>3195</v>
      </c>
      <c r="D1593" s="1" t="s">
        <v>1925</v>
      </c>
    </row>
    <row r="1594" spans="1:4" ht="17" customHeight="1">
      <c r="A1594" s="1">
        <v>6596</v>
      </c>
      <c r="B1594" s="1" t="s">
        <v>3196</v>
      </c>
      <c r="C1594" s="1" t="s">
        <v>3197</v>
      </c>
      <c r="D1594" s="1" t="s">
        <v>1925</v>
      </c>
    </row>
    <row r="1595" spans="1:4" ht="17" customHeight="1">
      <c r="A1595" s="1">
        <v>6603</v>
      </c>
      <c r="B1595" s="1" t="s">
        <v>3198</v>
      </c>
      <c r="C1595" s="1" t="s">
        <v>3199</v>
      </c>
      <c r="D1595" s="1" t="s">
        <v>1925</v>
      </c>
    </row>
    <row r="1596" spans="1:4" ht="17" customHeight="1">
      <c r="A1596" s="1">
        <v>6609</v>
      </c>
      <c r="B1596" s="1" t="s">
        <v>3200</v>
      </c>
      <c r="C1596" s="1" t="s">
        <v>3201</v>
      </c>
      <c r="D1596" s="1" t="s">
        <v>1925</v>
      </c>
    </row>
    <row r="1597" spans="1:4" ht="17" customHeight="1">
      <c r="A1597" s="1">
        <v>6612</v>
      </c>
      <c r="B1597" s="1" t="s">
        <v>3202</v>
      </c>
      <c r="C1597" s="1" t="s">
        <v>3203</v>
      </c>
      <c r="D1597" s="1" t="s">
        <v>1925</v>
      </c>
    </row>
    <row r="1598" spans="1:4" ht="17" customHeight="1">
      <c r="A1598" s="1">
        <v>6613</v>
      </c>
      <c r="B1598" s="1" t="s">
        <v>3204</v>
      </c>
      <c r="C1598" s="1" t="s">
        <v>3205</v>
      </c>
      <c r="D1598" s="1" t="s">
        <v>1925</v>
      </c>
    </row>
    <row r="1599" spans="1:4" ht="17" customHeight="1">
      <c r="A1599" s="1">
        <v>6615</v>
      </c>
      <c r="B1599" s="1" t="s">
        <v>3206</v>
      </c>
      <c r="C1599" s="1" t="s">
        <v>3207</v>
      </c>
      <c r="D1599" s="1" t="s">
        <v>1925</v>
      </c>
    </row>
    <row r="1600" spans="1:4" ht="17" customHeight="1">
      <c r="A1600" s="1">
        <v>6616</v>
      </c>
      <c r="B1600" s="1" t="s">
        <v>3208</v>
      </c>
      <c r="C1600" s="1" t="s">
        <v>3209</v>
      </c>
      <c r="D1600" s="1" t="s">
        <v>1925</v>
      </c>
    </row>
    <row r="1601" spans="1:4" ht="17" customHeight="1">
      <c r="A1601" s="1">
        <v>6624</v>
      </c>
      <c r="B1601" s="1" t="s">
        <v>3210</v>
      </c>
      <c r="C1601" s="1" t="s">
        <v>3211</v>
      </c>
      <c r="D1601" s="1" t="s">
        <v>1925</v>
      </c>
    </row>
    <row r="1602" spans="1:4" ht="17" customHeight="1">
      <c r="A1602" s="1">
        <v>6629</v>
      </c>
      <c r="B1602" s="1" t="s">
        <v>3212</v>
      </c>
      <c r="C1602" s="1" t="s">
        <v>3213</v>
      </c>
      <c r="D1602" s="1" t="s">
        <v>1925</v>
      </c>
    </row>
    <row r="1603" spans="1:4" ht="17" customHeight="1">
      <c r="A1603" s="1">
        <v>6640</v>
      </c>
      <c r="B1603" s="1" t="s">
        <v>3214</v>
      </c>
      <c r="C1603" s="1" t="s">
        <v>3215</v>
      </c>
      <c r="D1603" s="1" t="s">
        <v>1925</v>
      </c>
    </row>
    <row r="1604" spans="1:4" ht="17" customHeight="1">
      <c r="A1604" s="1">
        <v>6642</v>
      </c>
      <c r="B1604" s="1" t="s">
        <v>3216</v>
      </c>
      <c r="C1604" s="1" t="s">
        <v>3217</v>
      </c>
      <c r="D1604" s="1" t="s">
        <v>1925</v>
      </c>
    </row>
    <row r="1605" spans="1:4" ht="17" customHeight="1">
      <c r="A1605" s="1">
        <v>6643</v>
      </c>
      <c r="B1605" s="1" t="s">
        <v>3218</v>
      </c>
      <c r="C1605" s="1" t="s">
        <v>3219</v>
      </c>
      <c r="D1605" s="1" t="s">
        <v>1925</v>
      </c>
    </row>
    <row r="1606" spans="1:4" ht="17" customHeight="1">
      <c r="A1606" s="1">
        <v>6649</v>
      </c>
      <c r="B1606" s="1" t="s">
        <v>3220</v>
      </c>
      <c r="C1606" s="1" t="s">
        <v>3221</v>
      </c>
      <c r="D1606" s="1" t="s">
        <v>1925</v>
      </c>
    </row>
    <row r="1607" spans="1:4" ht="17" customHeight="1">
      <c r="A1607" s="1">
        <v>6654</v>
      </c>
      <c r="B1607" s="1" t="s">
        <v>3222</v>
      </c>
      <c r="C1607" s="1" t="s">
        <v>3223</v>
      </c>
      <c r="D1607" s="1" t="s">
        <v>1925</v>
      </c>
    </row>
    <row r="1608" spans="1:4" ht="17" customHeight="1">
      <c r="A1608" s="1">
        <v>6662</v>
      </c>
      <c r="B1608" s="1" t="s">
        <v>3224</v>
      </c>
      <c r="C1608" s="1" t="s">
        <v>3225</v>
      </c>
      <c r="D1608" s="1" t="s">
        <v>1925</v>
      </c>
    </row>
    <row r="1609" spans="1:4" ht="17" customHeight="1">
      <c r="A1609" s="1">
        <v>6664</v>
      </c>
      <c r="B1609" s="1" t="s">
        <v>3226</v>
      </c>
      <c r="C1609" s="1" t="s">
        <v>3227</v>
      </c>
      <c r="D1609" s="1" t="s">
        <v>1925</v>
      </c>
    </row>
    <row r="1610" spans="1:4" ht="17" customHeight="1">
      <c r="A1610" s="1">
        <v>6667</v>
      </c>
      <c r="B1610" s="1" t="s">
        <v>3228</v>
      </c>
      <c r="C1610" s="1" t="s">
        <v>3229</v>
      </c>
      <c r="D1610" s="1" t="s">
        <v>1925</v>
      </c>
    </row>
    <row r="1611" spans="1:4" ht="17" customHeight="1">
      <c r="A1611" s="1">
        <v>6679</v>
      </c>
      <c r="B1611" s="1" t="s">
        <v>3230</v>
      </c>
      <c r="C1611" s="1" t="s">
        <v>3231</v>
      </c>
      <c r="D1611" s="1" t="s">
        <v>1925</v>
      </c>
    </row>
    <row r="1612" spans="1:4" ht="17" customHeight="1">
      <c r="A1612" s="1">
        <v>6680</v>
      </c>
      <c r="B1612" s="1" t="s">
        <v>3232</v>
      </c>
      <c r="C1612" s="1" t="s">
        <v>3233</v>
      </c>
      <c r="D1612" s="1" t="s">
        <v>1925</v>
      </c>
    </row>
    <row r="1613" spans="1:4" ht="17" customHeight="1">
      <c r="A1613" s="1">
        <v>6683</v>
      </c>
      <c r="B1613" s="1" t="s">
        <v>3234</v>
      </c>
      <c r="C1613" s="1" t="s">
        <v>3235</v>
      </c>
      <c r="D1613" s="1" t="s">
        <v>1925</v>
      </c>
    </row>
    <row r="1614" spans="1:4" ht="17" customHeight="1">
      <c r="A1614" s="1">
        <v>6690</v>
      </c>
      <c r="B1614" s="1" t="s">
        <v>3236</v>
      </c>
      <c r="C1614" s="1" t="s">
        <v>3237</v>
      </c>
      <c r="D1614" s="1" t="s">
        <v>1925</v>
      </c>
    </row>
    <row r="1615" spans="1:4" ht="17" customHeight="1">
      <c r="A1615" s="1">
        <v>6697</v>
      </c>
      <c r="B1615" s="1" t="s">
        <v>3238</v>
      </c>
      <c r="C1615" s="1" t="s">
        <v>3239</v>
      </c>
      <c r="D1615" s="1" t="s">
        <v>1925</v>
      </c>
    </row>
    <row r="1616" spans="1:4" ht="17" customHeight="1">
      <c r="A1616" s="1">
        <v>6716</v>
      </c>
      <c r="B1616" s="1" t="s">
        <v>3240</v>
      </c>
      <c r="C1616" s="1" t="s">
        <v>3241</v>
      </c>
      <c r="D1616" s="1" t="s">
        <v>1925</v>
      </c>
    </row>
    <row r="1617" spans="1:4" ht="17" customHeight="1">
      <c r="A1617" s="1">
        <v>6803</v>
      </c>
      <c r="B1617" s="1" t="s">
        <v>3242</v>
      </c>
      <c r="C1617" s="1" t="s">
        <v>3243</v>
      </c>
      <c r="D1617" s="1" t="s">
        <v>1925</v>
      </c>
    </row>
    <row r="1618" spans="1:4" ht="17" customHeight="1">
      <c r="A1618" s="1">
        <v>7402</v>
      </c>
      <c r="B1618" s="1" t="s">
        <v>3244</v>
      </c>
      <c r="C1618" s="1" t="s">
        <v>3245</v>
      </c>
      <c r="D1618" s="1" t="s">
        <v>1925</v>
      </c>
    </row>
    <row r="1619" spans="1:4" ht="17" customHeight="1">
      <c r="A1619" s="1">
        <v>8024</v>
      </c>
      <c r="B1619" s="1" t="s">
        <v>3246</v>
      </c>
      <c r="C1619" s="1" t="s">
        <v>3247</v>
      </c>
      <c r="D1619" s="1" t="s">
        <v>1925</v>
      </c>
    </row>
    <row r="1620" spans="1:4" ht="17" customHeight="1">
      <c r="A1620" s="1">
        <v>8027</v>
      </c>
      <c r="B1620" s="1" t="s">
        <v>3248</v>
      </c>
      <c r="C1620" s="1" t="s">
        <v>3249</v>
      </c>
      <c r="D1620" s="1" t="s">
        <v>1925</v>
      </c>
    </row>
    <row r="1621" spans="1:4" ht="17" customHeight="1">
      <c r="A1621" s="1">
        <v>8032</v>
      </c>
      <c r="B1621" s="1" t="s">
        <v>3250</v>
      </c>
      <c r="C1621" s="1" t="s">
        <v>3251</v>
      </c>
      <c r="D1621" s="1" t="s">
        <v>1925</v>
      </c>
    </row>
    <row r="1622" spans="1:4" ht="17" customHeight="1">
      <c r="A1622" s="1">
        <v>8034</v>
      </c>
      <c r="B1622" s="1" t="s">
        <v>3252</v>
      </c>
      <c r="C1622" s="1" t="s">
        <v>3253</v>
      </c>
      <c r="D1622" s="1" t="s">
        <v>1925</v>
      </c>
    </row>
    <row r="1623" spans="1:4" ht="17" customHeight="1">
      <c r="A1623" s="1">
        <v>8038</v>
      </c>
      <c r="B1623" s="1" t="s">
        <v>3254</v>
      </c>
      <c r="C1623" s="1" t="s">
        <v>3255</v>
      </c>
      <c r="D1623" s="1" t="s">
        <v>1925</v>
      </c>
    </row>
    <row r="1624" spans="1:4" ht="17" customHeight="1">
      <c r="A1624" s="1">
        <v>8040</v>
      </c>
      <c r="B1624" s="1" t="s">
        <v>3256</v>
      </c>
      <c r="C1624" s="1" t="s">
        <v>3257</v>
      </c>
      <c r="D1624" s="1" t="s">
        <v>1925</v>
      </c>
    </row>
    <row r="1625" spans="1:4" ht="17" customHeight="1">
      <c r="A1625" s="1">
        <v>8042</v>
      </c>
      <c r="B1625" s="1" t="s">
        <v>3258</v>
      </c>
      <c r="C1625" s="1" t="s">
        <v>3259</v>
      </c>
      <c r="D1625" s="1" t="s">
        <v>1925</v>
      </c>
    </row>
    <row r="1626" spans="1:4" ht="17" customHeight="1">
      <c r="A1626" s="1">
        <v>8043</v>
      </c>
      <c r="B1626" s="1" t="s">
        <v>3260</v>
      </c>
      <c r="C1626" s="1" t="s">
        <v>3261</v>
      </c>
      <c r="D1626" s="1" t="s">
        <v>1925</v>
      </c>
    </row>
    <row r="1627" spans="1:4" ht="17" customHeight="1">
      <c r="A1627" s="1">
        <v>8044</v>
      </c>
      <c r="B1627" s="1" t="s">
        <v>3262</v>
      </c>
      <c r="C1627" s="1" t="s">
        <v>3263</v>
      </c>
      <c r="D1627" s="1" t="s">
        <v>1925</v>
      </c>
    </row>
    <row r="1628" spans="1:4" ht="17" customHeight="1">
      <c r="A1628" s="1">
        <v>8047</v>
      </c>
      <c r="B1628" s="1" t="s">
        <v>3264</v>
      </c>
      <c r="C1628" s="1" t="s">
        <v>3265</v>
      </c>
      <c r="D1628" s="1" t="s">
        <v>1925</v>
      </c>
    </row>
    <row r="1629" spans="1:4" ht="17" customHeight="1">
      <c r="A1629" s="1">
        <v>8048</v>
      </c>
      <c r="B1629" s="1" t="s">
        <v>3266</v>
      </c>
      <c r="C1629" s="1" t="s">
        <v>3267</v>
      </c>
      <c r="D1629" s="1" t="s">
        <v>1925</v>
      </c>
    </row>
    <row r="1630" spans="1:4" ht="17" customHeight="1">
      <c r="A1630" s="1">
        <v>8049</v>
      </c>
      <c r="B1630" s="1" t="s">
        <v>3268</v>
      </c>
      <c r="C1630" s="1" t="s">
        <v>3269</v>
      </c>
      <c r="D1630" s="1" t="s">
        <v>1925</v>
      </c>
    </row>
    <row r="1631" spans="1:4" ht="17" customHeight="1">
      <c r="A1631" s="1">
        <v>8050</v>
      </c>
      <c r="B1631" s="1" t="s">
        <v>3270</v>
      </c>
      <c r="C1631" s="1" t="s">
        <v>3271</v>
      </c>
      <c r="D1631" s="1" t="s">
        <v>1925</v>
      </c>
    </row>
    <row r="1632" spans="1:4" ht="17" customHeight="1">
      <c r="A1632" s="1">
        <v>8054</v>
      </c>
      <c r="B1632" s="1" t="s">
        <v>3272</v>
      </c>
      <c r="C1632" s="1" t="s">
        <v>3273</v>
      </c>
      <c r="D1632" s="1" t="s">
        <v>1925</v>
      </c>
    </row>
    <row r="1633" spans="1:4" ht="17" customHeight="1">
      <c r="A1633" s="1">
        <v>8059</v>
      </c>
      <c r="B1633" s="1" t="s">
        <v>3274</v>
      </c>
      <c r="C1633" s="1" t="s">
        <v>3275</v>
      </c>
      <c r="D1633" s="1" t="s">
        <v>1925</v>
      </c>
    </row>
    <row r="1634" spans="1:4" ht="17" customHeight="1">
      <c r="A1634" s="1">
        <v>8064</v>
      </c>
      <c r="B1634" s="1" t="s">
        <v>3276</v>
      </c>
      <c r="C1634" s="1" t="s">
        <v>3277</v>
      </c>
      <c r="D1634" s="1" t="s">
        <v>1925</v>
      </c>
    </row>
    <row r="1635" spans="1:4" ht="17" customHeight="1">
      <c r="A1635" s="1">
        <v>8066</v>
      </c>
      <c r="B1635" s="1" t="s">
        <v>3278</v>
      </c>
      <c r="C1635" s="1" t="s">
        <v>3279</v>
      </c>
      <c r="D1635" s="1" t="s">
        <v>1925</v>
      </c>
    </row>
    <row r="1636" spans="1:4" ht="17" customHeight="1">
      <c r="A1636" s="1">
        <v>8067</v>
      </c>
      <c r="B1636" s="1" t="s">
        <v>3280</v>
      </c>
      <c r="C1636" s="1" t="s">
        <v>3281</v>
      </c>
      <c r="D1636" s="1" t="s">
        <v>1925</v>
      </c>
    </row>
    <row r="1637" spans="1:4" ht="17" customHeight="1">
      <c r="A1637" s="1">
        <v>8068</v>
      </c>
      <c r="B1637" s="1" t="s">
        <v>3282</v>
      </c>
      <c r="C1637" s="1" t="s">
        <v>3283</v>
      </c>
      <c r="D1637" s="1" t="s">
        <v>1925</v>
      </c>
    </row>
    <row r="1638" spans="1:4" ht="17" customHeight="1">
      <c r="A1638" s="1">
        <v>8069</v>
      </c>
      <c r="B1638" s="1" t="s">
        <v>3284</v>
      </c>
      <c r="C1638" s="1" t="s">
        <v>3285</v>
      </c>
      <c r="D1638" s="1" t="s">
        <v>1925</v>
      </c>
    </row>
    <row r="1639" spans="1:4" ht="17" customHeight="1">
      <c r="A1639" s="1">
        <v>8071</v>
      </c>
      <c r="B1639" s="1" t="s">
        <v>3286</v>
      </c>
      <c r="C1639" s="1" t="s">
        <v>3287</v>
      </c>
      <c r="D1639" s="1" t="s">
        <v>1925</v>
      </c>
    </row>
    <row r="1640" spans="1:4" ht="17" customHeight="1">
      <c r="A1640" s="1">
        <v>8074</v>
      </c>
      <c r="B1640" s="1" t="s">
        <v>3288</v>
      </c>
      <c r="C1640" s="1" t="s">
        <v>3289</v>
      </c>
      <c r="D1640" s="1" t="s">
        <v>1925</v>
      </c>
    </row>
    <row r="1641" spans="1:4" ht="17" customHeight="1">
      <c r="A1641" s="1">
        <v>8076</v>
      </c>
      <c r="B1641" s="1" t="s">
        <v>3290</v>
      </c>
      <c r="C1641" s="1" t="s">
        <v>3291</v>
      </c>
      <c r="D1641" s="1" t="s">
        <v>1925</v>
      </c>
    </row>
    <row r="1642" spans="1:4" ht="17" customHeight="1">
      <c r="A1642" s="1">
        <v>8077</v>
      </c>
      <c r="B1642" s="1" t="s">
        <v>3292</v>
      </c>
      <c r="C1642" s="1" t="s">
        <v>3293</v>
      </c>
      <c r="D1642" s="1" t="s">
        <v>1925</v>
      </c>
    </row>
    <row r="1643" spans="1:4" ht="17" customHeight="1">
      <c r="A1643" s="1">
        <v>8080</v>
      </c>
      <c r="B1643" s="1" t="s">
        <v>3294</v>
      </c>
      <c r="C1643" s="1" t="s">
        <v>3295</v>
      </c>
      <c r="D1643" s="1" t="s">
        <v>1925</v>
      </c>
    </row>
    <row r="1644" spans="1:4" ht="17" customHeight="1">
      <c r="A1644" s="1">
        <v>8083</v>
      </c>
      <c r="B1644" s="1" t="s">
        <v>3296</v>
      </c>
      <c r="C1644" s="1" t="s">
        <v>3297</v>
      </c>
      <c r="D1644" s="1" t="s">
        <v>1925</v>
      </c>
    </row>
    <row r="1645" spans="1:4" ht="17" customHeight="1">
      <c r="A1645" s="1">
        <v>8084</v>
      </c>
      <c r="B1645" s="1" t="s">
        <v>3298</v>
      </c>
      <c r="C1645" s="1" t="s">
        <v>3299</v>
      </c>
      <c r="D1645" s="1" t="s">
        <v>1925</v>
      </c>
    </row>
    <row r="1646" spans="1:4" ht="17" customHeight="1">
      <c r="A1646" s="1">
        <v>8085</v>
      </c>
      <c r="B1646" s="1" t="s">
        <v>3300</v>
      </c>
      <c r="C1646" s="1" t="s">
        <v>3301</v>
      </c>
      <c r="D1646" s="1" t="s">
        <v>1925</v>
      </c>
    </row>
    <row r="1647" spans="1:4" ht="17" customHeight="1">
      <c r="A1647" s="1">
        <v>8086</v>
      </c>
      <c r="B1647" s="1" t="s">
        <v>3302</v>
      </c>
      <c r="C1647" s="1" t="s">
        <v>3303</v>
      </c>
      <c r="D1647" s="1" t="s">
        <v>1925</v>
      </c>
    </row>
    <row r="1648" spans="1:4" ht="17" customHeight="1">
      <c r="A1648" s="1">
        <v>8087</v>
      </c>
      <c r="B1648" s="1" t="s">
        <v>3304</v>
      </c>
      <c r="C1648" s="1" t="s">
        <v>3305</v>
      </c>
      <c r="D1648" s="1" t="s">
        <v>1925</v>
      </c>
    </row>
    <row r="1649" spans="1:4" ht="17" customHeight="1">
      <c r="A1649" s="1">
        <v>8088</v>
      </c>
      <c r="B1649" s="1" t="s">
        <v>3306</v>
      </c>
      <c r="C1649" s="1" t="s">
        <v>3307</v>
      </c>
      <c r="D1649" s="1" t="s">
        <v>1925</v>
      </c>
    </row>
    <row r="1650" spans="1:4" ht="17" customHeight="1">
      <c r="A1650" s="1">
        <v>8091</v>
      </c>
      <c r="B1650" s="1" t="s">
        <v>3308</v>
      </c>
      <c r="C1650" s="1" t="s">
        <v>3309</v>
      </c>
      <c r="D1650" s="1" t="s">
        <v>1925</v>
      </c>
    </row>
    <row r="1651" spans="1:4" ht="17" customHeight="1">
      <c r="A1651" s="1">
        <v>8092</v>
      </c>
      <c r="B1651" s="1" t="s">
        <v>3310</v>
      </c>
      <c r="C1651" s="1" t="s">
        <v>3311</v>
      </c>
      <c r="D1651" s="1" t="s">
        <v>1925</v>
      </c>
    </row>
    <row r="1652" spans="1:4" ht="17" customHeight="1">
      <c r="A1652" s="1">
        <v>8093</v>
      </c>
      <c r="B1652" s="1" t="s">
        <v>3312</v>
      </c>
      <c r="C1652" s="1" t="s">
        <v>3313</v>
      </c>
      <c r="D1652" s="1" t="s">
        <v>1925</v>
      </c>
    </row>
    <row r="1653" spans="1:4" ht="17" customHeight="1">
      <c r="A1653" s="1">
        <v>8096</v>
      </c>
      <c r="B1653" s="1" t="s">
        <v>3314</v>
      </c>
      <c r="C1653" s="1" t="s">
        <v>3315</v>
      </c>
      <c r="D1653" s="1" t="s">
        <v>1925</v>
      </c>
    </row>
    <row r="1654" spans="1:4" ht="17" customHeight="1">
      <c r="A1654" s="1">
        <v>8097</v>
      </c>
      <c r="B1654" s="1" t="s">
        <v>3316</v>
      </c>
      <c r="C1654" s="1" t="s">
        <v>3317</v>
      </c>
      <c r="D1654" s="1" t="s">
        <v>1925</v>
      </c>
    </row>
    <row r="1655" spans="1:4" ht="17" customHeight="1">
      <c r="A1655" s="1">
        <v>8099</v>
      </c>
      <c r="B1655" s="1" t="s">
        <v>3318</v>
      </c>
      <c r="C1655" s="1" t="s">
        <v>3319</v>
      </c>
      <c r="D1655" s="1" t="s">
        <v>1925</v>
      </c>
    </row>
    <row r="1656" spans="1:4" ht="17" customHeight="1">
      <c r="A1656" s="1">
        <v>8107</v>
      </c>
      <c r="B1656" s="1" t="s">
        <v>3320</v>
      </c>
      <c r="C1656" s="1" t="s">
        <v>3321</v>
      </c>
      <c r="D1656" s="1" t="s">
        <v>1925</v>
      </c>
    </row>
    <row r="1657" spans="1:4" ht="17" customHeight="1">
      <c r="A1657" s="1">
        <v>8109</v>
      </c>
      <c r="B1657" s="1" t="s">
        <v>3322</v>
      </c>
      <c r="C1657" s="1" t="s">
        <v>3323</v>
      </c>
      <c r="D1657" s="1" t="s">
        <v>1925</v>
      </c>
    </row>
    <row r="1658" spans="1:4" ht="17" customHeight="1">
      <c r="A1658" s="1">
        <v>8111</v>
      </c>
      <c r="B1658" s="1" t="s">
        <v>3324</v>
      </c>
      <c r="C1658" s="1" t="s">
        <v>3325</v>
      </c>
      <c r="D1658" s="1" t="s">
        <v>1925</v>
      </c>
    </row>
    <row r="1659" spans="1:4" ht="17" customHeight="1">
      <c r="A1659" s="1">
        <v>8121</v>
      </c>
      <c r="B1659" s="1" t="s">
        <v>3326</v>
      </c>
      <c r="C1659" s="1" t="s">
        <v>3327</v>
      </c>
      <c r="D1659" s="1" t="s">
        <v>1925</v>
      </c>
    </row>
    <row r="1660" spans="1:4" ht="17" customHeight="1">
      <c r="A1660" s="1">
        <v>8147</v>
      </c>
      <c r="B1660" s="1" t="s">
        <v>3328</v>
      </c>
      <c r="C1660" s="1" t="s">
        <v>3329</v>
      </c>
      <c r="D1660" s="1" t="s">
        <v>1925</v>
      </c>
    </row>
    <row r="1661" spans="1:4" ht="17" customHeight="1">
      <c r="A1661" s="1">
        <v>8155</v>
      </c>
      <c r="B1661" s="1" t="s">
        <v>3330</v>
      </c>
      <c r="C1661" s="1" t="s">
        <v>3331</v>
      </c>
      <c r="D1661" s="1" t="s">
        <v>1925</v>
      </c>
    </row>
    <row r="1662" spans="1:4" ht="17" customHeight="1">
      <c r="A1662" s="1">
        <v>8171</v>
      </c>
      <c r="B1662" s="1" t="s">
        <v>3332</v>
      </c>
      <c r="C1662" s="1" t="s">
        <v>3333</v>
      </c>
      <c r="D1662" s="1" t="s">
        <v>1925</v>
      </c>
    </row>
    <row r="1663" spans="1:4" ht="17" customHeight="1">
      <c r="A1663" s="1">
        <v>8176</v>
      </c>
      <c r="B1663" s="1" t="s">
        <v>3334</v>
      </c>
      <c r="C1663" s="1" t="s">
        <v>3335</v>
      </c>
      <c r="D1663" s="1" t="s">
        <v>1925</v>
      </c>
    </row>
    <row r="1664" spans="1:4" ht="17" customHeight="1">
      <c r="A1664" s="1">
        <v>8182</v>
      </c>
      <c r="B1664" s="1" t="s">
        <v>3336</v>
      </c>
      <c r="C1664" s="1" t="s">
        <v>3337</v>
      </c>
      <c r="D1664" s="1" t="s">
        <v>1925</v>
      </c>
    </row>
    <row r="1665" spans="1:4" ht="17" customHeight="1">
      <c r="A1665" s="1">
        <v>8183</v>
      </c>
      <c r="B1665" s="1" t="s">
        <v>3338</v>
      </c>
      <c r="C1665" s="1" t="s">
        <v>3339</v>
      </c>
      <c r="D1665" s="1" t="s">
        <v>1925</v>
      </c>
    </row>
    <row r="1666" spans="1:4" ht="17" customHeight="1">
      <c r="A1666" s="1">
        <v>8234</v>
      </c>
      <c r="B1666" s="1" t="s">
        <v>3340</v>
      </c>
      <c r="C1666" s="1" t="s">
        <v>3341</v>
      </c>
      <c r="D1666" s="1" t="s">
        <v>1925</v>
      </c>
    </row>
    <row r="1667" spans="1:4" ht="17" customHeight="1">
      <c r="A1667" s="1">
        <v>8240</v>
      </c>
      <c r="B1667" s="1" t="s">
        <v>3342</v>
      </c>
      <c r="C1667" s="1" t="s">
        <v>3343</v>
      </c>
      <c r="D1667" s="1" t="s">
        <v>1925</v>
      </c>
    </row>
    <row r="1668" spans="1:4" ht="17" customHeight="1">
      <c r="A1668" s="1">
        <v>8255</v>
      </c>
      <c r="B1668" s="1" t="s">
        <v>3344</v>
      </c>
      <c r="C1668" s="1" t="s">
        <v>3345</v>
      </c>
      <c r="D1668" s="1" t="s">
        <v>1925</v>
      </c>
    </row>
    <row r="1669" spans="1:4" ht="17" customHeight="1">
      <c r="A1669" s="1">
        <v>8277</v>
      </c>
      <c r="B1669" s="1" t="s">
        <v>3346</v>
      </c>
      <c r="C1669" s="1" t="s">
        <v>3347</v>
      </c>
      <c r="D1669" s="1" t="s">
        <v>1925</v>
      </c>
    </row>
    <row r="1670" spans="1:4" ht="17" customHeight="1">
      <c r="A1670" s="1">
        <v>8279</v>
      </c>
      <c r="B1670" s="1" t="s">
        <v>3348</v>
      </c>
      <c r="C1670" s="1" t="s">
        <v>3349</v>
      </c>
      <c r="D1670" s="1" t="s">
        <v>1925</v>
      </c>
    </row>
    <row r="1671" spans="1:4" ht="17" customHeight="1">
      <c r="A1671" s="1">
        <v>8289</v>
      </c>
      <c r="B1671" s="1" t="s">
        <v>3352</v>
      </c>
      <c r="C1671" s="1" t="s">
        <v>3353</v>
      </c>
      <c r="D1671" s="1" t="s">
        <v>1925</v>
      </c>
    </row>
    <row r="1672" spans="1:4" ht="17" customHeight="1">
      <c r="A1672" s="1">
        <v>8291</v>
      </c>
      <c r="B1672" s="1" t="s">
        <v>3354</v>
      </c>
      <c r="C1672" s="1" t="s">
        <v>3355</v>
      </c>
      <c r="D1672" s="1" t="s">
        <v>1925</v>
      </c>
    </row>
    <row r="1673" spans="1:4" ht="17" customHeight="1">
      <c r="A1673" s="1">
        <v>8299</v>
      </c>
      <c r="B1673" s="1" t="s">
        <v>3356</v>
      </c>
      <c r="C1673" s="1" t="s">
        <v>3357</v>
      </c>
      <c r="D1673" s="1" t="s">
        <v>1925</v>
      </c>
    </row>
    <row r="1674" spans="1:4" ht="17" customHeight="1">
      <c r="A1674" s="1">
        <v>8342</v>
      </c>
      <c r="B1674" s="1" t="s">
        <v>3358</v>
      </c>
      <c r="C1674" s="1" t="s">
        <v>3359</v>
      </c>
      <c r="D1674" s="1" t="s">
        <v>1925</v>
      </c>
    </row>
    <row r="1675" spans="1:4" ht="17" customHeight="1">
      <c r="A1675" s="1">
        <v>8349</v>
      </c>
      <c r="B1675" s="1" t="s">
        <v>3360</v>
      </c>
      <c r="C1675" s="1" t="s">
        <v>3361</v>
      </c>
      <c r="D1675" s="1" t="s">
        <v>1925</v>
      </c>
    </row>
    <row r="1676" spans="1:4" ht="17" customHeight="1">
      <c r="A1676" s="1">
        <v>8354</v>
      </c>
      <c r="B1676" s="1" t="s">
        <v>3362</v>
      </c>
      <c r="C1676" s="1" t="s">
        <v>3363</v>
      </c>
      <c r="D1676" s="1" t="s">
        <v>1925</v>
      </c>
    </row>
    <row r="1677" spans="1:4" ht="17" customHeight="1">
      <c r="A1677" s="1">
        <v>8358</v>
      </c>
      <c r="B1677" s="1" t="s">
        <v>3364</v>
      </c>
      <c r="C1677" s="1" t="s">
        <v>3365</v>
      </c>
      <c r="D1677" s="1" t="s">
        <v>1925</v>
      </c>
    </row>
    <row r="1678" spans="1:4" ht="17" customHeight="1">
      <c r="A1678" s="1">
        <v>8383</v>
      </c>
      <c r="B1678" s="1" t="s">
        <v>3366</v>
      </c>
      <c r="C1678" s="1" t="s">
        <v>3367</v>
      </c>
      <c r="D1678" s="1" t="s">
        <v>1925</v>
      </c>
    </row>
    <row r="1679" spans="1:4" ht="17" customHeight="1">
      <c r="A1679" s="1">
        <v>8390</v>
      </c>
      <c r="B1679" s="1" t="s">
        <v>3368</v>
      </c>
      <c r="C1679" s="1" t="s">
        <v>3369</v>
      </c>
      <c r="D1679" s="1" t="s">
        <v>1925</v>
      </c>
    </row>
    <row r="1680" spans="1:4" ht="17" customHeight="1">
      <c r="A1680" s="1">
        <v>8401</v>
      </c>
      <c r="B1680" s="1" t="s">
        <v>3370</v>
      </c>
      <c r="C1680" s="1" t="s">
        <v>3371</v>
      </c>
      <c r="D1680" s="1" t="s">
        <v>1925</v>
      </c>
    </row>
    <row r="1681" spans="1:4" ht="17" customHeight="1">
      <c r="A1681" s="1">
        <v>8403</v>
      </c>
      <c r="B1681" s="1" t="s">
        <v>3372</v>
      </c>
      <c r="C1681" s="1" t="s">
        <v>3373</v>
      </c>
      <c r="D1681" s="1" t="s">
        <v>1925</v>
      </c>
    </row>
    <row r="1682" spans="1:4" ht="17" customHeight="1">
      <c r="A1682" s="1">
        <v>8406</v>
      </c>
      <c r="B1682" s="1" t="s">
        <v>3374</v>
      </c>
      <c r="C1682" s="1" t="s">
        <v>3375</v>
      </c>
      <c r="D1682" s="1" t="s">
        <v>1925</v>
      </c>
    </row>
    <row r="1683" spans="1:4" ht="17" customHeight="1">
      <c r="A1683" s="1">
        <v>8409</v>
      </c>
      <c r="B1683" s="1" t="s">
        <v>3376</v>
      </c>
      <c r="C1683" s="1" t="s">
        <v>3377</v>
      </c>
      <c r="D1683" s="1" t="s">
        <v>1925</v>
      </c>
    </row>
    <row r="1684" spans="1:4" ht="17" customHeight="1">
      <c r="A1684" s="1">
        <v>8410</v>
      </c>
      <c r="B1684" s="1" t="s">
        <v>3378</v>
      </c>
      <c r="C1684" s="1" t="s">
        <v>3379</v>
      </c>
      <c r="D1684" s="1" t="s">
        <v>1925</v>
      </c>
    </row>
    <row r="1685" spans="1:4" ht="17" customHeight="1">
      <c r="A1685" s="1">
        <v>8415</v>
      </c>
      <c r="B1685" s="1" t="s">
        <v>3380</v>
      </c>
      <c r="C1685" s="1" t="s">
        <v>3381</v>
      </c>
      <c r="D1685" s="1" t="s">
        <v>1925</v>
      </c>
    </row>
    <row r="1686" spans="1:4" ht="17" customHeight="1">
      <c r="A1686" s="1">
        <v>8416</v>
      </c>
      <c r="B1686" s="1" t="s">
        <v>3382</v>
      </c>
      <c r="C1686" s="1" t="s">
        <v>3383</v>
      </c>
      <c r="D1686" s="1" t="s">
        <v>1925</v>
      </c>
    </row>
    <row r="1687" spans="1:4" ht="17" customHeight="1">
      <c r="A1687" s="1">
        <v>8418</v>
      </c>
      <c r="B1687" s="1" t="s">
        <v>3384</v>
      </c>
      <c r="C1687" s="1" t="s">
        <v>3385</v>
      </c>
      <c r="D1687" s="1" t="s">
        <v>1925</v>
      </c>
    </row>
    <row r="1688" spans="1:4" ht="17" customHeight="1">
      <c r="A1688" s="1">
        <v>8420</v>
      </c>
      <c r="B1688" s="1" t="s">
        <v>3386</v>
      </c>
      <c r="C1688" s="1" t="s">
        <v>3387</v>
      </c>
      <c r="D1688" s="1" t="s">
        <v>1925</v>
      </c>
    </row>
    <row r="1689" spans="1:4" ht="17" customHeight="1">
      <c r="A1689" s="1">
        <v>8421</v>
      </c>
      <c r="B1689" s="1" t="s">
        <v>3388</v>
      </c>
      <c r="C1689" s="1" t="s">
        <v>3389</v>
      </c>
      <c r="D1689" s="1" t="s">
        <v>1925</v>
      </c>
    </row>
    <row r="1690" spans="1:4" ht="17" customHeight="1">
      <c r="A1690" s="1">
        <v>8423</v>
      </c>
      <c r="B1690" s="1" t="s">
        <v>3390</v>
      </c>
      <c r="C1690" s="1" t="s">
        <v>3391</v>
      </c>
      <c r="D1690" s="1" t="s">
        <v>1925</v>
      </c>
    </row>
    <row r="1691" spans="1:4" ht="17" customHeight="1">
      <c r="A1691" s="1">
        <v>8424</v>
      </c>
      <c r="B1691" s="1" t="s">
        <v>3392</v>
      </c>
      <c r="C1691" s="1" t="s">
        <v>3393</v>
      </c>
      <c r="D1691" s="1" t="s">
        <v>1925</v>
      </c>
    </row>
    <row r="1692" spans="1:4" ht="17" customHeight="1">
      <c r="A1692" s="1">
        <v>8426</v>
      </c>
      <c r="B1692" s="1" t="s">
        <v>3394</v>
      </c>
      <c r="C1692" s="1" t="s">
        <v>3395</v>
      </c>
      <c r="D1692" s="1" t="s">
        <v>1925</v>
      </c>
    </row>
    <row r="1693" spans="1:4" ht="17" customHeight="1">
      <c r="A1693" s="1">
        <v>8431</v>
      </c>
      <c r="B1693" s="1" t="s">
        <v>3396</v>
      </c>
      <c r="C1693" s="1" t="s">
        <v>3397</v>
      </c>
      <c r="D1693" s="1" t="s">
        <v>1925</v>
      </c>
    </row>
    <row r="1694" spans="1:4" ht="17" customHeight="1">
      <c r="A1694" s="1">
        <v>8432</v>
      </c>
      <c r="B1694" s="1" t="s">
        <v>3398</v>
      </c>
      <c r="C1694" s="1" t="s">
        <v>3399</v>
      </c>
      <c r="D1694" s="1" t="s">
        <v>1925</v>
      </c>
    </row>
    <row r="1695" spans="1:4" ht="17" customHeight="1">
      <c r="A1695" s="1">
        <v>8433</v>
      </c>
      <c r="B1695" s="1" t="s">
        <v>3400</v>
      </c>
      <c r="C1695" s="1" t="s">
        <v>3401</v>
      </c>
      <c r="D1695" s="1" t="s">
        <v>1925</v>
      </c>
    </row>
    <row r="1696" spans="1:4" ht="17" customHeight="1">
      <c r="A1696" s="1">
        <v>8435</v>
      </c>
      <c r="B1696" s="1" t="s">
        <v>3402</v>
      </c>
      <c r="C1696" s="1" t="s">
        <v>3403</v>
      </c>
      <c r="D1696" s="1" t="s">
        <v>1925</v>
      </c>
    </row>
    <row r="1697" spans="1:4" ht="17" customHeight="1">
      <c r="A1697" s="1">
        <v>8436</v>
      </c>
      <c r="B1697" s="1" t="s">
        <v>3404</v>
      </c>
      <c r="C1697" s="1" t="s">
        <v>3405</v>
      </c>
      <c r="D1697" s="1" t="s">
        <v>1925</v>
      </c>
    </row>
    <row r="1698" spans="1:4" ht="17" customHeight="1">
      <c r="A1698" s="1">
        <v>8437</v>
      </c>
      <c r="B1698" s="1" t="s">
        <v>3406</v>
      </c>
      <c r="C1698" s="1" t="s">
        <v>3407</v>
      </c>
      <c r="D1698" s="1" t="s">
        <v>1925</v>
      </c>
    </row>
    <row r="1699" spans="1:4" ht="17" customHeight="1">
      <c r="A1699" s="1">
        <v>8440</v>
      </c>
      <c r="B1699" s="1" t="s">
        <v>3408</v>
      </c>
      <c r="C1699" s="1" t="s">
        <v>3409</v>
      </c>
      <c r="D1699" s="1" t="s">
        <v>1925</v>
      </c>
    </row>
    <row r="1700" spans="1:4" ht="17" customHeight="1">
      <c r="A1700" s="1">
        <v>8444</v>
      </c>
      <c r="B1700" s="1" t="s">
        <v>3410</v>
      </c>
      <c r="C1700" s="1" t="s">
        <v>3411</v>
      </c>
      <c r="D1700" s="1" t="s">
        <v>1925</v>
      </c>
    </row>
    <row r="1701" spans="1:4" ht="17" customHeight="1">
      <c r="A1701" s="1">
        <v>8446</v>
      </c>
      <c r="B1701" s="1" t="s">
        <v>3412</v>
      </c>
      <c r="C1701" s="1" t="s">
        <v>3413</v>
      </c>
      <c r="D1701" s="1" t="s">
        <v>1925</v>
      </c>
    </row>
    <row r="1702" spans="1:4" ht="17" customHeight="1">
      <c r="A1702" s="1">
        <v>8450</v>
      </c>
      <c r="B1702" s="1" t="s">
        <v>3414</v>
      </c>
      <c r="C1702" s="1" t="s">
        <v>3415</v>
      </c>
      <c r="D1702" s="1" t="s">
        <v>1925</v>
      </c>
    </row>
    <row r="1703" spans="1:4" ht="17" customHeight="1">
      <c r="A1703" s="1">
        <v>8455</v>
      </c>
      <c r="B1703" s="1" t="s">
        <v>3416</v>
      </c>
      <c r="C1703" s="1" t="s">
        <v>3417</v>
      </c>
      <c r="D1703" s="1" t="s">
        <v>1925</v>
      </c>
    </row>
    <row r="1704" spans="1:4" ht="17" customHeight="1">
      <c r="A1704" s="1">
        <v>8472</v>
      </c>
      <c r="B1704" s="1" t="s">
        <v>3418</v>
      </c>
      <c r="C1704" s="1" t="s">
        <v>3419</v>
      </c>
      <c r="D1704" s="1" t="s">
        <v>1925</v>
      </c>
    </row>
    <row r="1705" spans="1:4" ht="17" customHeight="1">
      <c r="A1705" s="1">
        <v>8476</v>
      </c>
      <c r="B1705" s="1" t="s">
        <v>3420</v>
      </c>
      <c r="C1705" s="1" t="s">
        <v>3421</v>
      </c>
      <c r="D1705" s="1" t="s">
        <v>1925</v>
      </c>
    </row>
    <row r="1706" spans="1:4" ht="17" customHeight="1">
      <c r="A1706" s="1">
        <v>8477</v>
      </c>
      <c r="B1706" s="1" t="s">
        <v>3422</v>
      </c>
      <c r="C1706" s="1" t="s">
        <v>3423</v>
      </c>
      <c r="D1706" s="1" t="s">
        <v>1925</v>
      </c>
    </row>
    <row r="1707" spans="1:4" ht="17" customHeight="1">
      <c r="A1707" s="1">
        <v>8489</v>
      </c>
      <c r="B1707" s="1" t="s">
        <v>3424</v>
      </c>
      <c r="C1707" s="1" t="s">
        <v>3425</v>
      </c>
      <c r="D1707" s="1" t="s">
        <v>1925</v>
      </c>
    </row>
    <row r="1708" spans="1:4" ht="17" customHeight="1">
      <c r="A1708" s="1">
        <v>8905</v>
      </c>
      <c r="B1708" s="1" t="s">
        <v>3426</v>
      </c>
      <c r="C1708" s="1" t="s">
        <v>3427</v>
      </c>
      <c r="D1708" s="1" t="s">
        <v>1925</v>
      </c>
    </row>
    <row r="1709" spans="1:4" ht="17" customHeight="1">
      <c r="A1709" s="1">
        <v>8906</v>
      </c>
      <c r="B1709" s="1" t="s">
        <v>3428</v>
      </c>
      <c r="C1709" s="1" t="s">
        <v>3429</v>
      </c>
      <c r="D1709" s="1" t="s">
        <v>1925</v>
      </c>
    </row>
    <row r="1710" spans="1:4" ht="17" customHeight="1">
      <c r="A1710" s="1">
        <v>8908</v>
      </c>
      <c r="B1710" s="1" t="s">
        <v>3430</v>
      </c>
      <c r="C1710" s="1" t="s">
        <v>3431</v>
      </c>
      <c r="D1710" s="1" t="s">
        <v>1925</v>
      </c>
    </row>
    <row r="1711" spans="1:4" ht="17" customHeight="1">
      <c r="A1711" s="1">
        <v>8916</v>
      </c>
      <c r="B1711" s="1" t="s">
        <v>3432</v>
      </c>
      <c r="C1711" s="1" t="s">
        <v>3433</v>
      </c>
      <c r="D1711" s="1" t="s">
        <v>1925</v>
      </c>
    </row>
    <row r="1712" spans="1:4" ht="17" customHeight="1">
      <c r="A1712" s="1">
        <v>8917</v>
      </c>
      <c r="B1712" s="1" t="s">
        <v>3434</v>
      </c>
      <c r="C1712" s="1" t="s">
        <v>3435</v>
      </c>
      <c r="D1712" s="1" t="s">
        <v>1925</v>
      </c>
    </row>
    <row r="1713" spans="1:4" ht="17" customHeight="1">
      <c r="A1713" s="1">
        <v>8921</v>
      </c>
      <c r="B1713" s="1" t="s">
        <v>3436</v>
      </c>
      <c r="C1713" s="1" t="s">
        <v>3437</v>
      </c>
      <c r="D1713" s="1" t="s">
        <v>1925</v>
      </c>
    </row>
    <row r="1714" spans="1:4" ht="17" customHeight="1">
      <c r="A1714" s="1">
        <v>8923</v>
      </c>
      <c r="B1714" s="1" t="s">
        <v>3438</v>
      </c>
      <c r="C1714" s="1" t="s">
        <v>3439</v>
      </c>
      <c r="D1714" s="1" t="s">
        <v>1925</v>
      </c>
    </row>
    <row r="1715" spans="1:4" ht="17" customHeight="1">
      <c r="A1715" s="1">
        <v>8924</v>
      </c>
      <c r="B1715" s="1" t="s">
        <v>3440</v>
      </c>
      <c r="C1715" s="1" t="s">
        <v>3441</v>
      </c>
      <c r="D1715" s="1" t="s">
        <v>1925</v>
      </c>
    </row>
    <row r="1716" spans="1:4" ht="17" customHeight="1">
      <c r="A1716" s="1">
        <v>8927</v>
      </c>
      <c r="B1716" s="1" t="s">
        <v>3442</v>
      </c>
      <c r="C1716" s="1" t="s">
        <v>3443</v>
      </c>
      <c r="D1716" s="1" t="s">
        <v>1925</v>
      </c>
    </row>
    <row r="1717" spans="1:4" ht="17" customHeight="1">
      <c r="A1717" s="1">
        <v>8928</v>
      </c>
      <c r="B1717" s="1" t="s">
        <v>3444</v>
      </c>
      <c r="C1717" s="1" t="s">
        <v>3445</v>
      </c>
      <c r="D1717" s="1" t="s">
        <v>1925</v>
      </c>
    </row>
    <row r="1718" spans="1:4" ht="17" customHeight="1">
      <c r="A1718" s="1">
        <v>8929</v>
      </c>
      <c r="B1718" s="1" t="s">
        <v>3446</v>
      </c>
      <c r="C1718" s="1" t="s">
        <v>3447</v>
      </c>
      <c r="D1718" s="1" t="s">
        <v>1925</v>
      </c>
    </row>
    <row r="1719" spans="1:4" ht="17" customHeight="1">
      <c r="A1719" s="1">
        <v>8930</v>
      </c>
      <c r="B1719" s="1" t="s">
        <v>3448</v>
      </c>
      <c r="C1719" s="1" t="s">
        <v>3449</v>
      </c>
      <c r="D1719" s="1" t="s">
        <v>1925</v>
      </c>
    </row>
    <row r="1720" spans="1:4" ht="17" customHeight="1">
      <c r="A1720" s="1">
        <v>8931</v>
      </c>
      <c r="B1720" s="1" t="s">
        <v>3450</v>
      </c>
      <c r="C1720" s="1" t="s">
        <v>3451</v>
      </c>
      <c r="D1720" s="1" t="s">
        <v>1925</v>
      </c>
    </row>
    <row r="1721" spans="1:4" ht="17" customHeight="1">
      <c r="A1721" s="1">
        <v>8932</v>
      </c>
      <c r="B1721" s="1" t="s">
        <v>3452</v>
      </c>
      <c r="C1721" s="1" t="s">
        <v>3453</v>
      </c>
      <c r="D1721" s="1" t="s">
        <v>1925</v>
      </c>
    </row>
    <row r="1722" spans="1:4" ht="17" customHeight="1">
      <c r="A1722" s="1">
        <v>8933</v>
      </c>
      <c r="B1722" s="1" t="s">
        <v>3454</v>
      </c>
      <c r="C1722" s="1" t="s">
        <v>3455</v>
      </c>
      <c r="D1722" s="1" t="s">
        <v>1925</v>
      </c>
    </row>
    <row r="1723" spans="1:4" ht="17" customHeight="1">
      <c r="A1723" s="1">
        <v>8934</v>
      </c>
      <c r="B1723" s="1" t="s">
        <v>3456</v>
      </c>
      <c r="C1723" s="1" t="s">
        <v>3457</v>
      </c>
      <c r="D1723" s="1" t="s">
        <v>1925</v>
      </c>
    </row>
    <row r="1724" spans="1:4" ht="17" customHeight="1">
      <c r="A1724" s="1">
        <v>8935</v>
      </c>
      <c r="B1724" s="1" t="s">
        <v>3458</v>
      </c>
      <c r="C1724" s="1" t="s">
        <v>3459</v>
      </c>
      <c r="D1724" s="1" t="s">
        <v>1925</v>
      </c>
    </row>
    <row r="1725" spans="1:4" ht="17" customHeight="1">
      <c r="A1725" s="1">
        <v>8936</v>
      </c>
      <c r="B1725" s="1" t="s">
        <v>3460</v>
      </c>
      <c r="C1725" s="1" t="s">
        <v>3461</v>
      </c>
      <c r="D1725" s="1" t="s">
        <v>1925</v>
      </c>
    </row>
    <row r="1726" spans="1:4" ht="17" customHeight="1">
      <c r="A1726" s="1">
        <v>8937</v>
      </c>
      <c r="B1726" s="1" t="s">
        <v>3462</v>
      </c>
      <c r="C1726" s="1" t="s">
        <v>3463</v>
      </c>
      <c r="D1726" s="1" t="s">
        <v>1925</v>
      </c>
    </row>
    <row r="1727" spans="1:4" ht="17" customHeight="1">
      <c r="A1727" s="1">
        <v>8938</v>
      </c>
      <c r="B1727" s="1" t="s">
        <v>3464</v>
      </c>
      <c r="C1727" s="1" t="s">
        <v>3465</v>
      </c>
      <c r="D1727" s="1" t="s">
        <v>1925</v>
      </c>
    </row>
    <row r="1728" spans="1:4" ht="17" customHeight="1">
      <c r="A1728" s="1">
        <v>8941</v>
      </c>
      <c r="B1728" s="1" t="s">
        <v>3466</v>
      </c>
      <c r="C1728" s="1" t="s">
        <v>3467</v>
      </c>
      <c r="D1728" s="1" t="s">
        <v>1925</v>
      </c>
    </row>
    <row r="1729" spans="1:4" ht="17" customHeight="1">
      <c r="A1729" s="1">
        <v>8942</v>
      </c>
      <c r="B1729" s="1" t="s">
        <v>3468</v>
      </c>
      <c r="C1729" s="1" t="s">
        <v>3469</v>
      </c>
      <c r="D1729" s="1" t="s">
        <v>1925</v>
      </c>
    </row>
    <row r="1730" spans="1:4" ht="17" customHeight="1">
      <c r="A1730" s="1">
        <v>911613</v>
      </c>
      <c r="B1730" s="1" t="s">
        <v>3470</v>
      </c>
      <c r="C1730" s="1" t="s">
        <v>3471</v>
      </c>
      <c r="D1730" s="1" t="s">
        <v>1925</v>
      </c>
    </row>
    <row r="1731" spans="1:4" ht="17" customHeight="1">
      <c r="A1731" s="1">
        <v>9949</v>
      </c>
      <c r="B1731" s="1" t="s">
        <v>3472</v>
      </c>
      <c r="C1731" s="1" t="s">
        <v>3473</v>
      </c>
      <c r="D1731" s="1" t="s">
        <v>1925</v>
      </c>
    </row>
    <row r="1732" spans="1:4" ht="17" customHeight="1">
      <c r="A1732" s="1">
        <v>9950</v>
      </c>
      <c r="B1732" s="1" t="s">
        <v>3474</v>
      </c>
      <c r="C1732" s="1" t="s">
        <v>3475</v>
      </c>
      <c r="D1732" s="1" t="s">
        <v>1925</v>
      </c>
    </row>
    <row r="1733" spans="1:4" ht="17" customHeight="1">
      <c r="A1733" s="1">
        <v>9951</v>
      </c>
      <c r="B1733" s="1" t="s">
        <v>3476</v>
      </c>
      <c r="C1733" s="1" t="s">
        <v>3477</v>
      </c>
      <c r="D1733" s="1" t="s">
        <v>1925</v>
      </c>
    </row>
    <row r="1734" spans="1:4" ht="17" customHeight="1">
      <c r="A1734" s="1">
        <v>9960</v>
      </c>
      <c r="B1734" s="1" t="s">
        <v>3478</v>
      </c>
      <c r="C1734" s="1" t="s">
        <v>3479</v>
      </c>
      <c r="D1734" s="1" t="s">
        <v>1925</v>
      </c>
    </row>
    <row r="1735" spans="1:4" ht="17" customHeight="1">
      <c r="A1735" s="1">
        <v>9962</v>
      </c>
      <c r="B1735" s="1" t="s">
        <v>3480</v>
      </c>
      <c r="C1735" s="1" t="s">
        <v>3481</v>
      </c>
      <c r="D1735" s="1" t="s">
        <v>1925</v>
      </c>
    </row>
    <row r="1736" spans="1:4" ht="17" customHeight="1">
      <c r="A1736" s="1">
        <v>1260</v>
      </c>
      <c r="B1736" s="1" t="s">
        <v>3483</v>
      </c>
      <c r="C1736" s="1" t="s">
        <v>3484</v>
      </c>
      <c r="D1736" s="1" t="s">
        <v>3482</v>
      </c>
    </row>
    <row r="1737" spans="1:4" ht="17" customHeight="1">
      <c r="A1737" s="1">
        <v>1269</v>
      </c>
      <c r="B1737" s="1" t="s">
        <v>3485</v>
      </c>
      <c r="C1737" s="1" t="s">
        <v>3486</v>
      </c>
      <c r="D1737" s="1" t="s">
        <v>3482</v>
      </c>
    </row>
    <row r="1738" spans="1:4" ht="17" customHeight="1">
      <c r="A1738" s="1">
        <v>1342</v>
      </c>
      <c r="B1738" s="1" t="s">
        <v>3487</v>
      </c>
      <c r="C1738" s="1" t="s">
        <v>3488</v>
      </c>
      <c r="D1738" s="1" t="s">
        <v>3482</v>
      </c>
    </row>
    <row r="1739" spans="1:4" ht="17" customHeight="1">
      <c r="A1739" s="1">
        <v>1563</v>
      </c>
      <c r="B1739" s="1" t="s">
        <v>3489</v>
      </c>
      <c r="C1739" s="1" t="s">
        <v>3490</v>
      </c>
      <c r="D1739" s="1" t="s">
        <v>3482</v>
      </c>
    </row>
    <row r="1740" spans="1:4" ht="17" customHeight="1">
      <c r="A1740" s="1">
        <v>1585</v>
      </c>
      <c r="B1740" s="1" t="s">
        <v>3491</v>
      </c>
      <c r="C1740" s="1" t="s">
        <v>3492</v>
      </c>
      <c r="D1740" s="1" t="s">
        <v>3482</v>
      </c>
    </row>
    <row r="1741" spans="1:4" ht="17" customHeight="1">
      <c r="A1741" s="1">
        <v>1594</v>
      </c>
      <c r="B1741" s="1" t="s">
        <v>3493</v>
      </c>
      <c r="C1741" s="1" t="s">
        <v>3494</v>
      </c>
      <c r="D1741" s="1" t="s">
        <v>3482</v>
      </c>
    </row>
    <row r="1742" spans="1:4" ht="17" customHeight="1">
      <c r="A1742" s="1">
        <v>1780</v>
      </c>
      <c r="B1742" s="1" t="s">
        <v>3495</v>
      </c>
      <c r="C1742" s="1" t="s">
        <v>3496</v>
      </c>
      <c r="D1742" s="1" t="s">
        <v>3482</v>
      </c>
    </row>
    <row r="1743" spans="1:4" ht="17" customHeight="1">
      <c r="A1743" s="1">
        <v>2071</v>
      </c>
      <c r="B1743" s="1" t="s">
        <v>3497</v>
      </c>
      <c r="C1743" s="1" t="s">
        <v>3498</v>
      </c>
      <c r="D1743" s="1" t="s">
        <v>3482</v>
      </c>
    </row>
    <row r="1744" spans="1:4" ht="17" customHeight="1">
      <c r="A1744" s="1">
        <v>2211</v>
      </c>
      <c r="B1744" s="1" t="s">
        <v>3499</v>
      </c>
      <c r="C1744" s="1" t="s">
        <v>3500</v>
      </c>
      <c r="D1744" s="1" t="s">
        <v>3482</v>
      </c>
    </row>
    <row r="1745" spans="1:4" ht="17" customHeight="1">
      <c r="A1745" s="1">
        <v>2237</v>
      </c>
      <c r="B1745" s="1" t="s">
        <v>3501</v>
      </c>
      <c r="C1745" s="1" t="s">
        <v>3502</v>
      </c>
      <c r="D1745" s="1" t="s">
        <v>3482</v>
      </c>
    </row>
    <row r="1746" spans="1:4" ht="17" customHeight="1">
      <c r="A1746" s="1">
        <v>2241</v>
      </c>
      <c r="B1746" s="1" t="s">
        <v>3503</v>
      </c>
      <c r="C1746" s="1" t="s">
        <v>3504</v>
      </c>
      <c r="D1746" s="1" t="s">
        <v>3482</v>
      </c>
    </row>
    <row r="1747" spans="1:4" ht="17" customHeight="1">
      <c r="A1747" s="1">
        <v>2245</v>
      </c>
      <c r="B1747" s="1" t="s">
        <v>3505</v>
      </c>
      <c r="C1747" s="1" t="s">
        <v>3506</v>
      </c>
      <c r="D1747" s="1" t="s">
        <v>3482</v>
      </c>
    </row>
    <row r="1748" spans="1:4" ht="17" customHeight="1">
      <c r="A1748" s="1">
        <v>2246</v>
      </c>
      <c r="B1748" s="1" t="s">
        <v>3507</v>
      </c>
      <c r="C1748" s="1" t="s">
        <v>3508</v>
      </c>
      <c r="D1748" s="1" t="s">
        <v>3482</v>
      </c>
    </row>
    <row r="1749" spans="1:4" ht="17" customHeight="1">
      <c r="A1749" s="1">
        <v>2247</v>
      </c>
      <c r="B1749" s="1" t="s">
        <v>3509</v>
      </c>
      <c r="C1749" s="1" t="s">
        <v>3510</v>
      </c>
      <c r="D1749" s="1" t="s">
        <v>3482</v>
      </c>
    </row>
    <row r="1750" spans="1:4" ht="17" customHeight="1">
      <c r="A1750" s="1">
        <v>2248</v>
      </c>
      <c r="B1750" s="1" t="s">
        <v>3511</v>
      </c>
      <c r="C1750" s="1" t="s">
        <v>3512</v>
      </c>
      <c r="D1750" s="1" t="s">
        <v>3482</v>
      </c>
    </row>
    <row r="1751" spans="1:4" ht="17" customHeight="1">
      <c r="A1751" s="1">
        <v>2249</v>
      </c>
      <c r="B1751" s="1" t="s">
        <v>3513</v>
      </c>
      <c r="C1751" s="1" t="s">
        <v>3514</v>
      </c>
      <c r="D1751" s="1" t="s">
        <v>3482</v>
      </c>
    </row>
    <row r="1752" spans="1:4" ht="17" customHeight="1">
      <c r="A1752" s="1">
        <v>2599</v>
      </c>
      <c r="B1752" s="1" t="s">
        <v>3515</v>
      </c>
      <c r="C1752" s="1" t="s">
        <v>3516</v>
      </c>
      <c r="D1752" s="1" t="s">
        <v>3482</v>
      </c>
    </row>
    <row r="1753" spans="1:4" ht="17" customHeight="1">
      <c r="A1753" s="1">
        <v>2721</v>
      </c>
      <c r="B1753" s="1" t="s">
        <v>3517</v>
      </c>
      <c r="C1753" s="1" t="s">
        <v>3518</v>
      </c>
      <c r="D1753" s="1" t="s">
        <v>3482</v>
      </c>
    </row>
    <row r="1754" spans="1:4" ht="17" customHeight="1">
      <c r="A1754" s="1">
        <v>2730</v>
      </c>
      <c r="B1754" s="1" t="s">
        <v>3519</v>
      </c>
      <c r="C1754" s="1" t="s">
        <v>3520</v>
      </c>
      <c r="D1754" s="1" t="s">
        <v>3482</v>
      </c>
    </row>
    <row r="1755" spans="1:4" ht="17" customHeight="1">
      <c r="A1755" s="1">
        <v>2733</v>
      </c>
      <c r="B1755" s="1" t="s">
        <v>3521</v>
      </c>
      <c r="C1755" s="1" t="s">
        <v>3522</v>
      </c>
      <c r="D1755" s="1" t="s">
        <v>3482</v>
      </c>
    </row>
    <row r="1756" spans="1:4" ht="17" customHeight="1">
      <c r="A1756" s="1">
        <v>2741</v>
      </c>
      <c r="B1756" s="1" t="s">
        <v>3523</v>
      </c>
      <c r="C1756" s="1" t="s">
        <v>3524</v>
      </c>
      <c r="D1756" s="1" t="s">
        <v>3482</v>
      </c>
    </row>
    <row r="1757" spans="1:4" ht="17" customHeight="1">
      <c r="A1757" s="1">
        <v>2750</v>
      </c>
      <c r="B1757" s="1" t="s">
        <v>3525</v>
      </c>
      <c r="C1757" s="1" t="s">
        <v>3526</v>
      </c>
      <c r="D1757" s="1" t="s">
        <v>3482</v>
      </c>
    </row>
    <row r="1758" spans="1:4" ht="17" customHeight="1">
      <c r="A1758" s="1">
        <v>2754</v>
      </c>
      <c r="B1758" s="1" t="s">
        <v>3527</v>
      </c>
      <c r="C1758" s="1" t="s">
        <v>3528</v>
      </c>
      <c r="D1758" s="1" t="s">
        <v>3482</v>
      </c>
    </row>
    <row r="1759" spans="1:4" ht="17" customHeight="1">
      <c r="A1759" s="1">
        <v>2755</v>
      </c>
      <c r="B1759" s="1" t="s">
        <v>3529</v>
      </c>
      <c r="C1759" s="1" t="s">
        <v>3530</v>
      </c>
      <c r="D1759" s="1" t="s">
        <v>3482</v>
      </c>
    </row>
    <row r="1760" spans="1:4" ht="17" customHeight="1">
      <c r="A1760" s="1">
        <v>2938</v>
      </c>
      <c r="B1760" s="1" t="s">
        <v>3531</v>
      </c>
      <c r="C1760" s="1" t="s">
        <v>3532</v>
      </c>
      <c r="D1760" s="1" t="s">
        <v>3482</v>
      </c>
    </row>
    <row r="1761" spans="1:4" ht="17" customHeight="1">
      <c r="A1761" s="1">
        <v>2942</v>
      </c>
      <c r="B1761" s="1" t="s">
        <v>3533</v>
      </c>
      <c r="C1761" s="1" t="s">
        <v>3534</v>
      </c>
      <c r="D1761" s="1" t="s">
        <v>3482</v>
      </c>
    </row>
    <row r="1762" spans="1:4" ht="17" customHeight="1">
      <c r="A1762" s="1">
        <v>2945</v>
      </c>
      <c r="B1762" s="1" t="s">
        <v>3535</v>
      </c>
      <c r="C1762" s="1" t="s">
        <v>3536</v>
      </c>
      <c r="D1762" s="1" t="s">
        <v>3482</v>
      </c>
    </row>
    <row r="1763" spans="1:4" ht="17" customHeight="1">
      <c r="A1763" s="1">
        <v>3097</v>
      </c>
      <c r="B1763" s="1" t="s">
        <v>3537</v>
      </c>
      <c r="C1763" s="1" t="s">
        <v>3538</v>
      </c>
      <c r="D1763" s="1" t="s">
        <v>3482</v>
      </c>
    </row>
    <row r="1764" spans="1:4" ht="17" customHeight="1">
      <c r="A1764" s="1">
        <v>3117</v>
      </c>
      <c r="B1764" s="1" t="s">
        <v>3539</v>
      </c>
      <c r="C1764" s="1" t="s">
        <v>3540</v>
      </c>
      <c r="D1764" s="1" t="s">
        <v>3482</v>
      </c>
    </row>
    <row r="1765" spans="1:4" ht="17" customHeight="1">
      <c r="A1765" s="1">
        <v>3138</v>
      </c>
      <c r="B1765" s="1" t="s">
        <v>3541</v>
      </c>
      <c r="C1765" s="1" t="s">
        <v>3542</v>
      </c>
      <c r="D1765" s="1" t="s">
        <v>3482</v>
      </c>
    </row>
    <row r="1766" spans="1:4" ht="17" customHeight="1">
      <c r="A1766" s="1">
        <v>3150</v>
      </c>
      <c r="B1766" s="1" t="s">
        <v>3543</v>
      </c>
      <c r="C1766" s="1" t="s">
        <v>3544</v>
      </c>
      <c r="D1766" s="1" t="s">
        <v>3482</v>
      </c>
    </row>
    <row r="1767" spans="1:4" ht="17" customHeight="1">
      <c r="A1767" s="1">
        <v>3158</v>
      </c>
      <c r="B1767" s="1" t="s">
        <v>3545</v>
      </c>
      <c r="C1767" s="1" t="s">
        <v>3546</v>
      </c>
      <c r="D1767" s="1" t="s">
        <v>3482</v>
      </c>
    </row>
    <row r="1768" spans="1:4" ht="17" customHeight="1">
      <c r="A1768" s="1">
        <v>3168</v>
      </c>
      <c r="B1768" s="1" t="s">
        <v>3547</v>
      </c>
      <c r="C1768" s="1" t="s">
        <v>3548</v>
      </c>
      <c r="D1768" s="1" t="s">
        <v>3482</v>
      </c>
    </row>
    <row r="1769" spans="1:4" ht="17" customHeight="1">
      <c r="A1769" s="1">
        <v>3184</v>
      </c>
      <c r="B1769" s="1" t="s">
        <v>3549</v>
      </c>
      <c r="C1769" s="1" t="s">
        <v>3550</v>
      </c>
      <c r="D1769" s="1" t="s">
        <v>3482</v>
      </c>
    </row>
    <row r="1770" spans="1:4" ht="17" customHeight="1">
      <c r="A1770" s="1">
        <v>3349</v>
      </c>
      <c r="B1770" s="1" t="s">
        <v>3551</v>
      </c>
      <c r="C1770" s="1" t="s">
        <v>3552</v>
      </c>
      <c r="D1770" s="1" t="s">
        <v>3482</v>
      </c>
    </row>
    <row r="1771" spans="1:4" ht="17" customHeight="1">
      <c r="A1771" s="1">
        <v>3357</v>
      </c>
      <c r="B1771" s="1" t="s">
        <v>3553</v>
      </c>
      <c r="C1771" s="1" t="s">
        <v>3554</v>
      </c>
      <c r="D1771" s="1" t="s">
        <v>3482</v>
      </c>
    </row>
    <row r="1772" spans="1:4" ht="17" customHeight="1">
      <c r="A1772" s="1">
        <v>3377</v>
      </c>
      <c r="B1772" s="1" t="s">
        <v>3555</v>
      </c>
      <c r="C1772" s="1" t="s">
        <v>3556</v>
      </c>
      <c r="D1772" s="1" t="s">
        <v>3482</v>
      </c>
    </row>
    <row r="1773" spans="1:4" ht="17" customHeight="1">
      <c r="A1773" s="1">
        <v>3391</v>
      </c>
      <c r="B1773" s="1" t="s">
        <v>3557</v>
      </c>
      <c r="C1773" s="1" t="s">
        <v>3558</v>
      </c>
      <c r="D1773" s="1" t="s">
        <v>3482</v>
      </c>
    </row>
    <row r="1774" spans="1:4" ht="17" customHeight="1">
      <c r="A1774" s="1">
        <v>3429</v>
      </c>
      <c r="B1774" s="1" t="s">
        <v>3559</v>
      </c>
      <c r="C1774" s="1" t="s">
        <v>3560</v>
      </c>
      <c r="D1774" s="1" t="s">
        <v>3482</v>
      </c>
    </row>
    <row r="1775" spans="1:4" ht="17" customHeight="1">
      <c r="A1775" s="1">
        <v>3430</v>
      </c>
      <c r="B1775" s="1" t="s">
        <v>3561</v>
      </c>
      <c r="C1775" s="1" t="s">
        <v>3562</v>
      </c>
      <c r="D1775" s="1" t="s">
        <v>3482</v>
      </c>
    </row>
    <row r="1776" spans="1:4" ht="17" customHeight="1">
      <c r="A1776" s="1">
        <v>3485</v>
      </c>
      <c r="B1776" s="1" t="s">
        <v>3563</v>
      </c>
      <c r="C1776" s="1" t="s">
        <v>3564</v>
      </c>
      <c r="D1776" s="1" t="s">
        <v>3482</v>
      </c>
    </row>
    <row r="1777" spans="1:4" ht="17" customHeight="1">
      <c r="A1777" s="1">
        <v>3585</v>
      </c>
      <c r="B1777" s="1" t="s">
        <v>3567</v>
      </c>
      <c r="C1777" s="1" t="s">
        <v>3568</v>
      </c>
      <c r="D1777" s="1" t="s">
        <v>3482</v>
      </c>
    </row>
    <row r="1778" spans="1:4" ht="17" customHeight="1">
      <c r="A1778" s="1">
        <v>3592</v>
      </c>
      <c r="B1778" s="1" t="s">
        <v>3569</v>
      </c>
      <c r="C1778" s="1" t="s">
        <v>3570</v>
      </c>
      <c r="D1778" s="1" t="s">
        <v>3482</v>
      </c>
    </row>
    <row r="1779" spans="1:4" ht="17" customHeight="1">
      <c r="A1779" s="1">
        <v>3595</v>
      </c>
      <c r="B1779" s="1" t="s">
        <v>3571</v>
      </c>
      <c r="C1779" s="1" t="s">
        <v>3572</v>
      </c>
      <c r="D1779" s="1" t="s">
        <v>3482</v>
      </c>
    </row>
    <row r="1780" spans="1:4" ht="17" customHeight="1">
      <c r="A1780" s="1">
        <v>3603</v>
      </c>
      <c r="B1780" s="1" t="s">
        <v>3575</v>
      </c>
      <c r="C1780" s="1" t="s">
        <v>3576</v>
      </c>
      <c r="D1780" s="1" t="s">
        <v>3482</v>
      </c>
    </row>
    <row r="1781" spans="1:4" ht="17" customHeight="1">
      <c r="A1781" s="1">
        <v>3627</v>
      </c>
      <c r="B1781" s="1" t="s">
        <v>3577</v>
      </c>
      <c r="C1781" s="1" t="s">
        <v>3578</v>
      </c>
      <c r="D1781" s="1" t="s">
        <v>3482</v>
      </c>
    </row>
    <row r="1782" spans="1:4" ht="17" customHeight="1">
      <c r="A1782" s="1">
        <v>3633</v>
      </c>
      <c r="B1782" s="1" t="s">
        <v>3579</v>
      </c>
      <c r="C1782" s="1" t="s">
        <v>3580</v>
      </c>
      <c r="D1782" s="1" t="s">
        <v>3482</v>
      </c>
    </row>
    <row r="1783" spans="1:4" ht="17" customHeight="1">
      <c r="A1783" s="1">
        <v>3659</v>
      </c>
      <c r="B1783" s="1" t="s">
        <v>3581</v>
      </c>
      <c r="C1783" s="1" t="s">
        <v>3582</v>
      </c>
      <c r="D1783" s="1" t="s">
        <v>3482</v>
      </c>
    </row>
    <row r="1784" spans="1:4" ht="17" customHeight="1">
      <c r="A1784" s="1">
        <v>3674</v>
      </c>
      <c r="B1784" s="1" t="s">
        <v>3583</v>
      </c>
      <c r="C1784" s="1" t="s">
        <v>3584</v>
      </c>
      <c r="D1784" s="1" t="s">
        <v>3482</v>
      </c>
    </row>
    <row r="1785" spans="1:4" ht="17" customHeight="1">
      <c r="A1785" s="1">
        <v>3678</v>
      </c>
      <c r="B1785" s="1" t="s">
        <v>3585</v>
      </c>
      <c r="C1785" s="1" t="s">
        <v>3586</v>
      </c>
      <c r="D1785" s="1" t="s">
        <v>3482</v>
      </c>
    </row>
    <row r="1786" spans="1:4" ht="17" customHeight="1">
      <c r="A1786" s="1">
        <v>3688</v>
      </c>
      <c r="B1786" s="1" t="s">
        <v>3587</v>
      </c>
      <c r="C1786" s="1" t="s">
        <v>3588</v>
      </c>
      <c r="D1786" s="1" t="s">
        <v>3482</v>
      </c>
    </row>
    <row r="1787" spans="1:4" ht="17" customHeight="1">
      <c r="A1787" s="1">
        <v>4117</v>
      </c>
      <c r="B1787" s="1" t="s">
        <v>3589</v>
      </c>
      <c r="C1787" s="1" t="s">
        <v>3590</v>
      </c>
      <c r="D1787" s="1" t="s">
        <v>3482</v>
      </c>
    </row>
    <row r="1788" spans="1:4" ht="17" customHeight="1">
      <c r="A1788" s="1">
        <v>4132</v>
      </c>
      <c r="B1788" s="1" t="s">
        <v>3591</v>
      </c>
      <c r="C1788" s="1" t="s">
        <v>3592</v>
      </c>
      <c r="D1788" s="1" t="s">
        <v>3482</v>
      </c>
    </row>
    <row r="1789" spans="1:4" ht="17" customHeight="1">
      <c r="A1789" s="1">
        <v>4136</v>
      </c>
      <c r="B1789" s="1" t="s">
        <v>3593</v>
      </c>
      <c r="C1789" s="1" t="s">
        <v>3594</v>
      </c>
      <c r="D1789" s="1" t="s">
        <v>3482</v>
      </c>
    </row>
    <row r="1790" spans="1:4" ht="17" customHeight="1">
      <c r="A1790" s="1">
        <v>4150</v>
      </c>
      <c r="B1790" s="1" t="s">
        <v>3595</v>
      </c>
      <c r="C1790" s="1" t="s">
        <v>3596</v>
      </c>
      <c r="D1790" s="1" t="s">
        <v>3482</v>
      </c>
    </row>
    <row r="1791" spans="1:4" ht="17" customHeight="1">
      <c r="A1791" s="1">
        <v>4151</v>
      </c>
      <c r="B1791" s="1" t="s">
        <v>3597</v>
      </c>
      <c r="C1791" s="1" t="s">
        <v>3598</v>
      </c>
      <c r="D1791" s="1" t="s">
        <v>3482</v>
      </c>
    </row>
    <row r="1792" spans="1:4" ht="17" customHeight="1">
      <c r="A1792" s="1">
        <v>4166</v>
      </c>
      <c r="B1792" s="1" t="s">
        <v>3599</v>
      </c>
      <c r="C1792" s="1" t="s">
        <v>3600</v>
      </c>
      <c r="D1792" s="1" t="s">
        <v>3482</v>
      </c>
    </row>
    <row r="1793" spans="1:4" ht="17" customHeight="1">
      <c r="A1793" s="1">
        <v>4169</v>
      </c>
      <c r="B1793" s="1" t="s">
        <v>3601</v>
      </c>
      <c r="C1793" s="1" t="s">
        <v>3602</v>
      </c>
      <c r="D1793" s="1" t="s">
        <v>3482</v>
      </c>
    </row>
    <row r="1794" spans="1:4" ht="17" customHeight="1">
      <c r="A1794" s="1">
        <v>4170</v>
      </c>
      <c r="B1794" s="1" t="s">
        <v>3603</v>
      </c>
      <c r="C1794" s="1" t="s">
        <v>3604</v>
      </c>
      <c r="D1794" s="1" t="s">
        <v>3482</v>
      </c>
    </row>
    <row r="1795" spans="1:4" ht="17" customHeight="1">
      <c r="A1795" s="1">
        <v>4172</v>
      </c>
      <c r="B1795" s="1" t="s">
        <v>3605</v>
      </c>
      <c r="C1795" s="1" t="s">
        <v>3606</v>
      </c>
      <c r="D1795" s="1" t="s">
        <v>3482</v>
      </c>
    </row>
    <row r="1796" spans="1:4" ht="17" customHeight="1">
      <c r="A1796" s="1">
        <v>4186</v>
      </c>
      <c r="B1796" s="1" t="s">
        <v>3607</v>
      </c>
      <c r="C1796" s="1" t="s">
        <v>3608</v>
      </c>
      <c r="D1796" s="1" t="s">
        <v>3482</v>
      </c>
    </row>
    <row r="1797" spans="1:4" ht="17" customHeight="1">
      <c r="A1797" s="1">
        <v>4191</v>
      </c>
      <c r="B1797" s="1" t="s">
        <v>3609</v>
      </c>
      <c r="C1797" s="1" t="s">
        <v>3610</v>
      </c>
      <c r="D1797" s="1" t="s">
        <v>3482</v>
      </c>
    </row>
    <row r="1798" spans="1:4" ht="17" customHeight="1">
      <c r="A1798" s="1">
        <v>4194</v>
      </c>
      <c r="B1798" s="1" t="s">
        <v>3611</v>
      </c>
      <c r="C1798" s="1" t="s">
        <v>3612</v>
      </c>
      <c r="D1798" s="1" t="s">
        <v>3482</v>
      </c>
    </row>
    <row r="1799" spans="1:4" ht="17" customHeight="1">
      <c r="A1799" s="1">
        <v>4195</v>
      </c>
      <c r="B1799" s="1" t="s">
        <v>3613</v>
      </c>
      <c r="C1799" s="1" t="s">
        <v>3614</v>
      </c>
      <c r="D1799" s="1" t="s">
        <v>3482</v>
      </c>
    </row>
    <row r="1800" spans="1:4" ht="17" customHeight="1">
      <c r="A1800" s="1">
        <v>4197</v>
      </c>
      <c r="B1800" s="1" t="s">
        <v>3615</v>
      </c>
      <c r="C1800" s="1" t="s">
        <v>3616</v>
      </c>
      <c r="D1800" s="1" t="s">
        <v>3482</v>
      </c>
    </row>
    <row r="1801" spans="1:4" ht="17" customHeight="1">
      <c r="A1801" s="1">
        <v>4431</v>
      </c>
      <c r="B1801" s="1" t="s">
        <v>3617</v>
      </c>
      <c r="C1801" s="1" t="s">
        <v>3618</v>
      </c>
      <c r="D1801" s="1" t="s">
        <v>3482</v>
      </c>
    </row>
    <row r="1802" spans="1:4" ht="17" customHeight="1">
      <c r="A1802" s="1">
        <v>4440</v>
      </c>
      <c r="B1802" s="1" t="s">
        <v>3619</v>
      </c>
      <c r="C1802" s="1" t="s">
        <v>3620</v>
      </c>
      <c r="D1802" s="1" t="s">
        <v>3482</v>
      </c>
    </row>
    <row r="1803" spans="1:4" ht="17" customHeight="1">
      <c r="A1803" s="1">
        <v>4537</v>
      </c>
      <c r="B1803" s="1" t="s">
        <v>3621</v>
      </c>
      <c r="C1803" s="1" t="s">
        <v>3622</v>
      </c>
      <c r="D1803" s="1" t="s">
        <v>3482</v>
      </c>
    </row>
    <row r="1804" spans="1:4" ht="17" customHeight="1">
      <c r="A1804" s="1">
        <v>4544</v>
      </c>
      <c r="B1804" s="1" t="s">
        <v>3623</v>
      </c>
      <c r="C1804" s="1" t="s">
        <v>3624</v>
      </c>
      <c r="D1804" s="1" t="s">
        <v>3482</v>
      </c>
    </row>
    <row r="1805" spans="1:4" ht="17" customHeight="1">
      <c r="A1805" s="1">
        <v>4546</v>
      </c>
      <c r="B1805" s="1" t="s">
        <v>3625</v>
      </c>
      <c r="C1805" s="1" t="s">
        <v>3626</v>
      </c>
      <c r="D1805" s="1" t="s">
        <v>3482</v>
      </c>
    </row>
    <row r="1806" spans="1:4" ht="17" customHeight="1">
      <c r="A1806" s="1">
        <v>4553</v>
      </c>
      <c r="B1806" s="1" t="s">
        <v>3627</v>
      </c>
      <c r="C1806" s="1" t="s">
        <v>3628</v>
      </c>
      <c r="D1806" s="1" t="s">
        <v>3482</v>
      </c>
    </row>
    <row r="1807" spans="1:4" ht="17" customHeight="1">
      <c r="A1807" s="1">
        <v>4558</v>
      </c>
      <c r="B1807" s="1" t="s">
        <v>3629</v>
      </c>
      <c r="C1807" s="1" t="s">
        <v>3630</v>
      </c>
      <c r="D1807" s="1" t="s">
        <v>3482</v>
      </c>
    </row>
    <row r="1808" spans="1:4" ht="17" customHeight="1">
      <c r="A1808" s="1">
        <v>4559</v>
      </c>
      <c r="B1808" s="1" t="s">
        <v>3631</v>
      </c>
      <c r="C1808" s="1" t="s">
        <v>3632</v>
      </c>
      <c r="D1808" s="1" t="s">
        <v>3482</v>
      </c>
    </row>
    <row r="1809" spans="1:4" ht="17" customHeight="1">
      <c r="A1809" s="1">
        <v>4565</v>
      </c>
      <c r="B1809" s="1" t="s">
        <v>3633</v>
      </c>
      <c r="C1809" s="1" t="s">
        <v>3634</v>
      </c>
      <c r="D1809" s="1" t="s">
        <v>3482</v>
      </c>
    </row>
    <row r="1810" spans="1:4" ht="17" customHeight="1">
      <c r="A1810" s="1">
        <v>4570</v>
      </c>
      <c r="B1810" s="1" t="s">
        <v>3635</v>
      </c>
      <c r="C1810" s="1" t="s">
        <v>3636</v>
      </c>
      <c r="D1810" s="1" t="s">
        <v>3482</v>
      </c>
    </row>
    <row r="1811" spans="1:4" ht="17" customHeight="1">
      <c r="A1811" s="1">
        <v>4573</v>
      </c>
      <c r="B1811" s="1" t="s">
        <v>3637</v>
      </c>
      <c r="C1811" s="1" t="s">
        <v>3638</v>
      </c>
      <c r="D1811" s="1" t="s">
        <v>3482</v>
      </c>
    </row>
    <row r="1812" spans="1:4" ht="17" customHeight="1">
      <c r="A1812" s="1">
        <v>4575</v>
      </c>
      <c r="B1812" s="1" t="s">
        <v>3639</v>
      </c>
      <c r="C1812" s="1" t="s">
        <v>3640</v>
      </c>
      <c r="D1812" s="1" t="s">
        <v>3482</v>
      </c>
    </row>
    <row r="1813" spans="1:4" ht="17" customHeight="1">
      <c r="A1813" s="1">
        <v>4578</v>
      </c>
      <c r="B1813" s="1" t="s">
        <v>3641</v>
      </c>
      <c r="C1813" s="1" t="s">
        <v>3642</v>
      </c>
      <c r="D1813" s="1" t="s">
        <v>3482</v>
      </c>
    </row>
    <row r="1814" spans="1:4" ht="17" customHeight="1">
      <c r="A1814" s="1">
        <v>4582</v>
      </c>
      <c r="B1814" s="1" t="s">
        <v>3643</v>
      </c>
      <c r="C1814" s="1" t="s">
        <v>3644</v>
      </c>
      <c r="D1814" s="1" t="s">
        <v>3482</v>
      </c>
    </row>
    <row r="1815" spans="1:4" ht="17" customHeight="1">
      <c r="A1815" s="1">
        <v>4730</v>
      </c>
      <c r="B1815" s="1" t="s">
        <v>3645</v>
      </c>
      <c r="C1815" s="1" t="s">
        <v>3646</v>
      </c>
      <c r="D1815" s="1" t="s">
        <v>3482</v>
      </c>
    </row>
    <row r="1816" spans="1:4" ht="17" customHeight="1">
      <c r="A1816" s="1">
        <v>4732</v>
      </c>
      <c r="B1816" s="1" t="s">
        <v>3647</v>
      </c>
      <c r="C1816" s="1" t="s">
        <v>3648</v>
      </c>
      <c r="D1816" s="1" t="s">
        <v>3482</v>
      </c>
    </row>
    <row r="1817" spans="1:4" ht="17" customHeight="1">
      <c r="A1817" s="1">
        <v>4738</v>
      </c>
      <c r="B1817" s="1" t="s">
        <v>3649</v>
      </c>
      <c r="C1817" s="1" t="s">
        <v>3650</v>
      </c>
      <c r="D1817" s="1" t="s">
        <v>3482</v>
      </c>
    </row>
    <row r="1818" spans="1:4" ht="17" customHeight="1">
      <c r="A1818" s="1">
        <v>4765</v>
      </c>
      <c r="B1818" s="1" t="s">
        <v>3651</v>
      </c>
      <c r="C1818" s="1" t="s">
        <v>3652</v>
      </c>
      <c r="D1818" s="1" t="s">
        <v>3482</v>
      </c>
    </row>
    <row r="1819" spans="1:4" ht="17" customHeight="1">
      <c r="A1819" s="1">
        <v>4768</v>
      </c>
      <c r="B1819" s="1" t="s">
        <v>3653</v>
      </c>
      <c r="C1819" s="1" t="s">
        <v>3654</v>
      </c>
      <c r="D1819" s="1" t="s">
        <v>3482</v>
      </c>
    </row>
    <row r="1820" spans="1:4" ht="17" customHeight="1">
      <c r="A1820" s="1">
        <v>4923</v>
      </c>
      <c r="B1820" s="1" t="s">
        <v>3655</v>
      </c>
      <c r="C1820" s="1" t="s">
        <v>3656</v>
      </c>
      <c r="D1820" s="1" t="s">
        <v>3482</v>
      </c>
    </row>
    <row r="1821" spans="1:4" ht="17" customHeight="1">
      <c r="A1821" s="1">
        <v>4925</v>
      </c>
      <c r="B1821" s="1" t="s">
        <v>3657</v>
      </c>
      <c r="C1821" s="1" t="s">
        <v>3658</v>
      </c>
      <c r="D1821" s="1" t="s">
        <v>3482</v>
      </c>
    </row>
    <row r="1822" spans="1:4" ht="17" customHeight="1">
      <c r="A1822" s="1">
        <v>4945</v>
      </c>
      <c r="B1822" s="1" t="s">
        <v>3659</v>
      </c>
      <c r="C1822" s="1" t="s">
        <v>3660</v>
      </c>
      <c r="D1822" s="1" t="s">
        <v>3482</v>
      </c>
    </row>
    <row r="1823" spans="1:4" ht="17" customHeight="1">
      <c r="A1823" s="1">
        <v>4951</v>
      </c>
      <c r="B1823" s="1" t="s">
        <v>3661</v>
      </c>
      <c r="C1823" s="1" t="s">
        <v>3662</v>
      </c>
      <c r="D1823" s="1" t="s">
        <v>3482</v>
      </c>
    </row>
    <row r="1824" spans="1:4" ht="17" customHeight="1">
      <c r="A1824" s="1">
        <v>4980</v>
      </c>
      <c r="B1824" s="1" t="s">
        <v>3663</v>
      </c>
      <c r="C1824" s="1" t="s">
        <v>3664</v>
      </c>
      <c r="D1824" s="1" t="s">
        <v>3482</v>
      </c>
    </row>
    <row r="1825" spans="1:4" ht="17" customHeight="1">
      <c r="A1825" s="1">
        <v>5216</v>
      </c>
      <c r="B1825" s="1" t="s">
        <v>3665</v>
      </c>
      <c r="C1825" s="1" t="s">
        <v>3666</v>
      </c>
      <c r="D1825" s="1" t="s">
        <v>3482</v>
      </c>
    </row>
    <row r="1826" spans="1:4" ht="17" customHeight="1">
      <c r="A1826" s="1">
        <v>5222</v>
      </c>
      <c r="B1826" s="1" t="s">
        <v>3667</v>
      </c>
      <c r="C1826" s="1" t="s">
        <v>3668</v>
      </c>
      <c r="D1826" s="1" t="s">
        <v>3482</v>
      </c>
    </row>
    <row r="1827" spans="1:4" ht="17" customHeight="1">
      <c r="A1827" s="1">
        <v>5228</v>
      </c>
      <c r="B1827" s="1" t="s">
        <v>3669</v>
      </c>
      <c r="C1827" s="1" t="s">
        <v>3670</v>
      </c>
      <c r="D1827" s="1" t="s">
        <v>3482</v>
      </c>
    </row>
    <row r="1828" spans="1:4" ht="17" customHeight="1">
      <c r="A1828" s="1">
        <v>5233</v>
      </c>
      <c r="B1828" s="1" t="s">
        <v>3671</v>
      </c>
      <c r="C1828" s="1" t="s">
        <v>3672</v>
      </c>
      <c r="D1828" s="1" t="s">
        <v>3482</v>
      </c>
    </row>
    <row r="1829" spans="1:4" ht="17" customHeight="1">
      <c r="A1829" s="1">
        <v>5240</v>
      </c>
      <c r="B1829" s="1" t="s">
        <v>3673</v>
      </c>
      <c r="C1829" s="1" t="s">
        <v>3674</v>
      </c>
      <c r="D1829" s="1" t="s">
        <v>3482</v>
      </c>
    </row>
    <row r="1830" spans="1:4" ht="17" customHeight="1">
      <c r="A1830" s="1">
        <v>5244</v>
      </c>
      <c r="B1830" s="1" t="s">
        <v>3675</v>
      </c>
      <c r="C1830" s="1" t="s">
        <v>3676</v>
      </c>
      <c r="D1830" s="1" t="s">
        <v>3482</v>
      </c>
    </row>
    <row r="1831" spans="1:4" ht="17" customHeight="1">
      <c r="A1831" s="1">
        <v>5248</v>
      </c>
      <c r="B1831" s="1" t="s">
        <v>3677</v>
      </c>
      <c r="C1831" s="1" t="s">
        <v>3678</v>
      </c>
      <c r="D1831" s="1" t="s">
        <v>3482</v>
      </c>
    </row>
    <row r="1832" spans="1:4" ht="17" customHeight="1">
      <c r="A1832" s="1">
        <v>5254</v>
      </c>
      <c r="B1832" s="1" t="s">
        <v>3679</v>
      </c>
      <c r="C1832" s="1" t="s">
        <v>3680</v>
      </c>
      <c r="D1832" s="1" t="s">
        <v>3482</v>
      </c>
    </row>
    <row r="1833" spans="1:4" ht="17" customHeight="1">
      <c r="A1833" s="1">
        <v>5262</v>
      </c>
      <c r="B1833" s="1" t="s">
        <v>3681</v>
      </c>
      <c r="C1833" s="1" t="s">
        <v>3682</v>
      </c>
      <c r="D1833" s="1" t="s">
        <v>3482</v>
      </c>
    </row>
    <row r="1834" spans="1:4" ht="17" customHeight="1">
      <c r="A1834" s="1">
        <v>5267</v>
      </c>
      <c r="B1834" s="1" t="s">
        <v>3683</v>
      </c>
      <c r="C1834" s="1" t="s">
        <v>3684</v>
      </c>
      <c r="D1834" s="1" t="s">
        <v>3482</v>
      </c>
    </row>
    <row r="1835" spans="1:4" ht="17" customHeight="1">
      <c r="A1835" s="1">
        <v>5271</v>
      </c>
      <c r="B1835" s="1" t="s">
        <v>3685</v>
      </c>
      <c r="C1835" s="1" t="s">
        <v>3686</v>
      </c>
      <c r="D1835" s="1" t="s">
        <v>3482</v>
      </c>
    </row>
    <row r="1836" spans="1:4" ht="17" customHeight="1">
      <c r="A1836" s="1">
        <v>5277</v>
      </c>
      <c r="B1836" s="1" t="s">
        <v>3687</v>
      </c>
      <c r="C1836" s="1" t="s">
        <v>3688</v>
      </c>
      <c r="D1836" s="1" t="s">
        <v>3482</v>
      </c>
    </row>
    <row r="1837" spans="1:4" ht="17" customHeight="1">
      <c r="A1837" s="1">
        <v>5292</v>
      </c>
      <c r="B1837" s="1" t="s">
        <v>3689</v>
      </c>
      <c r="C1837" s="1" t="s">
        <v>3690</v>
      </c>
      <c r="D1837" s="1" t="s">
        <v>3482</v>
      </c>
    </row>
    <row r="1838" spans="1:4" ht="17" customHeight="1">
      <c r="A1838" s="1">
        <v>5297</v>
      </c>
      <c r="B1838" s="1" t="s">
        <v>3693</v>
      </c>
      <c r="C1838" s="1" t="s">
        <v>3694</v>
      </c>
      <c r="D1838" s="1" t="s">
        <v>3482</v>
      </c>
    </row>
    <row r="1839" spans="1:4" ht="17" customHeight="1">
      <c r="A1839" s="1">
        <v>5547</v>
      </c>
      <c r="B1839" s="1" t="s">
        <v>3695</v>
      </c>
      <c r="C1839" s="1" t="s">
        <v>3696</v>
      </c>
      <c r="D1839" s="1" t="s">
        <v>3482</v>
      </c>
    </row>
    <row r="1840" spans="1:4" ht="17" customHeight="1">
      <c r="A1840" s="1">
        <v>5859</v>
      </c>
      <c r="B1840" s="1" t="s">
        <v>3697</v>
      </c>
      <c r="C1840" s="1" t="s">
        <v>3698</v>
      </c>
      <c r="D1840" s="1" t="s">
        <v>3482</v>
      </c>
    </row>
    <row r="1841" spans="1:4" ht="17" customHeight="1">
      <c r="A1841" s="1">
        <v>5863</v>
      </c>
      <c r="B1841" s="1" t="s">
        <v>3699</v>
      </c>
      <c r="C1841" s="1" t="s">
        <v>3700</v>
      </c>
      <c r="D1841" s="1" t="s">
        <v>3482</v>
      </c>
    </row>
    <row r="1842" spans="1:4" ht="17" customHeight="1">
      <c r="A1842" s="1">
        <v>6027</v>
      </c>
      <c r="B1842" s="1" t="s">
        <v>3701</v>
      </c>
      <c r="C1842" s="1" t="s">
        <v>3702</v>
      </c>
      <c r="D1842" s="1" t="s">
        <v>3482</v>
      </c>
    </row>
    <row r="1843" spans="1:4" ht="17" customHeight="1">
      <c r="A1843" s="1">
        <v>6028</v>
      </c>
      <c r="B1843" s="1" t="s">
        <v>3703</v>
      </c>
      <c r="C1843" s="1" t="s">
        <v>3704</v>
      </c>
      <c r="D1843" s="1" t="s">
        <v>3482</v>
      </c>
    </row>
    <row r="1844" spans="1:4" ht="17" customHeight="1">
      <c r="A1844" s="1">
        <v>6272</v>
      </c>
      <c r="B1844" s="1" t="s">
        <v>3705</v>
      </c>
      <c r="C1844" s="1" t="s">
        <v>3706</v>
      </c>
      <c r="D1844" s="1" t="s">
        <v>3482</v>
      </c>
    </row>
    <row r="1845" spans="1:4" ht="17" customHeight="1">
      <c r="A1845" s="1">
        <v>6403</v>
      </c>
      <c r="B1845" s="1" t="s">
        <v>3707</v>
      </c>
      <c r="C1845" s="1" t="s">
        <v>3708</v>
      </c>
      <c r="D1845" s="1" t="s">
        <v>3482</v>
      </c>
    </row>
    <row r="1846" spans="1:4" ht="17" customHeight="1">
      <c r="A1846" s="1">
        <v>6407</v>
      </c>
      <c r="B1846" s="1" t="s">
        <v>3709</v>
      </c>
      <c r="C1846" s="1" t="s">
        <v>3710</v>
      </c>
      <c r="D1846" s="1" t="s">
        <v>3482</v>
      </c>
    </row>
    <row r="1847" spans="1:4" ht="17" customHeight="1">
      <c r="A1847" s="1">
        <v>6423</v>
      </c>
      <c r="B1847" s="1" t="s">
        <v>3711</v>
      </c>
      <c r="C1847" s="1" t="s">
        <v>3712</v>
      </c>
      <c r="D1847" s="1" t="s">
        <v>3482</v>
      </c>
    </row>
    <row r="1848" spans="1:4" ht="17" customHeight="1">
      <c r="A1848" s="1">
        <v>6428</v>
      </c>
      <c r="B1848" s="1" t="s">
        <v>3713</v>
      </c>
      <c r="C1848" s="1" t="s">
        <v>3714</v>
      </c>
      <c r="D1848" s="1" t="s">
        <v>3482</v>
      </c>
    </row>
    <row r="1849" spans="1:4" ht="17" customHeight="1">
      <c r="A1849" s="1">
        <v>6434</v>
      </c>
      <c r="B1849" s="1" t="s">
        <v>3715</v>
      </c>
      <c r="C1849" s="1" t="s">
        <v>3716</v>
      </c>
      <c r="D1849" s="1" t="s">
        <v>3482</v>
      </c>
    </row>
    <row r="1850" spans="1:4" ht="17" customHeight="1">
      <c r="A1850" s="1">
        <v>6445</v>
      </c>
      <c r="B1850" s="1" t="s">
        <v>3717</v>
      </c>
      <c r="C1850" s="1" t="s">
        <v>3718</v>
      </c>
      <c r="D1850" s="1" t="s">
        <v>3482</v>
      </c>
    </row>
    <row r="1851" spans="1:4" ht="17" customHeight="1">
      <c r="A1851" s="1">
        <v>6468</v>
      </c>
      <c r="B1851" s="1" t="s">
        <v>3719</v>
      </c>
      <c r="C1851" s="1" t="s">
        <v>3720</v>
      </c>
      <c r="D1851" s="1" t="s">
        <v>3482</v>
      </c>
    </row>
    <row r="1852" spans="1:4" ht="17" customHeight="1">
      <c r="A1852" s="1">
        <v>6473</v>
      </c>
      <c r="B1852" s="1" t="s">
        <v>3721</v>
      </c>
      <c r="C1852" s="1" t="s">
        <v>3722</v>
      </c>
      <c r="D1852" s="1" t="s">
        <v>3482</v>
      </c>
    </row>
    <row r="1853" spans="1:4" ht="17" customHeight="1">
      <c r="A1853" s="1">
        <v>6474</v>
      </c>
      <c r="B1853" s="1" t="s">
        <v>3723</v>
      </c>
      <c r="C1853" s="1" t="s">
        <v>3724</v>
      </c>
      <c r="D1853" s="1" t="s">
        <v>3482</v>
      </c>
    </row>
    <row r="1854" spans="1:4" ht="17" customHeight="1">
      <c r="A1854" s="1">
        <v>6475</v>
      </c>
      <c r="B1854" s="1" t="s">
        <v>3725</v>
      </c>
      <c r="C1854" s="1" t="s">
        <v>3726</v>
      </c>
      <c r="D1854" s="1" t="s">
        <v>3482</v>
      </c>
    </row>
    <row r="1855" spans="1:4" ht="17" customHeight="1">
      <c r="A1855" s="1">
        <v>6493</v>
      </c>
      <c r="B1855" s="1" t="s">
        <v>3727</v>
      </c>
      <c r="C1855" s="1" t="s">
        <v>3728</v>
      </c>
      <c r="D1855" s="1" t="s">
        <v>3482</v>
      </c>
    </row>
    <row r="1856" spans="1:4" ht="17" customHeight="1">
      <c r="A1856" s="1">
        <v>6495</v>
      </c>
      <c r="B1856" s="1" t="s">
        <v>3729</v>
      </c>
      <c r="C1856" s="1" t="s">
        <v>3730</v>
      </c>
      <c r="D1856" s="1" t="s">
        <v>3482</v>
      </c>
    </row>
    <row r="1857" spans="1:4" ht="17" customHeight="1">
      <c r="A1857" s="1">
        <v>6498</v>
      </c>
      <c r="B1857" s="1" t="s">
        <v>3731</v>
      </c>
      <c r="C1857" s="1" t="s">
        <v>3732</v>
      </c>
      <c r="D1857" s="1" t="s">
        <v>3482</v>
      </c>
    </row>
    <row r="1858" spans="1:4" ht="17" customHeight="1">
      <c r="A1858" s="1">
        <v>6515</v>
      </c>
      <c r="B1858" s="1" t="s">
        <v>3733</v>
      </c>
      <c r="C1858" s="1" t="s">
        <v>3734</v>
      </c>
      <c r="D1858" s="1" t="s">
        <v>3482</v>
      </c>
    </row>
    <row r="1859" spans="1:4" ht="17" customHeight="1">
      <c r="A1859" s="1">
        <v>6518</v>
      </c>
      <c r="B1859" s="1" t="s">
        <v>3735</v>
      </c>
      <c r="C1859" s="1" t="s">
        <v>3736</v>
      </c>
      <c r="D1859" s="1" t="s">
        <v>3482</v>
      </c>
    </row>
    <row r="1860" spans="1:4" ht="17" customHeight="1">
      <c r="A1860" s="1">
        <v>6529</v>
      </c>
      <c r="B1860" s="1" t="s">
        <v>3737</v>
      </c>
      <c r="C1860" s="1" t="s">
        <v>3738</v>
      </c>
      <c r="D1860" s="1" t="s">
        <v>3482</v>
      </c>
    </row>
    <row r="1861" spans="1:4" ht="17" customHeight="1">
      <c r="A1861" s="1">
        <v>6534</v>
      </c>
      <c r="B1861" s="1" t="s">
        <v>3739</v>
      </c>
      <c r="C1861" s="1" t="s">
        <v>3740</v>
      </c>
      <c r="D1861" s="1" t="s">
        <v>3482</v>
      </c>
    </row>
    <row r="1862" spans="1:4" ht="17" customHeight="1">
      <c r="A1862" s="1">
        <v>6536</v>
      </c>
      <c r="B1862" s="1" t="s">
        <v>3741</v>
      </c>
      <c r="C1862" s="1" t="s">
        <v>3742</v>
      </c>
      <c r="D1862" s="1" t="s">
        <v>3482</v>
      </c>
    </row>
    <row r="1863" spans="1:4" ht="17" customHeight="1">
      <c r="A1863" s="1">
        <v>6539</v>
      </c>
      <c r="B1863" s="1" t="s">
        <v>3743</v>
      </c>
      <c r="C1863" s="1" t="s">
        <v>3744</v>
      </c>
      <c r="D1863" s="1" t="s">
        <v>3482</v>
      </c>
    </row>
    <row r="1864" spans="1:4" ht="17" customHeight="1">
      <c r="A1864" s="1">
        <v>6543</v>
      </c>
      <c r="B1864" s="1" t="s">
        <v>3745</v>
      </c>
      <c r="C1864" s="1" t="s">
        <v>3746</v>
      </c>
      <c r="D1864" s="1" t="s">
        <v>3482</v>
      </c>
    </row>
    <row r="1865" spans="1:4" ht="17" customHeight="1">
      <c r="A1865" s="1">
        <v>6545</v>
      </c>
      <c r="B1865" s="1" t="s">
        <v>3747</v>
      </c>
      <c r="C1865" s="1" t="s">
        <v>3748</v>
      </c>
      <c r="D1865" s="1" t="s">
        <v>3482</v>
      </c>
    </row>
    <row r="1866" spans="1:4" ht="17" customHeight="1">
      <c r="A1866" s="1">
        <v>6549</v>
      </c>
      <c r="B1866" s="1" t="s">
        <v>3749</v>
      </c>
      <c r="C1866" s="1" t="s">
        <v>3750</v>
      </c>
      <c r="D1866" s="1" t="s">
        <v>3482</v>
      </c>
    </row>
    <row r="1867" spans="1:4" ht="17" customHeight="1">
      <c r="A1867" s="1">
        <v>6550</v>
      </c>
      <c r="B1867" s="1" t="s">
        <v>3751</v>
      </c>
      <c r="C1867" s="1" t="s">
        <v>3752</v>
      </c>
      <c r="D1867" s="1" t="s">
        <v>3482</v>
      </c>
    </row>
    <row r="1868" spans="1:4" ht="17" customHeight="1">
      <c r="A1868" s="1">
        <v>6555</v>
      </c>
      <c r="B1868" s="1" t="s">
        <v>3753</v>
      </c>
      <c r="C1868" s="1" t="s">
        <v>3754</v>
      </c>
      <c r="D1868" s="1" t="s">
        <v>3482</v>
      </c>
    </row>
    <row r="1869" spans="1:4" ht="17" customHeight="1">
      <c r="A1869" s="1">
        <v>6559</v>
      </c>
      <c r="B1869" s="1" t="s">
        <v>3755</v>
      </c>
      <c r="C1869" s="1" t="s">
        <v>3756</v>
      </c>
      <c r="D1869" s="1" t="s">
        <v>3482</v>
      </c>
    </row>
    <row r="1870" spans="1:4" ht="17" customHeight="1">
      <c r="A1870" s="1">
        <v>6564</v>
      </c>
      <c r="B1870" s="1" t="s">
        <v>3757</v>
      </c>
      <c r="C1870" s="1" t="s">
        <v>3758</v>
      </c>
      <c r="D1870" s="1" t="s">
        <v>3482</v>
      </c>
    </row>
    <row r="1871" spans="1:4" ht="17" customHeight="1">
      <c r="A1871" s="1">
        <v>6565</v>
      </c>
      <c r="B1871" s="1" t="s">
        <v>3759</v>
      </c>
      <c r="C1871" s="1" t="s">
        <v>3760</v>
      </c>
      <c r="D1871" s="1" t="s">
        <v>3482</v>
      </c>
    </row>
    <row r="1872" spans="1:4" ht="17" customHeight="1">
      <c r="A1872" s="1">
        <v>6566</v>
      </c>
      <c r="B1872" s="1" t="s">
        <v>3761</v>
      </c>
      <c r="C1872" s="1" t="s">
        <v>3762</v>
      </c>
      <c r="D1872" s="1" t="s">
        <v>3482</v>
      </c>
    </row>
    <row r="1873" spans="1:4" ht="17" customHeight="1">
      <c r="A1873" s="1">
        <v>6572</v>
      </c>
      <c r="B1873" s="1" t="s">
        <v>3763</v>
      </c>
      <c r="C1873" s="1" t="s">
        <v>3764</v>
      </c>
      <c r="D1873" s="1" t="s">
        <v>3482</v>
      </c>
    </row>
    <row r="1874" spans="1:4" ht="17" customHeight="1">
      <c r="A1874" s="1">
        <v>6575</v>
      </c>
      <c r="B1874" s="1" t="s">
        <v>3765</v>
      </c>
      <c r="C1874" s="1" t="s">
        <v>3766</v>
      </c>
      <c r="D1874" s="1" t="s">
        <v>3482</v>
      </c>
    </row>
    <row r="1875" spans="1:4" ht="17" customHeight="1">
      <c r="A1875" s="1">
        <v>6580</v>
      </c>
      <c r="B1875" s="1" t="s">
        <v>3767</v>
      </c>
      <c r="C1875" s="1" t="s">
        <v>3768</v>
      </c>
      <c r="D1875" s="1" t="s">
        <v>3482</v>
      </c>
    </row>
    <row r="1876" spans="1:4" ht="17" customHeight="1">
      <c r="A1876" s="1">
        <v>6583</v>
      </c>
      <c r="B1876" s="1" t="s">
        <v>3769</v>
      </c>
      <c r="C1876" s="1" t="s">
        <v>3770</v>
      </c>
      <c r="D1876" s="1" t="s">
        <v>3482</v>
      </c>
    </row>
    <row r="1877" spans="1:4" ht="17" customHeight="1">
      <c r="A1877" s="1">
        <v>6584</v>
      </c>
      <c r="B1877" s="1" t="s">
        <v>3771</v>
      </c>
      <c r="C1877" s="1" t="s">
        <v>3772</v>
      </c>
      <c r="D1877" s="1" t="s">
        <v>3482</v>
      </c>
    </row>
    <row r="1878" spans="1:4" ht="17" customHeight="1">
      <c r="A1878" s="1">
        <v>6585</v>
      </c>
      <c r="B1878" s="1" t="s">
        <v>3773</v>
      </c>
      <c r="C1878" s="1" t="s">
        <v>3774</v>
      </c>
      <c r="D1878" s="1" t="s">
        <v>3482</v>
      </c>
    </row>
    <row r="1879" spans="1:4" ht="17" customHeight="1">
      <c r="A1879" s="1">
        <v>6586</v>
      </c>
      <c r="B1879" s="1" t="s">
        <v>3775</v>
      </c>
      <c r="C1879" s="1" t="s">
        <v>3776</v>
      </c>
      <c r="D1879" s="1" t="s">
        <v>3482</v>
      </c>
    </row>
    <row r="1880" spans="1:4" ht="17" customHeight="1">
      <c r="A1880" s="1">
        <v>6588</v>
      </c>
      <c r="B1880" s="1" t="s">
        <v>3777</v>
      </c>
      <c r="C1880" s="1" t="s">
        <v>3778</v>
      </c>
      <c r="D1880" s="1" t="s">
        <v>3482</v>
      </c>
    </row>
    <row r="1881" spans="1:4" ht="17" customHeight="1">
      <c r="A1881" s="1">
        <v>6595</v>
      </c>
      <c r="B1881" s="1" t="s">
        <v>3779</v>
      </c>
      <c r="C1881" s="1" t="s">
        <v>3780</v>
      </c>
      <c r="D1881" s="1" t="s">
        <v>3482</v>
      </c>
    </row>
    <row r="1882" spans="1:4" ht="17" customHeight="1">
      <c r="A1882" s="1">
        <v>6597</v>
      </c>
      <c r="B1882" s="1" t="s">
        <v>3781</v>
      </c>
      <c r="C1882" s="1" t="s">
        <v>3782</v>
      </c>
      <c r="D1882" s="1" t="s">
        <v>3482</v>
      </c>
    </row>
    <row r="1883" spans="1:4" ht="17" customHeight="1">
      <c r="A1883" s="1">
        <v>6598</v>
      </c>
      <c r="B1883" s="1" t="s">
        <v>3783</v>
      </c>
      <c r="C1883" s="1" t="s">
        <v>3784</v>
      </c>
      <c r="D1883" s="1" t="s">
        <v>3482</v>
      </c>
    </row>
    <row r="1884" spans="1:4" ht="17" customHeight="1">
      <c r="A1884" s="1">
        <v>6599</v>
      </c>
      <c r="B1884" s="1" t="s">
        <v>3785</v>
      </c>
      <c r="C1884" s="1" t="s">
        <v>3786</v>
      </c>
      <c r="D1884" s="1" t="s">
        <v>3482</v>
      </c>
    </row>
    <row r="1885" spans="1:4" ht="17" customHeight="1">
      <c r="A1885" s="1">
        <v>6606</v>
      </c>
      <c r="B1885" s="1" t="s">
        <v>3787</v>
      </c>
      <c r="C1885" s="1" t="s">
        <v>3788</v>
      </c>
      <c r="D1885" s="1" t="s">
        <v>3482</v>
      </c>
    </row>
    <row r="1886" spans="1:4" ht="17" customHeight="1">
      <c r="A1886" s="1">
        <v>6610</v>
      </c>
      <c r="B1886" s="1" t="s">
        <v>3789</v>
      </c>
      <c r="C1886" s="1" t="s">
        <v>3790</v>
      </c>
      <c r="D1886" s="1" t="s">
        <v>3482</v>
      </c>
    </row>
    <row r="1887" spans="1:4" ht="17" customHeight="1">
      <c r="A1887" s="1">
        <v>6611</v>
      </c>
      <c r="B1887" s="1" t="s">
        <v>3791</v>
      </c>
      <c r="C1887" s="1" t="s">
        <v>3792</v>
      </c>
      <c r="D1887" s="1" t="s">
        <v>3482</v>
      </c>
    </row>
    <row r="1888" spans="1:4" ht="17" customHeight="1">
      <c r="A1888" s="1">
        <v>6617</v>
      </c>
      <c r="B1888" s="1" t="s">
        <v>3793</v>
      </c>
      <c r="C1888" s="1" t="s">
        <v>3794</v>
      </c>
      <c r="D1888" s="1" t="s">
        <v>3482</v>
      </c>
    </row>
    <row r="1889" spans="1:4" ht="17" customHeight="1">
      <c r="A1889" s="1">
        <v>6618</v>
      </c>
      <c r="B1889" s="1" t="s">
        <v>3795</v>
      </c>
      <c r="C1889" s="1" t="s">
        <v>3796</v>
      </c>
      <c r="D1889" s="1" t="s">
        <v>3482</v>
      </c>
    </row>
    <row r="1890" spans="1:4" ht="17" customHeight="1">
      <c r="A1890" s="1">
        <v>6620</v>
      </c>
      <c r="B1890" s="1" t="s">
        <v>3797</v>
      </c>
      <c r="C1890" s="1" t="s">
        <v>3798</v>
      </c>
      <c r="D1890" s="1" t="s">
        <v>3482</v>
      </c>
    </row>
    <row r="1891" spans="1:4" ht="17" customHeight="1">
      <c r="A1891" s="1">
        <v>6621</v>
      </c>
      <c r="B1891" s="1" t="s">
        <v>3799</v>
      </c>
      <c r="C1891" s="1" t="s">
        <v>3800</v>
      </c>
      <c r="D1891" s="1" t="s">
        <v>3482</v>
      </c>
    </row>
    <row r="1892" spans="1:4" ht="17" customHeight="1">
      <c r="A1892" s="1">
        <v>6622</v>
      </c>
      <c r="B1892" s="1" t="s">
        <v>3801</v>
      </c>
      <c r="C1892" s="1" t="s">
        <v>3802</v>
      </c>
      <c r="D1892" s="1" t="s">
        <v>3482</v>
      </c>
    </row>
    <row r="1893" spans="1:4" ht="17" customHeight="1">
      <c r="A1893" s="1">
        <v>6626</v>
      </c>
      <c r="B1893" s="1" t="s">
        <v>3803</v>
      </c>
      <c r="C1893" s="1" t="s">
        <v>3804</v>
      </c>
      <c r="D1893" s="1" t="s">
        <v>3482</v>
      </c>
    </row>
    <row r="1894" spans="1:4" ht="17" customHeight="1">
      <c r="A1894" s="1">
        <v>6633</v>
      </c>
      <c r="B1894" s="1" t="s">
        <v>3805</v>
      </c>
      <c r="C1894" s="1" t="s">
        <v>3806</v>
      </c>
      <c r="D1894" s="1" t="s">
        <v>3482</v>
      </c>
    </row>
    <row r="1895" spans="1:4" ht="17" customHeight="1">
      <c r="A1895" s="1">
        <v>6634</v>
      </c>
      <c r="B1895" s="1" t="s">
        <v>3807</v>
      </c>
      <c r="C1895" s="1" t="s">
        <v>3808</v>
      </c>
      <c r="D1895" s="1" t="s">
        <v>3482</v>
      </c>
    </row>
    <row r="1896" spans="1:4" ht="17" customHeight="1">
      <c r="A1896" s="1">
        <v>6637</v>
      </c>
      <c r="B1896" s="1" t="s">
        <v>3809</v>
      </c>
      <c r="C1896" s="1" t="s">
        <v>3810</v>
      </c>
      <c r="D1896" s="1" t="s">
        <v>3482</v>
      </c>
    </row>
    <row r="1897" spans="1:4" ht="17" customHeight="1">
      <c r="A1897" s="1">
        <v>6638</v>
      </c>
      <c r="B1897" s="1" t="s">
        <v>3811</v>
      </c>
      <c r="C1897" s="1" t="s">
        <v>3812</v>
      </c>
      <c r="D1897" s="1" t="s">
        <v>3482</v>
      </c>
    </row>
    <row r="1898" spans="1:4" ht="17" customHeight="1">
      <c r="A1898" s="1">
        <v>6639</v>
      </c>
      <c r="B1898" s="1" t="s">
        <v>3813</v>
      </c>
      <c r="C1898" s="1" t="s">
        <v>3814</v>
      </c>
      <c r="D1898" s="1" t="s">
        <v>3482</v>
      </c>
    </row>
    <row r="1899" spans="1:4" ht="17" customHeight="1">
      <c r="A1899" s="1">
        <v>6645</v>
      </c>
      <c r="B1899" s="1" t="s">
        <v>3815</v>
      </c>
      <c r="C1899" s="1" t="s">
        <v>3816</v>
      </c>
      <c r="D1899" s="1" t="s">
        <v>3482</v>
      </c>
    </row>
    <row r="1900" spans="1:4" ht="17" customHeight="1">
      <c r="A1900" s="1">
        <v>6648</v>
      </c>
      <c r="B1900" s="1" t="s">
        <v>3817</v>
      </c>
      <c r="C1900" s="1" t="s">
        <v>3818</v>
      </c>
      <c r="D1900" s="1" t="s">
        <v>3482</v>
      </c>
    </row>
    <row r="1901" spans="1:4" ht="17" customHeight="1">
      <c r="A1901" s="1">
        <v>6650</v>
      </c>
      <c r="B1901" s="1" t="s">
        <v>3819</v>
      </c>
      <c r="C1901" s="1" t="s">
        <v>3820</v>
      </c>
      <c r="D1901" s="1" t="s">
        <v>3482</v>
      </c>
    </row>
    <row r="1902" spans="1:4" ht="17" customHeight="1">
      <c r="A1902" s="1">
        <v>6651</v>
      </c>
      <c r="B1902" s="1" t="s">
        <v>3821</v>
      </c>
      <c r="C1902" s="1" t="s">
        <v>3822</v>
      </c>
      <c r="D1902" s="1" t="s">
        <v>3482</v>
      </c>
    </row>
    <row r="1903" spans="1:4" ht="17" customHeight="1">
      <c r="A1903" s="1">
        <v>6652</v>
      </c>
      <c r="B1903" s="1" t="s">
        <v>3823</v>
      </c>
      <c r="C1903" s="1" t="s">
        <v>3824</v>
      </c>
      <c r="D1903" s="1" t="s">
        <v>3482</v>
      </c>
    </row>
    <row r="1904" spans="1:4" ht="17" customHeight="1">
      <c r="A1904" s="1">
        <v>6657</v>
      </c>
      <c r="B1904" s="1" t="s">
        <v>3825</v>
      </c>
      <c r="C1904" s="1" t="s">
        <v>3826</v>
      </c>
      <c r="D1904" s="1" t="s">
        <v>3482</v>
      </c>
    </row>
    <row r="1905" spans="1:4" ht="17" customHeight="1">
      <c r="A1905" s="1">
        <v>6661</v>
      </c>
      <c r="B1905" s="1" t="s">
        <v>3827</v>
      </c>
      <c r="C1905" s="1" t="s">
        <v>3828</v>
      </c>
      <c r="D1905" s="1" t="s">
        <v>3482</v>
      </c>
    </row>
    <row r="1906" spans="1:4" ht="17" customHeight="1">
      <c r="A1906" s="1">
        <v>6665</v>
      </c>
      <c r="B1906" s="1" t="s">
        <v>3829</v>
      </c>
      <c r="C1906" s="1" t="s">
        <v>3830</v>
      </c>
      <c r="D1906" s="1" t="s">
        <v>3482</v>
      </c>
    </row>
    <row r="1907" spans="1:4" ht="17" customHeight="1">
      <c r="A1907" s="1">
        <v>6673</v>
      </c>
      <c r="B1907" s="1" t="s">
        <v>3831</v>
      </c>
      <c r="C1907" s="1" t="s">
        <v>3832</v>
      </c>
      <c r="D1907" s="1" t="s">
        <v>3482</v>
      </c>
    </row>
    <row r="1908" spans="1:4" ht="17" customHeight="1">
      <c r="A1908" s="1">
        <v>6677</v>
      </c>
      <c r="B1908" s="1" t="s">
        <v>3833</v>
      </c>
      <c r="C1908" s="1" t="s">
        <v>3834</v>
      </c>
      <c r="D1908" s="1" t="s">
        <v>3482</v>
      </c>
    </row>
    <row r="1909" spans="1:4" ht="17" customHeight="1">
      <c r="A1909" s="1">
        <v>6682</v>
      </c>
      <c r="B1909" s="1" t="s">
        <v>3835</v>
      </c>
      <c r="C1909" s="1" t="s">
        <v>3836</v>
      </c>
      <c r="D1909" s="1" t="s">
        <v>3482</v>
      </c>
    </row>
    <row r="1910" spans="1:4" ht="17" customHeight="1">
      <c r="A1910" s="1">
        <v>6684</v>
      </c>
      <c r="B1910" s="1" t="s">
        <v>3837</v>
      </c>
      <c r="C1910" s="1" t="s">
        <v>3838</v>
      </c>
      <c r="D1910" s="1" t="s">
        <v>3482</v>
      </c>
    </row>
    <row r="1911" spans="1:4" ht="17" customHeight="1">
      <c r="A1911" s="1">
        <v>6688</v>
      </c>
      <c r="B1911" s="1" t="s">
        <v>3839</v>
      </c>
      <c r="C1911" s="1" t="s">
        <v>3840</v>
      </c>
      <c r="D1911" s="1" t="s">
        <v>3482</v>
      </c>
    </row>
    <row r="1912" spans="1:4" ht="17" customHeight="1">
      <c r="A1912" s="1">
        <v>6689</v>
      </c>
      <c r="B1912" s="1" t="s">
        <v>3841</v>
      </c>
      <c r="C1912" s="1" t="s">
        <v>3842</v>
      </c>
      <c r="D1912" s="1" t="s">
        <v>3482</v>
      </c>
    </row>
    <row r="1913" spans="1:4" ht="17" customHeight="1">
      <c r="A1913" s="1">
        <v>6691</v>
      </c>
      <c r="B1913" s="1" t="s">
        <v>3843</v>
      </c>
      <c r="C1913" s="1" t="s">
        <v>3844</v>
      </c>
      <c r="D1913" s="1" t="s">
        <v>3482</v>
      </c>
    </row>
    <row r="1914" spans="1:4" ht="17" customHeight="1">
      <c r="A1914" s="1">
        <v>6692</v>
      </c>
      <c r="B1914" s="1" t="s">
        <v>3845</v>
      </c>
      <c r="C1914" s="1" t="s">
        <v>3846</v>
      </c>
      <c r="D1914" s="1" t="s">
        <v>3482</v>
      </c>
    </row>
    <row r="1915" spans="1:4" ht="17" customHeight="1">
      <c r="A1915" s="1">
        <v>6693</v>
      </c>
      <c r="B1915" s="1" t="s">
        <v>3847</v>
      </c>
      <c r="C1915" s="1" t="s">
        <v>3848</v>
      </c>
      <c r="D1915" s="1" t="s">
        <v>3482</v>
      </c>
    </row>
    <row r="1916" spans="1:4" ht="17" customHeight="1">
      <c r="A1916" s="1">
        <v>6695</v>
      </c>
      <c r="B1916" s="1" t="s">
        <v>3849</v>
      </c>
      <c r="C1916" s="1" t="s">
        <v>3850</v>
      </c>
      <c r="D1916" s="1" t="s">
        <v>3482</v>
      </c>
    </row>
    <row r="1917" spans="1:4" ht="17" customHeight="1">
      <c r="A1917" s="1">
        <v>6696</v>
      </c>
      <c r="B1917" s="1" t="s">
        <v>3851</v>
      </c>
      <c r="C1917" s="1" t="s">
        <v>3852</v>
      </c>
      <c r="D1917" s="1" t="s">
        <v>3482</v>
      </c>
    </row>
    <row r="1918" spans="1:4" ht="17" customHeight="1">
      <c r="A1918" s="1">
        <v>6699</v>
      </c>
      <c r="B1918" s="1" t="s">
        <v>3853</v>
      </c>
      <c r="C1918" s="1" t="s">
        <v>3854</v>
      </c>
      <c r="D1918" s="1" t="s">
        <v>3482</v>
      </c>
    </row>
    <row r="1919" spans="1:4" ht="17" customHeight="1">
      <c r="A1919" s="1">
        <v>6703</v>
      </c>
      <c r="B1919" s="1" t="s">
        <v>3855</v>
      </c>
      <c r="C1919" s="1" t="s">
        <v>3856</v>
      </c>
      <c r="D1919" s="1" t="s">
        <v>3482</v>
      </c>
    </row>
    <row r="1920" spans="1:4" ht="17" customHeight="1">
      <c r="A1920" s="1">
        <v>6705</v>
      </c>
      <c r="B1920" s="1" t="s">
        <v>3857</v>
      </c>
      <c r="C1920" s="1" t="s">
        <v>3858</v>
      </c>
      <c r="D1920" s="1" t="s">
        <v>3482</v>
      </c>
    </row>
    <row r="1921" spans="1:4" ht="17" customHeight="1">
      <c r="A1921" s="1">
        <v>6708</v>
      </c>
      <c r="B1921" s="1" t="s">
        <v>3859</v>
      </c>
      <c r="C1921" s="1" t="s">
        <v>3860</v>
      </c>
      <c r="D1921" s="1" t="s">
        <v>3482</v>
      </c>
    </row>
    <row r="1922" spans="1:4" ht="17" customHeight="1">
      <c r="A1922" s="1">
        <v>6709</v>
      </c>
      <c r="B1922" s="1" t="s">
        <v>3861</v>
      </c>
      <c r="C1922" s="1" t="s">
        <v>3862</v>
      </c>
      <c r="D1922" s="1" t="s">
        <v>3482</v>
      </c>
    </row>
    <row r="1923" spans="1:4" ht="17" customHeight="1">
      <c r="A1923" s="1">
        <v>6712</v>
      </c>
      <c r="B1923" s="1" t="s">
        <v>3863</v>
      </c>
      <c r="C1923" s="1" t="s">
        <v>3864</v>
      </c>
      <c r="D1923" s="1" t="s">
        <v>3482</v>
      </c>
    </row>
    <row r="1924" spans="1:4" ht="17" customHeight="1">
      <c r="A1924" s="1">
        <v>6713</v>
      </c>
      <c r="B1924" s="1" t="s">
        <v>3865</v>
      </c>
      <c r="C1924" s="1" t="s">
        <v>3866</v>
      </c>
      <c r="D1924" s="1" t="s">
        <v>3482</v>
      </c>
    </row>
    <row r="1925" spans="1:4" ht="17" customHeight="1">
      <c r="A1925" s="1">
        <v>6717</v>
      </c>
      <c r="B1925" s="1" t="s">
        <v>3867</v>
      </c>
      <c r="C1925" s="1" t="s">
        <v>3868</v>
      </c>
      <c r="D1925" s="1" t="s">
        <v>3482</v>
      </c>
    </row>
    <row r="1926" spans="1:4" ht="17" customHeight="1">
      <c r="A1926" s="1">
        <v>6720</v>
      </c>
      <c r="B1926" s="1" t="s">
        <v>3869</v>
      </c>
      <c r="C1926" s="1" t="s">
        <v>3870</v>
      </c>
      <c r="D1926" s="1" t="s">
        <v>3482</v>
      </c>
    </row>
    <row r="1927" spans="1:4" ht="17" customHeight="1">
      <c r="A1927" s="1">
        <v>6721</v>
      </c>
      <c r="B1927" s="1" t="s">
        <v>3871</v>
      </c>
      <c r="C1927" s="1" t="s">
        <v>3872</v>
      </c>
      <c r="D1927" s="1" t="s">
        <v>3482</v>
      </c>
    </row>
    <row r="1928" spans="1:4" ht="17" customHeight="1">
      <c r="A1928" s="1">
        <v>6723</v>
      </c>
      <c r="B1928" s="1" t="s">
        <v>3873</v>
      </c>
      <c r="C1928" s="1" t="s">
        <v>3874</v>
      </c>
      <c r="D1928" s="1" t="s">
        <v>3482</v>
      </c>
    </row>
    <row r="1929" spans="1:4" ht="17" customHeight="1">
      <c r="A1929" s="1">
        <v>6724</v>
      </c>
      <c r="B1929" s="1" t="s">
        <v>3875</v>
      </c>
      <c r="C1929" s="1" t="s">
        <v>3876</v>
      </c>
      <c r="D1929" s="1" t="s">
        <v>3482</v>
      </c>
    </row>
    <row r="1930" spans="1:4" ht="17" customHeight="1">
      <c r="A1930" s="1">
        <v>6727</v>
      </c>
      <c r="B1930" s="1" t="s">
        <v>3877</v>
      </c>
      <c r="C1930" s="1" t="s">
        <v>3878</v>
      </c>
      <c r="D1930" s="1" t="s">
        <v>3482</v>
      </c>
    </row>
    <row r="1931" spans="1:4" ht="17" customHeight="1">
      <c r="A1931" s="1">
        <v>6728</v>
      </c>
      <c r="B1931" s="1" t="s">
        <v>3879</v>
      </c>
      <c r="C1931" s="1" t="s">
        <v>3880</v>
      </c>
      <c r="D1931" s="1" t="s">
        <v>3482</v>
      </c>
    </row>
    <row r="1932" spans="1:4" ht="17" customHeight="1">
      <c r="A1932" s="1">
        <v>6729</v>
      </c>
      <c r="B1932" s="1" t="s">
        <v>3881</v>
      </c>
      <c r="C1932" s="1" t="s">
        <v>3882</v>
      </c>
      <c r="D1932" s="1" t="s">
        <v>3482</v>
      </c>
    </row>
    <row r="1933" spans="1:4" ht="17" customHeight="1">
      <c r="A1933" s="1">
        <v>6730</v>
      </c>
      <c r="B1933" s="1" t="s">
        <v>3883</v>
      </c>
      <c r="C1933" s="1" t="s">
        <v>3884</v>
      </c>
      <c r="D1933" s="1" t="s">
        <v>3482</v>
      </c>
    </row>
    <row r="1934" spans="1:4" ht="17" customHeight="1">
      <c r="A1934" s="1">
        <v>6731</v>
      </c>
      <c r="B1934" s="1" t="s">
        <v>3885</v>
      </c>
      <c r="C1934" s="1" t="s">
        <v>3886</v>
      </c>
      <c r="D1934" s="1" t="s">
        <v>3482</v>
      </c>
    </row>
    <row r="1935" spans="1:4" ht="17" customHeight="1">
      <c r="A1935" s="1">
        <v>6732</v>
      </c>
      <c r="B1935" s="1" t="s">
        <v>3887</v>
      </c>
      <c r="C1935" s="1" t="s">
        <v>3888</v>
      </c>
      <c r="D1935" s="1" t="s">
        <v>3482</v>
      </c>
    </row>
    <row r="1936" spans="1:4" ht="17" customHeight="1">
      <c r="A1936" s="1">
        <v>6733</v>
      </c>
      <c r="B1936" s="1" t="s">
        <v>3889</v>
      </c>
      <c r="C1936" s="1" t="s">
        <v>3890</v>
      </c>
      <c r="D1936" s="1" t="s">
        <v>3482</v>
      </c>
    </row>
    <row r="1937" spans="1:4" ht="17" customHeight="1">
      <c r="A1937" s="1">
        <v>6734</v>
      </c>
      <c r="B1937" s="1" t="s">
        <v>3891</v>
      </c>
      <c r="C1937" s="1" t="s">
        <v>3892</v>
      </c>
      <c r="D1937" s="1" t="s">
        <v>3482</v>
      </c>
    </row>
    <row r="1938" spans="1:4" ht="17" customHeight="1">
      <c r="A1938" s="1">
        <v>6735</v>
      </c>
      <c r="B1938" s="1" t="s">
        <v>3893</v>
      </c>
      <c r="C1938" s="1" t="s">
        <v>3894</v>
      </c>
      <c r="D1938" s="1" t="s">
        <v>3482</v>
      </c>
    </row>
    <row r="1939" spans="1:4" ht="17" customHeight="1">
      <c r="A1939" s="1">
        <v>6736</v>
      </c>
      <c r="B1939" s="1" t="s">
        <v>3895</v>
      </c>
      <c r="C1939" s="1" t="s">
        <v>3896</v>
      </c>
      <c r="D1939" s="1" t="s">
        <v>3482</v>
      </c>
    </row>
    <row r="1940" spans="1:4" ht="17" customHeight="1">
      <c r="A1940" s="1">
        <v>6737</v>
      </c>
      <c r="B1940" s="1" t="s">
        <v>3897</v>
      </c>
      <c r="C1940" s="1" t="s">
        <v>3898</v>
      </c>
      <c r="D1940" s="1" t="s">
        <v>3482</v>
      </c>
    </row>
    <row r="1941" spans="1:4" ht="17" customHeight="1">
      <c r="A1941" s="1">
        <v>6738</v>
      </c>
      <c r="B1941" s="1" t="s">
        <v>3899</v>
      </c>
      <c r="C1941" s="1" t="s">
        <v>3900</v>
      </c>
      <c r="D1941" s="1" t="s">
        <v>3482</v>
      </c>
    </row>
    <row r="1942" spans="1:4" ht="17" customHeight="1">
      <c r="A1942" s="1">
        <v>6740</v>
      </c>
      <c r="B1942" s="1" t="s">
        <v>3901</v>
      </c>
      <c r="C1942" s="1" t="s">
        <v>3902</v>
      </c>
      <c r="D1942" s="1" t="s">
        <v>3482</v>
      </c>
    </row>
    <row r="1943" spans="1:4" ht="17" customHeight="1">
      <c r="A1943" s="1">
        <v>6743</v>
      </c>
      <c r="B1943" s="1" t="s">
        <v>3903</v>
      </c>
      <c r="C1943" s="1" t="s">
        <v>3904</v>
      </c>
      <c r="D1943" s="1" t="s">
        <v>3482</v>
      </c>
    </row>
    <row r="1944" spans="1:4" ht="17" customHeight="1">
      <c r="A1944" s="1">
        <v>6744</v>
      </c>
      <c r="B1944" s="1" t="s">
        <v>3905</v>
      </c>
      <c r="C1944" s="1" t="s">
        <v>3906</v>
      </c>
      <c r="D1944" s="1" t="s">
        <v>3482</v>
      </c>
    </row>
    <row r="1945" spans="1:4" ht="17" customHeight="1">
      <c r="A1945" s="1">
        <v>6747</v>
      </c>
      <c r="B1945" s="1" t="s">
        <v>3907</v>
      </c>
      <c r="C1945" s="1" t="s">
        <v>3908</v>
      </c>
      <c r="D1945" s="1" t="s">
        <v>3482</v>
      </c>
    </row>
    <row r="1946" spans="1:4" ht="17" customHeight="1">
      <c r="A1946" s="1">
        <v>6750</v>
      </c>
      <c r="B1946" s="1" t="s">
        <v>3909</v>
      </c>
      <c r="C1946" s="1" t="s">
        <v>3910</v>
      </c>
      <c r="D1946" s="1" t="s">
        <v>3482</v>
      </c>
    </row>
    <row r="1947" spans="1:4" ht="17" customHeight="1">
      <c r="A1947" s="1">
        <v>6751</v>
      </c>
      <c r="B1947" s="1" t="s">
        <v>3911</v>
      </c>
      <c r="C1947" s="1" t="s">
        <v>3912</v>
      </c>
      <c r="D1947" s="1" t="s">
        <v>3482</v>
      </c>
    </row>
    <row r="1948" spans="1:4" ht="17" customHeight="1">
      <c r="A1948" s="1">
        <v>6752</v>
      </c>
      <c r="B1948" s="1" t="s">
        <v>3913</v>
      </c>
      <c r="C1948" s="1" t="s">
        <v>3914</v>
      </c>
      <c r="D1948" s="1" t="s">
        <v>3482</v>
      </c>
    </row>
    <row r="1949" spans="1:4" ht="17" customHeight="1">
      <c r="A1949" s="1">
        <v>6754</v>
      </c>
      <c r="B1949" s="1" t="s">
        <v>3915</v>
      </c>
      <c r="C1949" s="1" t="s">
        <v>3916</v>
      </c>
      <c r="D1949" s="1" t="s">
        <v>3482</v>
      </c>
    </row>
    <row r="1950" spans="1:4" ht="17" customHeight="1">
      <c r="A1950" s="1">
        <v>6755</v>
      </c>
      <c r="B1950" s="1" t="s">
        <v>3917</v>
      </c>
      <c r="C1950" s="1" t="s">
        <v>3918</v>
      </c>
      <c r="D1950" s="1" t="s">
        <v>3482</v>
      </c>
    </row>
    <row r="1951" spans="1:4" ht="17" customHeight="1">
      <c r="A1951" s="1">
        <v>6756</v>
      </c>
      <c r="B1951" s="1" t="s">
        <v>3919</v>
      </c>
      <c r="C1951" s="1" t="s">
        <v>3920</v>
      </c>
      <c r="D1951" s="1" t="s">
        <v>3482</v>
      </c>
    </row>
    <row r="1952" spans="1:4" ht="17" customHeight="1">
      <c r="A1952" s="1">
        <v>6757</v>
      </c>
      <c r="B1952" s="1" t="s">
        <v>3921</v>
      </c>
      <c r="C1952" s="1" t="s">
        <v>3922</v>
      </c>
      <c r="D1952" s="1" t="s">
        <v>3482</v>
      </c>
    </row>
    <row r="1953" spans="1:4" ht="17" customHeight="1">
      <c r="A1953" s="1">
        <v>6758</v>
      </c>
      <c r="B1953" s="1" t="s">
        <v>3923</v>
      </c>
      <c r="C1953" s="1" t="s">
        <v>3924</v>
      </c>
      <c r="D1953" s="1" t="s">
        <v>3482</v>
      </c>
    </row>
    <row r="1954" spans="1:4" ht="17" customHeight="1">
      <c r="A1954" s="1">
        <v>6761</v>
      </c>
      <c r="B1954" s="1" t="s">
        <v>3925</v>
      </c>
      <c r="C1954" s="1" t="s">
        <v>3926</v>
      </c>
      <c r="D1954" s="1" t="s">
        <v>3482</v>
      </c>
    </row>
    <row r="1955" spans="1:4" ht="17" customHeight="1">
      <c r="A1955" s="1">
        <v>6762</v>
      </c>
      <c r="B1955" s="1" t="s">
        <v>3927</v>
      </c>
      <c r="C1955" s="1" t="s">
        <v>3928</v>
      </c>
      <c r="D1955" s="1" t="s">
        <v>3482</v>
      </c>
    </row>
    <row r="1956" spans="1:4" ht="17" customHeight="1">
      <c r="A1956" s="1">
        <v>6763</v>
      </c>
      <c r="B1956" s="1" t="s">
        <v>3929</v>
      </c>
      <c r="C1956" s="1" t="s">
        <v>3930</v>
      </c>
      <c r="D1956" s="1" t="s">
        <v>3482</v>
      </c>
    </row>
    <row r="1957" spans="1:4" ht="17" customHeight="1">
      <c r="A1957" s="1">
        <v>6764</v>
      </c>
      <c r="B1957" s="1" t="s">
        <v>3931</v>
      </c>
      <c r="C1957" s="1" t="s">
        <v>3932</v>
      </c>
      <c r="D1957" s="1" t="s">
        <v>3482</v>
      </c>
    </row>
    <row r="1958" spans="1:4" ht="17" customHeight="1">
      <c r="A1958" s="1">
        <v>6767</v>
      </c>
      <c r="B1958" s="1" t="s">
        <v>3933</v>
      </c>
      <c r="C1958" s="1" t="s">
        <v>3934</v>
      </c>
      <c r="D1958" s="1" t="s">
        <v>3482</v>
      </c>
    </row>
    <row r="1959" spans="1:4" ht="17" customHeight="1">
      <c r="A1959" s="1">
        <v>6771</v>
      </c>
      <c r="B1959" s="1" t="s">
        <v>3935</v>
      </c>
      <c r="C1959" s="1" t="s">
        <v>3936</v>
      </c>
      <c r="D1959" s="1" t="s">
        <v>3482</v>
      </c>
    </row>
    <row r="1960" spans="1:4" ht="17" customHeight="1">
      <c r="A1960" s="1">
        <v>6776</v>
      </c>
      <c r="B1960" s="1" t="s">
        <v>3937</v>
      </c>
      <c r="C1960" s="1" t="s">
        <v>3938</v>
      </c>
      <c r="D1960" s="1" t="s">
        <v>3482</v>
      </c>
    </row>
    <row r="1961" spans="1:4" ht="17" customHeight="1">
      <c r="A1961" s="1">
        <v>7419</v>
      </c>
      <c r="B1961" s="1" t="s">
        <v>3939</v>
      </c>
      <c r="C1961" s="1" t="s">
        <v>3940</v>
      </c>
      <c r="D1961" s="1" t="s">
        <v>3482</v>
      </c>
    </row>
    <row r="1962" spans="1:4" ht="17" customHeight="1">
      <c r="A1962" s="1">
        <v>7443</v>
      </c>
      <c r="B1962" s="1" t="s">
        <v>3941</v>
      </c>
      <c r="C1962" s="1" t="s">
        <v>3942</v>
      </c>
      <c r="D1962" s="1" t="s">
        <v>3482</v>
      </c>
    </row>
    <row r="1963" spans="1:4" ht="17" customHeight="1">
      <c r="A1963" s="1">
        <v>7507</v>
      </c>
      <c r="B1963" s="1" t="s">
        <v>3943</v>
      </c>
      <c r="C1963" s="1" t="s">
        <v>3944</v>
      </c>
      <c r="D1963" s="1" t="s">
        <v>3482</v>
      </c>
    </row>
    <row r="1964" spans="1:4" ht="17" customHeight="1">
      <c r="A1964" s="1">
        <v>7516</v>
      </c>
      <c r="B1964" s="1" t="s">
        <v>3945</v>
      </c>
      <c r="C1964" s="1" t="s">
        <v>3946</v>
      </c>
      <c r="D1964" s="1" t="s">
        <v>3482</v>
      </c>
    </row>
    <row r="1965" spans="1:4" ht="17" customHeight="1">
      <c r="A1965" s="1">
        <v>7551</v>
      </c>
      <c r="B1965" s="1" t="s">
        <v>3947</v>
      </c>
      <c r="C1965" s="1" t="s">
        <v>3948</v>
      </c>
      <c r="D1965" s="1" t="s">
        <v>3482</v>
      </c>
    </row>
    <row r="1966" spans="1:4" ht="17" customHeight="1">
      <c r="A1966" s="1">
        <v>7556</v>
      </c>
      <c r="B1966" s="1" t="s">
        <v>3949</v>
      </c>
      <c r="C1966" s="1" t="s">
        <v>3950</v>
      </c>
      <c r="D1966" s="1" t="s">
        <v>3482</v>
      </c>
    </row>
    <row r="1967" spans="1:4" ht="17" customHeight="1">
      <c r="A1967" s="1">
        <v>8045</v>
      </c>
      <c r="B1967" s="1" t="s">
        <v>3951</v>
      </c>
      <c r="C1967" s="1" t="s">
        <v>3952</v>
      </c>
      <c r="D1967" s="1" t="s">
        <v>3482</v>
      </c>
    </row>
    <row r="1968" spans="1:4" ht="17" customHeight="1">
      <c r="A1968" s="1">
        <v>8089</v>
      </c>
      <c r="B1968" s="1" t="s">
        <v>3953</v>
      </c>
      <c r="C1968" s="1" t="s">
        <v>3954</v>
      </c>
      <c r="D1968" s="1" t="s">
        <v>3482</v>
      </c>
    </row>
    <row r="1969" spans="1:4" ht="17" customHeight="1">
      <c r="A1969" s="1">
        <v>8115</v>
      </c>
      <c r="B1969" s="1" t="s">
        <v>3955</v>
      </c>
      <c r="C1969" s="1" t="s">
        <v>3956</v>
      </c>
      <c r="D1969" s="1" t="s">
        <v>3482</v>
      </c>
    </row>
    <row r="1970" spans="1:4" ht="17" customHeight="1">
      <c r="A1970" s="1">
        <v>8119</v>
      </c>
      <c r="B1970" s="1" t="s">
        <v>3957</v>
      </c>
      <c r="C1970" s="1" t="s">
        <v>3958</v>
      </c>
      <c r="D1970" s="1" t="s">
        <v>3482</v>
      </c>
    </row>
    <row r="1971" spans="1:4" ht="17" customHeight="1">
      <c r="A1971" s="1">
        <v>8179</v>
      </c>
      <c r="B1971" s="1" t="s">
        <v>3959</v>
      </c>
      <c r="C1971" s="1" t="s">
        <v>3960</v>
      </c>
      <c r="D1971" s="1" t="s">
        <v>3482</v>
      </c>
    </row>
    <row r="1972" spans="1:4" ht="17" customHeight="1">
      <c r="A1972" s="1">
        <v>8281</v>
      </c>
      <c r="B1972" s="1" t="s">
        <v>3961</v>
      </c>
      <c r="C1972" s="1" t="s">
        <v>3962</v>
      </c>
      <c r="D1972" s="1" t="s">
        <v>3482</v>
      </c>
    </row>
    <row r="1973" spans="1:4" ht="17" customHeight="1">
      <c r="A1973" s="1">
        <v>8284</v>
      </c>
      <c r="B1973" s="1" t="s">
        <v>3963</v>
      </c>
      <c r="C1973" s="1" t="s">
        <v>3964</v>
      </c>
      <c r="D1973" s="1" t="s">
        <v>3482</v>
      </c>
    </row>
    <row r="1974" spans="1:4" ht="17" customHeight="1">
      <c r="A1974" s="1">
        <v>8298</v>
      </c>
      <c r="B1974" s="1" t="s">
        <v>3965</v>
      </c>
      <c r="C1974" s="1" t="s">
        <v>3966</v>
      </c>
      <c r="D1974" s="1" t="s">
        <v>3482</v>
      </c>
    </row>
    <row r="1975" spans="1:4" ht="17" customHeight="1">
      <c r="A1975" s="1">
        <v>8329</v>
      </c>
      <c r="B1975" s="1" t="s">
        <v>3967</v>
      </c>
      <c r="C1975" s="1" t="s">
        <v>3968</v>
      </c>
      <c r="D1975" s="1" t="s">
        <v>3482</v>
      </c>
    </row>
    <row r="1976" spans="1:4" ht="17" customHeight="1">
      <c r="A1976" s="1">
        <v>8359</v>
      </c>
      <c r="B1976" s="1" t="s">
        <v>3969</v>
      </c>
      <c r="C1976" s="1" t="s">
        <v>3970</v>
      </c>
      <c r="D1976" s="1" t="s">
        <v>3482</v>
      </c>
    </row>
    <row r="1977" spans="1:4" ht="17" customHeight="1">
      <c r="A1977" s="1">
        <v>8438</v>
      </c>
      <c r="B1977" s="1" t="s">
        <v>3971</v>
      </c>
      <c r="C1977" s="1" t="s">
        <v>3972</v>
      </c>
      <c r="D1977" s="1" t="s">
        <v>3482</v>
      </c>
    </row>
    <row r="1978" spans="1:4" ht="17" customHeight="1">
      <c r="A1978" s="1">
        <v>8458</v>
      </c>
      <c r="B1978" s="1" t="s">
        <v>3973</v>
      </c>
      <c r="C1978" s="1" t="s">
        <v>3974</v>
      </c>
      <c r="D1978" s="1" t="s">
        <v>3482</v>
      </c>
    </row>
    <row r="1979" spans="1:4" ht="17" customHeight="1">
      <c r="A1979" s="1">
        <v>8465</v>
      </c>
      <c r="B1979" s="1" t="s">
        <v>3975</v>
      </c>
      <c r="C1979" s="1" t="s">
        <v>3976</v>
      </c>
      <c r="D1979" s="1" t="s">
        <v>3482</v>
      </c>
    </row>
    <row r="1980" spans="1:4" ht="17" customHeight="1">
      <c r="A1980" s="1">
        <v>8487</v>
      </c>
      <c r="B1980" s="1" t="s">
        <v>3977</v>
      </c>
      <c r="C1980" s="1" t="s">
        <v>3978</v>
      </c>
      <c r="D1980" s="1" t="s">
        <v>3482</v>
      </c>
    </row>
    <row r="1981" spans="1:4" ht="17" customHeight="1">
      <c r="A1981" s="1">
        <v>8490</v>
      </c>
      <c r="B1981" s="1" t="s">
        <v>3979</v>
      </c>
      <c r="C1981" s="1" t="s">
        <v>3980</v>
      </c>
      <c r="D1981" s="1" t="s">
        <v>3482</v>
      </c>
    </row>
    <row r="1982" spans="1:4" ht="17" customHeight="1">
      <c r="A1982" s="1">
        <v>8491</v>
      </c>
      <c r="B1982" s="1" t="s">
        <v>3981</v>
      </c>
      <c r="C1982" s="1" t="s">
        <v>3982</v>
      </c>
      <c r="D1982" s="1" t="s">
        <v>3482</v>
      </c>
    </row>
    <row r="1983" spans="1:4" ht="17" customHeight="1">
      <c r="A1983" s="1">
        <v>8492</v>
      </c>
      <c r="B1983" s="1" t="s">
        <v>3983</v>
      </c>
      <c r="C1983" s="1" t="s">
        <v>3984</v>
      </c>
      <c r="D1983" s="1" t="s">
        <v>3482</v>
      </c>
    </row>
    <row r="1984" spans="1:4" ht="17" customHeight="1">
      <c r="A1984" s="1">
        <v>8495</v>
      </c>
      <c r="B1984" s="1" t="s">
        <v>3985</v>
      </c>
      <c r="C1984" s="1" t="s">
        <v>3986</v>
      </c>
      <c r="D1984" s="1" t="s">
        <v>3482</v>
      </c>
    </row>
    <row r="1985" spans="1:4" ht="17" customHeight="1">
      <c r="A1985" s="1">
        <v>9957</v>
      </c>
      <c r="B1985" s="1" t="s">
        <v>3987</v>
      </c>
      <c r="C1985" s="1" t="s">
        <v>3988</v>
      </c>
      <c r="D1985" s="1" t="s">
        <v>3482</v>
      </c>
    </row>
    <row r="1986" spans="1:4" ht="17" customHeight="1">
      <c r="A1986" s="1">
        <v>104</v>
      </c>
      <c r="B1986" s="1" t="s">
        <v>3990</v>
      </c>
      <c r="C1986" s="1" t="s">
        <v>3991</v>
      </c>
      <c r="D1986" s="1" t="s">
        <v>3989</v>
      </c>
    </row>
    <row r="1987" spans="1:4" ht="17" customHeight="1">
      <c r="A1987" s="1">
        <v>111</v>
      </c>
      <c r="B1987" s="1" t="s">
        <v>3992</v>
      </c>
      <c r="C1987" s="1" t="s">
        <v>3993</v>
      </c>
      <c r="D1987" s="1" t="s">
        <v>3989</v>
      </c>
    </row>
    <row r="1988" spans="1:4" ht="17" customHeight="1">
      <c r="A1988" s="1">
        <v>116</v>
      </c>
      <c r="B1988" s="1" t="s">
        <v>3994</v>
      </c>
      <c r="C1988" s="1" t="s">
        <v>3995</v>
      </c>
      <c r="D1988" s="1" t="s">
        <v>3989</v>
      </c>
    </row>
    <row r="1989" spans="1:4" ht="17" customHeight="1">
      <c r="A1989" s="1">
        <v>218</v>
      </c>
      <c r="B1989" s="1" t="s">
        <v>3996</v>
      </c>
      <c r="C1989" s="1" t="s">
        <v>3997</v>
      </c>
      <c r="D1989" s="1" t="s">
        <v>3989</v>
      </c>
    </row>
    <row r="1990" spans="1:4" ht="17" customHeight="1">
      <c r="A1990" s="1">
        <v>511</v>
      </c>
      <c r="B1990" s="1" t="s">
        <v>3998</v>
      </c>
      <c r="C1990" s="1" t="s">
        <v>3999</v>
      </c>
      <c r="D1990" s="1" t="s">
        <v>3989</v>
      </c>
    </row>
    <row r="1991" spans="1:4" ht="17" customHeight="1">
      <c r="A1991" s="1">
        <v>518</v>
      </c>
      <c r="B1991" s="1" t="s">
        <v>4000</v>
      </c>
      <c r="C1991" s="1" t="s">
        <v>4001</v>
      </c>
      <c r="D1991" s="1" t="s">
        <v>3989</v>
      </c>
    </row>
    <row r="1992" spans="1:4" ht="17" customHeight="1">
      <c r="A1992" s="1">
        <v>532</v>
      </c>
      <c r="B1992" s="1" t="s">
        <v>4002</v>
      </c>
      <c r="C1992" s="1" t="s">
        <v>4003</v>
      </c>
      <c r="D1992" s="1" t="s">
        <v>3989</v>
      </c>
    </row>
    <row r="1993" spans="1:4" ht="17" customHeight="1">
      <c r="A1993" s="1">
        <v>537</v>
      </c>
      <c r="B1993" s="1" t="s">
        <v>4004</v>
      </c>
      <c r="C1993" s="1" t="s">
        <v>4005</v>
      </c>
      <c r="D1993" s="1" t="s">
        <v>3989</v>
      </c>
    </row>
    <row r="1994" spans="1:4" ht="17" customHeight="1">
      <c r="A1994" s="1">
        <v>538</v>
      </c>
      <c r="B1994" s="1" t="s">
        <v>4006</v>
      </c>
      <c r="C1994" s="1" t="s">
        <v>4007</v>
      </c>
      <c r="D1994" s="1" t="s">
        <v>3989</v>
      </c>
    </row>
    <row r="1995" spans="1:4" ht="17" customHeight="1">
      <c r="A1995" s="1">
        <v>546</v>
      </c>
      <c r="B1995" s="1" t="s">
        <v>4008</v>
      </c>
      <c r="C1995" s="1" t="s">
        <v>4009</v>
      </c>
      <c r="D1995" s="1" t="s">
        <v>3989</v>
      </c>
    </row>
    <row r="1996" spans="1:4" ht="17" customHeight="1">
      <c r="A1996" s="1">
        <v>550</v>
      </c>
      <c r="B1996" s="1" t="s">
        <v>4010</v>
      </c>
      <c r="C1996" s="1" t="s">
        <v>4011</v>
      </c>
      <c r="D1996" s="1" t="s">
        <v>3989</v>
      </c>
    </row>
    <row r="1997" spans="1:4" ht="17" customHeight="1">
      <c r="A1997" s="1">
        <v>560</v>
      </c>
      <c r="B1997" s="1" t="s">
        <v>4012</v>
      </c>
      <c r="C1997" s="1" t="s">
        <v>4013</v>
      </c>
      <c r="D1997" s="1" t="s">
        <v>3989</v>
      </c>
    </row>
    <row r="1998" spans="1:4" ht="17" customHeight="1">
      <c r="A1998" s="1">
        <v>572</v>
      </c>
      <c r="B1998" s="1" t="s">
        <v>4014</v>
      </c>
      <c r="C1998" s="1" t="s">
        <v>4015</v>
      </c>
      <c r="D1998" s="1" t="s">
        <v>3989</v>
      </c>
    </row>
    <row r="1999" spans="1:4" ht="17" customHeight="1">
      <c r="A1999" s="1">
        <v>587</v>
      </c>
      <c r="B1999" s="1" t="s">
        <v>4016</v>
      </c>
      <c r="C1999" s="1" t="s">
        <v>3433</v>
      </c>
      <c r="D1999" s="1" t="s">
        <v>3989</v>
      </c>
    </row>
    <row r="2000" spans="1:4" ht="17" customHeight="1">
      <c r="A2000" s="1">
        <v>596</v>
      </c>
      <c r="B2000" s="1" t="s">
        <v>4017</v>
      </c>
      <c r="C2000" s="1" t="s">
        <v>4018</v>
      </c>
      <c r="D2000" s="1" t="s">
        <v>3989</v>
      </c>
    </row>
    <row r="2001" spans="1:4" ht="17" customHeight="1">
      <c r="A2001" s="1">
        <v>601</v>
      </c>
      <c r="B2001" s="1" t="s">
        <v>4019</v>
      </c>
      <c r="C2001" s="1" t="s">
        <v>4020</v>
      </c>
      <c r="D2001" s="1" t="s">
        <v>3989</v>
      </c>
    </row>
    <row r="2002" spans="1:4" ht="17" customHeight="1">
      <c r="A2002" s="1">
        <v>616</v>
      </c>
      <c r="B2002" s="1" t="s">
        <v>4021</v>
      </c>
      <c r="C2002" s="1" t="s">
        <v>4022</v>
      </c>
      <c r="D2002" s="1" t="s">
        <v>3989</v>
      </c>
    </row>
    <row r="2003" spans="1:4" ht="17" customHeight="1">
      <c r="A2003" s="1">
        <v>638</v>
      </c>
      <c r="B2003" s="1" t="s">
        <v>4023</v>
      </c>
      <c r="C2003" s="1" t="s">
        <v>4024</v>
      </c>
      <c r="D2003" s="1" t="s">
        <v>3989</v>
      </c>
    </row>
    <row r="2004" spans="1:4" ht="17" customHeight="1">
      <c r="A2004" s="1">
        <v>646</v>
      </c>
      <c r="B2004" s="1" t="s">
        <v>4025</v>
      </c>
      <c r="C2004" s="1" t="s">
        <v>4026</v>
      </c>
      <c r="D2004" s="1" t="s">
        <v>3989</v>
      </c>
    </row>
    <row r="2005" spans="1:4" ht="17" customHeight="1">
      <c r="A2005" s="1">
        <v>666</v>
      </c>
      <c r="B2005" s="1" t="s">
        <v>4027</v>
      </c>
      <c r="C2005" s="1" t="s">
        <v>4028</v>
      </c>
      <c r="D2005" s="1" t="s">
        <v>3989</v>
      </c>
    </row>
    <row r="2006" spans="1:4" ht="17" customHeight="1">
      <c r="A2006" s="1">
        <v>695</v>
      </c>
      <c r="B2006" s="1" t="s">
        <v>4029</v>
      </c>
      <c r="C2006" s="1" t="s">
        <v>4030</v>
      </c>
      <c r="D2006" s="1" t="s">
        <v>3989</v>
      </c>
    </row>
    <row r="2007" spans="1:4" ht="17" customHeight="1">
      <c r="A2007" s="1">
        <v>700</v>
      </c>
      <c r="B2007" s="1" t="s">
        <v>4031</v>
      </c>
      <c r="C2007" s="1" t="s">
        <v>4032</v>
      </c>
      <c r="D2007" s="1" t="s">
        <v>3989</v>
      </c>
    </row>
    <row r="2008" spans="1:4" ht="17" customHeight="1">
      <c r="A2008" s="1">
        <v>708</v>
      </c>
      <c r="B2008" s="1" t="s">
        <v>4033</v>
      </c>
      <c r="C2008" s="1" t="s">
        <v>4034</v>
      </c>
      <c r="D2008" s="1" t="s">
        <v>3989</v>
      </c>
    </row>
    <row r="2009" spans="1:4" ht="17" customHeight="1">
      <c r="A2009" s="1">
        <v>732</v>
      </c>
      <c r="B2009" s="1" t="s">
        <v>4035</v>
      </c>
      <c r="C2009" s="1" t="s">
        <v>4036</v>
      </c>
      <c r="D2009" s="1" t="s">
        <v>3989</v>
      </c>
    </row>
    <row r="2010" spans="1:4" ht="17" customHeight="1">
      <c r="A2010" s="1">
        <v>736</v>
      </c>
      <c r="B2010" s="1" t="s">
        <v>4037</v>
      </c>
      <c r="C2010" s="1" t="s">
        <v>4038</v>
      </c>
      <c r="D2010" s="1" t="s">
        <v>3989</v>
      </c>
    </row>
    <row r="2011" spans="1:4" ht="17" customHeight="1">
      <c r="A2011" s="1">
        <v>775</v>
      </c>
      <c r="B2011" s="1" t="s">
        <v>4039</v>
      </c>
      <c r="C2011" s="1" t="s">
        <v>4040</v>
      </c>
      <c r="D2011" s="1" t="s">
        <v>3989</v>
      </c>
    </row>
    <row r="2012" spans="1:4" ht="17" customHeight="1">
      <c r="A2012" s="1">
        <v>779</v>
      </c>
      <c r="B2012" s="1" t="s">
        <v>4041</v>
      </c>
      <c r="C2012" s="1" t="s">
        <v>4042</v>
      </c>
      <c r="D2012" s="1" t="s">
        <v>3989</v>
      </c>
    </row>
    <row r="2013" spans="1:4" ht="17" customHeight="1">
      <c r="A2013" s="1">
        <v>815</v>
      </c>
      <c r="B2013" s="1" t="s">
        <v>4043</v>
      </c>
      <c r="C2013" s="1" t="s">
        <v>4044</v>
      </c>
      <c r="D2013" s="1" t="s">
        <v>3989</v>
      </c>
    </row>
    <row r="2014" spans="1:4" ht="17" customHeight="1">
      <c r="A2014" s="1">
        <v>838</v>
      </c>
      <c r="B2014" s="1" t="s">
        <v>4045</v>
      </c>
      <c r="C2014" s="1" t="s">
        <v>4046</v>
      </c>
      <c r="D2014" s="1" t="s">
        <v>3989</v>
      </c>
    </row>
    <row r="2015" spans="1:4" ht="17" customHeight="1">
      <c r="A2015" s="1">
        <v>856</v>
      </c>
      <c r="B2015" s="1" t="s">
        <v>4047</v>
      </c>
      <c r="C2015" s="1" t="s">
        <v>4048</v>
      </c>
      <c r="D2015" s="1" t="s">
        <v>3989</v>
      </c>
    </row>
    <row r="2016" spans="1:4" ht="17" customHeight="1">
      <c r="A2016" s="1">
        <v>869</v>
      </c>
      <c r="B2016" s="1" t="s">
        <v>4049</v>
      </c>
      <c r="C2016" s="1" t="s">
        <v>4050</v>
      </c>
      <c r="D2016" s="1" t="s">
        <v>3989</v>
      </c>
    </row>
    <row r="2017" spans="1:4" ht="17" customHeight="1">
      <c r="A2017" s="1">
        <v>888</v>
      </c>
      <c r="B2017" s="1" t="s">
        <v>4051</v>
      </c>
      <c r="C2017" s="1" t="s">
        <v>4052</v>
      </c>
      <c r="D2017" s="1" t="s">
        <v>3989</v>
      </c>
    </row>
    <row r="2018" spans="1:4" ht="17" customHeight="1">
      <c r="A2018" s="1">
        <v>930</v>
      </c>
      <c r="B2018" s="1" t="s">
        <v>4053</v>
      </c>
      <c r="C2018" s="1" t="s">
        <v>4054</v>
      </c>
      <c r="D2018" s="1" t="s">
        <v>3989</v>
      </c>
    </row>
    <row r="2019" spans="1:4" ht="17" customHeight="1">
      <c r="A2019" s="1">
        <v>960</v>
      </c>
      <c r="B2019" s="1" t="s">
        <v>4055</v>
      </c>
      <c r="C2019" s="1" t="s">
        <v>4056</v>
      </c>
      <c r="D2019" s="1" t="s">
        <v>3989</v>
      </c>
    </row>
    <row r="2020" spans="1:4" ht="17" customHeight="1">
      <c r="A2020" s="1">
        <v>980</v>
      </c>
      <c r="B2020" s="1" t="s">
        <v>4057</v>
      </c>
      <c r="C2020" s="1" t="s">
        <v>4058</v>
      </c>
      <c r="D2020" s="1" t="s">
        <v>3989</v>
      </c>
    </row>
    <row r="2021" spans="1:4" ht="17" customHeight="1">
      <c r="A2021" s="1" t="s">
        <v>4059</v>
      </c>
      <c r="B2021" s="1" t="s">
        <v>4060</v>
      </c>
      <c r="C2021" s="1" t="s">
        <v>4061</v>
      </c>
      <c r="D2021" s="1" t="s">
        <v>3989</v>
      </c>
    </row>
    <row r="2022" spans="1:4" ht="17" customHeight="1">
      <c r="A2022" s="1">
        <v>10001</v>
      </c>
      <c r="B2022" s="1" t="s">
        <v>4062</v>
      </c>
      <c r="C2022" s="1" t="s">
        <v>4063</v>
      </c>
      <c r="D2022" s="1" t="s">
        <v>3989</v>
      </c>
    </row>
    <row r="2023" spans="1:4" ht="17" customHeight="1">
      <c r="A2023" s="1">
        <v>1111</v>
      </c>
      <c r="B2023" s="1" t="s">
        <v>4064</v>
      </c>
      <c r="C2023" s="1" t="s">
        <v>4065</v>
      </c>
      <c r="D2023" s="1" t="s">
        <v>3989</v>
      </c>
    </row>
    <row r="2024" spans="1:4" ht="17" customHeight="1">
      <c r="A2024" s="1">
        <v>1237</v>
      </c>
      <c r="B2024" s="1" t="s">
        <v>4066</v>
      </c>
      <c r="C2024" s="1" t="s">
        <v>4067</v>
      </c>
      <c r="D2024" s="1" t="s">
        <v>3989</v>
      </c>
    </row>
    <row r="2025" spans="1:4" ht="17" customHeight="1">
      <c r="A2025" s="1">
        <v>1242</v>
      </c>
      <c r="B2025" s="1" t="s">
        <v>4068</v>
      </c>
      <c r="C2025" s="1" t="s">
        <v>4069</v>
      </c>
      <c r="D2025" s="1" t="s">
        <v>3989</v>
      </c>
    </row>
    <row r="2026" spans="1:4" ht="17" customHeight="1">
      <c r="A2026" s="1">
        <v>1246</v>
      </c>
      <c r="B2026" s="1" t="s">
        <v>4070</v>
      </c>
      <c r="C2026" s="1" t="s">
        <v>4071</v>
      </c>
      <c r="D2026" s="1" t="s">
        <v>3989</v>
      </c>
    </row>
    <row r="2027" spans="1:4" ht="17" customHeight="1">
      <c r="A2027" s="1">
        <v>1267</v>
      </c>
      <c r="B2027" s="1" t="s">
        <v>4072</v>
      </c>
      <c r="C2027" s="1" t="s">
        <v>4073</v>
      </c>
      <c r="D2027" s="1" t="s">
        <v>3989</v>
      </c>
    </row>
    <row r="2028" spans="1:4" ht="17" customHeight="1">
      <c r="A2028" s="1">
        <v>1271</v>
      </c>
      <c r="B2028" s="1" t="s">
        <v>4074</v>
      </c>
      <c r="C2028" s="1" t="s">
        <v>4075</v>
      </c>
      <c r="D2028" s="1" t="s">
        <v>3989</v>
      </c>
    </row>
    <row r="2029" spans="1:4" ht="17" customHeight="1">
      <c r="A2029" s="1">
        <v>1293</v>
      </c>
      <c r="B2029" s="1" t="s">
        <v>4076</v>
      </c>
      <c r="C2029" s="1" t="s">
        <v>4077</v>
      </c>
      <c r="D2029" s="1" t="s">
        <v>3989</v>
      </c>
    </row>
    <row r="2030" spans="1:4" ht="17" customHeight="1">
      <c r="A2030" s="1">
        <v>1328</v>
      </c>
      <c r="B2030" s="1" t="s">
        <v>4078</v>
      </c>
      <c r="C2030" s="1" t="s">
        <v>4079</v>
      </c>
      <c r="D2030" s="1" t="s">
        <v>3989</v>
      </c>
    </row>
    <row r="2031" spans="1:4" ht="17" customHeight="1">
      <c r="A2031" s="1">
        <v>1343</v>
      </c>
      <c r="B2031" s="1" t="s">
        <v>4080</v>
      </c>
      <c r="C2031" s="1" t="s">
        <v>4081</v>
      </c>
      <c r="D2031" s="1" t="s">
        <v>3989</v>
      </c>
    </row>
    <row r="2032" spans="1:4" ht="17" customHeight="1">
      <c r="A2032" s="1">
        <v>1408</v>
      </c>
      <c r="B2032" s="1" t="s">
        <v>4082</v>
      </c>
      <c r="C2032" s="1" t="s">
        <v>4083</v>
      </c>
      <c r="D2032" s="1" t="s">
        <v>3989</v>
      </c>
    </row>
    <row r="2033" spans="1:4" ht="17" customHeight="1">
      <c r="A2033" s="1">
        <v>1480</v>
      </c>
      <c r="B2033" s="1" t="s">
        <v>4084</v>
      </c>
      <c r="C2033" s="1" t="s">
        <v>4085</v>
      </c>
      <c r="D2033" s="1" t="s">
        <v>3989</v>
      </c>
    </row>
    <row r="2034" spans="1:4" ht="17" customHeight="1">
      <c r="A2034" s="1">
        <v>1489</v>
      </c>
      <c r="B2034" s="1" t="s">
        <v>4086</v>
      </c>
      <c r="C2034" s="1" t="s">
        <v>4087</v>
      </c>
      <c r="D2034" s="1" t="s">
        <v>3989</v>
      </c>
    </row>
    <row r="2035" spans="1:4" ht="17" customHeight="1">
      <c r="A2035" s="1">
        <v>1550</v>
      </c>
      <c r="B2035" s="1" t="s">
        <v>4088</v>
      </c>
      <c r="C2035" s="1" t="s">
        <v>4089</v>
      </c>
      <c r="D2035" s="1" t="s">
        <v>3989</v>
      </c>
    </row>
    <row r="2036" spans="1:4" ht="17" customHeight="1">
      <c r="A2036" s="1">
        <v>1557</v>
      </c>
      <c r="B2036" s="1" t="s">
        <v>4090</v>
      </c>
      <c r="C2036" s="1" t="s">
        <v>4091</v>
      </c>
      <c r="D2036" s="1" t="s">
        <v>3989</v>
      </c>
    </row>
    <row r="2037" spans="1:4" ht="17" customHeight="1">
      <c r="A2037" s="1">
        <v>1602</v>
      </c>
      <c r="B2037" s="1" t="s">
        <v>4092</v>
      </c>
      <c r="C2037" s="1" t="s">
        <v>4093</v>
      </c>
      <c r="D2037" s="1" t="s">
        <v>3989</v>
      </c>
    </row>
    <row r="2038" spans="1:4" ht="17" customHeight="1">
      <c r="A2038" s="1">
        <v>1606</v>
      </c>
      <c r="B2038" s="1" t="s">
        <v>4094</v>
      </c>
      <c r="C2038" s="1" t="s">
        <v>4095</v>
      </c>
      <c r="D2038" s="1" t="s">
        <v>3989</v>
      </c>
    </row>
    <row r="2039" spans="1:4" ht="17" customHeight="1">
      <c r="A2039" s="1">
        <v>1613</v>
      </c>
      <c r="B2039" s="1" t="s">
        <v>4096</v>
      </c>
      <c r="C2039" s="1" t="s">
        <v>4097</v>
      </c>
      <c r="D2039" s="1" t="s">
        <v>3989</v>
      </c>
    </row>
    <row r="2040" spans="1:4" ht="17" customHeight="1">
      <c r="A2040" s="1">
        <v>1619</v>
      </c>
      <c r="B2040" s="1" t="s">
        <v>4098</v>
      </c>
      <c r="C2040" s="1" t="s">
        <v>4099</v>
      </c>
      <c r="D2040" s="1" t="s">
        <v>3989</v>
      </c>
    </row>
    <row r="2041" spans="1:4" ht="17" customHeight="1">
      <c r="A2041" s="1">
        <v>1716</v>
      </c>
      <c r="B2041" s="1" t="s">
        <v>4100</v>
      </c>
      <c r="C2041" s="1" t="s">
        <v>4101</v>
      </c>
      <c r="D2041" s="1" t="s">
        <v>3989</v>
      </c>
    </row>
    <row r="2042" spans="1:4" ht="17" customHeight="1">
      <c r="A2042" s="1">
        <v>1739</v>
      </c>
      <c r="B2042" s="1" t="s">
        <v>4102</v>
      </c>
      <c r="C2042" s="1" t="s">
        <v>4103</v>
      </c>
      <c r="D2042" s="1" t="s">
        <v>3989</v>
      </c>
    </row>
    <row r="2043" spans="1:4" ht="17" customHeight="1">
      <c r="A2043" s="1">
        <v>1740</v>
      </c>
      <c r="B2043" s="1" t="s">
        <v>4104</v>
      </c>
      <c r="C2043" s="1" t="s">
        <v>4105</v>
      </c>
      <c r="D2043" s="1" t="s">
        <v>3989</v>
      </c>
    </row>
    <row r="2044" spans="1:4" ht="17" customHeight="1">
      <c r="A2044" s="1">
        <v>1743</v>
      </c>
      <c r="B2044" s="1" t="s">
        <v>4106</v>
      </c>
      <c r="C2044" s="1" t="s">
        <v>4107</v>
      </c>
      <c r="D2044" s="1" t="s">
        <v>3989</v>
      </c>
    </row>
    <row r="2045" spans="1:4" ht="17" customHeight="1">
      <c r="A2045" s="1">
        <v>1745</v>
      </c>
      <c r="B2045" s="1" t="s">
        <v>4108</v>
      </c>
      <c r="C2045" s="1" t="s">
        <v>4109</v>
      </c>
      <c r="D2045" s="1" t="s">
        <v>3989</v>
      </c>
    </row>
    <row r="2046" spans="1:4" ht="17" customHeight="1">
      <c r="A2046" s="1">
        <v>1763</v>
      </c>
      <c r="B2046" s="1" t="s">
        <v>4110</v>
      </c>
      <c r="C2046" s="1" t="s">
        <v>4111</v>
      </c>
      <c r="D2046" s="1" t="s">
        <v>3989</v>
      </c>
    </row>
    <row r="2047" spans="1:4" ht="17" customHeight="1">
      <c r="A2047" s="1">
        <v>1764</v>
      </c>
      <c r="B2047" s="1" t="s">
        <v>4112</v>
      </c>
      <c r="C2047" s="1" t="s">
        <v>4113</v>
      </c>
      <c r="D2047" s="1" t="s">
        <v>3989</v>
      </c>
    </row>
    <row r="2048" spans="1:4" ht="17" customHeight="1">
      <c r="A2048" s="1">
        <v>1765</v>
      </c>
      <c r="B2048" s="1" t="s">
        <v>4114</v>
      </c>
      <c r="C2048" s="1" t="s">
        <v>4115</v>
      </c>
      <c r="D2048" s="1" t="s">
        <v>3989</v>
      </c>
    </row>
    <row r="2049" spans="1:4" ht="17" customHeight="1">
      <c r="A2049" s="1">
        <v>1766</v>
      </c>
      <c r="B2049" s="1" t="s">
        <v>4116</v>
      </c>
      <c r="C2049" s="1" t="s">
        <v>4117</v>
      </c>
      <c r="D2049" s="1" t="s">
        <v>3989</v>
      </c>
    </row>
    <row r="2050" spans="1:4" ht="17" customHeight="1">
      <c r="A2050" s="1">
        <v>1767</v>
      </c>
      <c r="B2050" s="1" t="s">
        <v>4118</v>
      </c>
      <c r="C2050" s="1" t="s">
        <v>4119</v>
      </c>
      <c r="D2050" s="1" t="s">
        <v>3989</v>
      </c>
    </row>
    <row r="2051" spans="1:4" ht="17" customHeight="1">
      <c r="A2051" s="1">
        <v>1769</v>
      </c>
      <c r="B2051" s="1" t="s">
        <v>4120</v>
      </c>
      <c r="C2051" s="1" t="s">
        <v>4121</v>
      </c>
      <c r="D2051" s="1" t="s">
        <v>3989</v>
      </c>
    </row>
    <row r="2052" spans="1:4" ht="17" customHeight="1">
      <c r="A2052" s="1">
        <v>1770</v>
      </c>
      <c r="B2052" s="1" t="s">
        <v>4122</v>
      </c>
      <c r="C2052" s="1" t="s">
        <v>4123</v>
      </c>
      <c r="D2052" s="1" t="s">
        <v>3989</v>
      </c>
    </row>
    <row r="2053" spans="1:4" ht="17" customHeight="1">
      <c r="A2053" s="1">
        <v>1775</v>
      </c>
      <c r="B2053" s="1" t="s">
        <v>4124</v>
      </c>
      <c r="C2053" s="1" t="s">
        <v>4125</v>
      </c>
      <c r="D2053" s="1" t="s">
        <v>3989</v>
      </c>
    </row>
    <row r="2054" spans="1:4" ht="17" customHeight="1">
      <c r="A2054" s="1">
        <v>1819</v>
      </c>
      <c r="B2054" s="1" t="s">
        <v>4126</v>
      </c>
      <c r="C2054" s="1" t="s">
        <v>4127</v>
      </c>
      <c r="D2054" s="1" t="s">
        <v>3989</v>
      </c>
    </row>
    <row r="2055" spans="1:4" ht="17" customHeight="1">
      <c r="A2055" s="1">
        <v>2041</v>
      </c>
      <c r="B2055" s="1" t="s">
        <v>4128</v>
      </c>
      <c r="C2055" s="1" t="s">
        <v>4129</v>
      </c>
      <c r="D2055" s="1" t="s">
        <v>3989</v>
      </c>
    </row>
    <row r="2056" spans="1:4" ht="17" customHeight="1">
      <c r="A2056" s="1">
        <v>2048</v>
      </c>
      <c r="B2056" s="1" t="s">
        <v>4130</v>
      </c>
      <c r="C2056" s="1" t="s">
        <v>4131</v>
      </c>
      <c r="D2056" s="1" t="s">
        <v>3989</v>
      </c>
    </row>
    <row r="2057" spans="1:4" ht="17" customHeight="1">
      <c r="A2057" s="1">
        <v>2056</v>
      </c>
      <c r="B2057" s="1" t="s">
        <v>4132</v>
      </c>
      <c r="C2057" s="1" t="s">
        <v>4133</v>
      </c>
      <c r="D2057" s="1" t="s">
        <v>3989</v>
      </c>
    </row>
    <row r="2058" spans="1:4" ht="17" customHeight="1">
      <c r="A2058" s="1">
        <v>2060</v>
      </c>
      <c r="B2058" s="1" t="s">
        <v>4134</v>
      </c>
      <c r="C2058" s="1" t="s">
        <v>4135</v>
      </c>
      <c r="D2058" s="1" t="s">
        <v>3989</v>
      </c>
    </row>
    <row r="2059" spans="1:4" ht="17" customHeight="1">
      <c r="A2059" s="1">
        <v>2068</v>
      </c>
      <c r="B2059" s="1" t="s">
        <v>4136</v>
      </c>
      <c r="C2059" s="1" t="s">
        <v>4137</v>
      </c>
      <c r="D2059" s="1" t="s">
        <v>3989</v>
      </c>
    </row>
    <row r="2060" spans="1:4" ht="17" customHeight="1">
      <c r="A2060" s="1">
        <v>2215</v>
      </c>
      <c r="B2060" s="1" t="s">
        <v>4138</v>
      </c>
      <c r="C2060" s="1" t="s">
        <v>4139</v>
      </c>
      <c r="D2060" s="1" t="s">
        <v>3989</v>
      </c>
    </row>
    <row r="2061" spans="1:4" ht="17" customHeight="1">
      <c r="A2061" s="1">
        <v>2218</v>
      </c>
      <c r="B2061" s="1" t="s">
        <v>4140</v>
      </c>
      <c r="C2061" s="1" t="s">
        <v>4141</v>
      </c>
      <c r="D2061" s="1" t="s">
        <v>3989</v>
      </c>
    </row>
    <row r="2062" spans="1:4" ht="17" customHeight="1">
      <c r="A2062" s="1">
        <v>2219</v>
      </c>
      <c r="B2062" s="1" t="s">
        <v>4142</v>
      </c>
      <c r="C2062" s="1" t="s">
        <v>4143</v>
      </c>
      <c r="D2062" s="1" t="s">
        <v>3989</v>
      </c>
    </row>
    <row r="2063" spans="1:4" ht="17" customHeight="1">
      <c r="A2063" s="1">
        <v>2220</v>
      </c>
      <c r="B2063" s="1" t="s">
        <v>4144</v>
      </c>
      <c r="C2063" s="1" t="s">
        <v>4145</v>
      </c>
      <c r="D2063" s="1" t="s">
        <v>3989</v>
      </c>
    </row>
    <row r="2064" spans="1:4" ht="17" customHeight="1">
      <c r="A2064" s="1">
        <v>2222</v>
      </c>
      <c r="B2064" s="1" t="s">
        <v>4146</v>
      </c>
      <c r="C2064" s="1" t="s">
        <v>4147</v>
      </c>
      <c r="D2064" s="1" t="s">
        <v>3989</v>
      </c>
    </row>
    <row r="2065" spans="1:4" ht="17" customHeight="1">
      <c r="A2065" s="1">
        <v>2225</v>
      </c>
      <c r="B2065" s="1" t="s">
        <v>4148</v>
      </c>
      <c r="C2065" s="1" t="s">
        <v>4149</v>
      </c>
      <c r="D2065" s="1" t="s">
        <v>3989</v>
      </c>
    </row>
    <row r="2066" spans="1:4" ht="17" customHeight="1">
      <c r="A2066" s="1">
        <v>2226</v>
      </c>
      <c r="B2066" s="1" t="s">
        <v>4150</v>
      </c>
      <c r="C2066" s="1" t="s">
        <v>4151</v>
      </c>
      <c r="D2066" s="1" t="s">
        <v>3989</v>
      </c>
    </row>
    <row r="2067" spans="1:4" ht="17" customHeight="1">
      <c r="A2067" s="1">
        <v>2311</v>
      </c>
      <c r="B2067" s="1" t="s">
        <v>4152</v>
      </c>
      <c r="C2067" s="1" t="s">
        <v>4153</v>
      </c>
      <c r="D2067" s="1" t="s">
        <v>3989</v>
      </c>
    </row>
    <row r="2068" spans="1:4" ht="17" customHeight="1">
      <c r="A2068" s="1">
        <v>2325</v>
      </c>
      <c r="B2068" s="1" t="s">
        <v>4154</v>
      </c>
      <c r="C2068" s="1" t="s">
        <v>4155</v>
      </c>
      <c r="D2068" s="1" t="s">
        <v>3989</v>
      </c>
    </row>
    <row r="2069" spans="1:4" ht="17" customHeight="1">
      <c r="A2069" s="1">
        <v>2384</v>
      </c>
      <c r="B2069" s="1" t="s">
        <v>4156</v>
      </c>
      <c r="C2069" s="1" t="s">
        <v>4157</v>
      </c>
      <c r="D2069" s="1" t="s">
        <v>3989</v>
      </c>
    </row>
    <row r="2070" spans="1:4" ht="17" customHeight="1">
      <c r="A2070" s="1">
        <v>2549</v>
      </c>
      <c r="B2070" s="1" t="s">
        <v>4158</v>
      </c>
      <c r="C2070" s="1" t="s">
        <v>4159</v>
      </c>
      <c r="D2070" s="1" t="s">
        <v>3989</v>
      </c>
    </row>
    <row r="2071" spans="1:4" ht="17" customHeight="1">
      <c r="A2071" s="1">
        <v>2557</v>
      </c>
      <c r="B2071" s="1" t="s">
        <v>4160</v>
      </c>
      <c r="C2071" s="1" t="s">
        <v>4161</v>
      </c>
      <c r="D2071" s="1" t="s">
        <v>3989</v>
      </c>
    </row>
    <row r="2072" spans="1:4" ht="17" customHeight="1">
      <c r="A2072" s="1">
        <v>2568</v>
      </c>
      <c r="B2072" s="1" t="s">
        <v>4162</v>
      </c>
      <c r="C2072" s="1" t="s">
        <v>4163</v>
      </c>
      <c r="D2072" s="1" t="s">
        <v>3989</v>
      </c>
    </row>
    <row r="2073" spans="1:4" ht="17" customHeight="1">
      <c r="A2073" s="1">
        <v>2579</v>
      </c>
      <c r="B2073" s="1" t="s">
        <v>4164</v>
      </c>
      <c r="C2073" s="1" t="s">
        <v>4165</v>
      </c>
      <c r="D2073" s="1" t="s">
        <v>3989</v>
      </c>
    </row>
    <row r="2074" spans="1:4" ht="17" customHeight="1">
      <c r="A2074" s="1">
        <v>2580</v>
      </c>
      <c r="B2074" s="1" t="s">
        <v>4166</v>
      </c>
      <c r="C2074" s="1" t="s">
        <v>4167</v>
      </c>
      <c r="D2074" s="1" t="s">
        <v>3989</v>
      </c>
    </row>
    <row r="2075" spans="1:4" ht="17" customHeight="1">
      <c r="A2075" s="1">
        <v>2619</v>
      </c>
      <c r="B2075" s="1" t="s">
        <v>4168</v>
      </c>
      <c r="C2075" s="1" t="s">
        <v>4169</v>
      </c>
      <c r="D2075" s="1" t="s">
        <v>3989</v>
      </c>
    </row>
    <row r="2076" spans="1:4" ht="17" customHeight="1">
      <c r="A2076" s="1">
        <v>2621</v>
      </c>
      <c r="B2076" s="1" t="s">
        <v>4170</v>
      </c>
      <c r="C2076" s="1" t="s">
        <v>4171</v>
      </c>
      <c r="D2076" s="1" t="s">
        <v>3989</v>
      </c>
    </row>
    <row r="2077" spans="1:4" ht="17" customHeight="1">
      <c r="A2077" s="1">
        <v>2711</v>
      </c>
      <c r="B2077" s="1" t="s">
        <v>4172</v>
      </c>
      <c r="C2077" s="1" t="s">
        <v>4173</v>
      </c>
      <c r="D2077" s="1" t="s">
        <v>3989</v>
      </c>
    </row>
    <row r="2078" spans="1:4" ht="17" customHeight="1">
      <c r="A2078" s="1">
        <v>2716</v>
      </c>
      <c r="B2078" s="1" t="s">
        <v>4174</v>
      </c>
      <c r="C2078" s="1" t="s">
        <v>4175</v>
      </c>
      <c r="D2078" s="1" t="s">
        <v>3989</v>
      </c>
    </row>
    <row r="2079" spans="1:4" ht="17" customHeight="1">
      <c r="A2079" s="1">
        <v>2751</v>
      </c>
      <c r="B2079" s="1" t="s">
        <v>4176</v>
      </c>
      <c r="C2079" s="1" t="s">
        <v>4177</v>
      </c>
      <c r="D2079" s="1" t="s">
        <v>3989</v>
      </c>
    </row>
    <row r="2080" spans="1:4" ht="17" customHeight="1">
      <c r="A2080" s="1">
        <v>2753</v>
      </c>
      <c r="B2080" s="1" t="s">
        <v>4178</v>
      </c>
      <c r="C2080" s="1" t="s">
        <v>4179</v>
      </c>
      <c r="D2080" s="1" t="s">
        <v>3989</v>
      </c>
    </row>
    <row r="2081" spans="1:4" ht="17" customHeight="1">
      <c r="A2081" s="1">
        <v>2807</v>
      </c>
      <c r="B2081" s="1" t="s">
        <v>4180</v>
      </c>
      <c r="C2081" s="1" t="s">
        <v>4181</v>
      </c>
      <c r="D2081" s="1" t="s">
        <v>3989</v>
      </c>
    </row>
    <row r="2082" spans="1:4" ht="17" customHeight="1">
      <c r="A2082" s="1">
        <v>2833</v>
      </c>
      <c r="B2082" s="1" t="s">
        <v>4182</v>
      </c>
      <c r="C2082" s="1" t="s">
        <v>4183</v>
      </c>
      <c r="D2082" s="1" t="s">
        <v>3989</v>
      </c>
    </row>
    <row r="2083" spans="1:4" ht="17" customHeight="1">
      <c r="A2083" s="1">
        <v>2837</v>
      </c>
      <c r="B2083" s="1" t="s">
        <v>4184</v>
      </c>
      <c r="C2083" s="1" t="s">
        <v>4185</v>
      </c>
      <c r="D2083" s="1" t="s">
        <v>3989</v>
      </c>
    </row>
    <row r="2084" spans="1:4" ht="17" customHeight="1">
      <c r="A2084" s="1">
        <v>2848</v>
      </c>
      <c r="B2084" s="1" t="s">
        <v>4186</v>
      </c>
      <c r="C2084" s="1" t="s">
        <v>4187</v>
      </c>
      <c r="D2084" s="1" t="s">
        <v>3989</v>
      </c>
    </row>
    <row r="2085" spans="1:4" ht="17" customHeight="1">
      <c r="A2085" s="1">
        <v>2856</v>
      </c>
      <c r="B2085" s="1" t="s">
        <v>4188</v>
      </c>
      <c r="C2085" s="1" t="s">
        <v>4189</v>
      </c>
      <c r="D2085" s="1" t="s">
        <v>3989</v>
      </c>
    </row>
    <row r="2086" spans="1:4" ht="17" customHeight="1">
      <c r="A2086" s="1">
        <v>2858</v>
      </c>
      <c r="B2086" s="1" t="s">
        <v>4190</v>
      </c>
      <c r="C2086" s="1" t="s">
        <v>4191</v>
      </c>
      <c r="D2086" s="1" t="s">
        <v>3989</v>
      </c>
    </row>
    <row r="2087" spans="1:4" ht="17" customHeight="1">
      <c r="A2087" s="1">
        <v>2863</v>
      </c>
      <c r="B2087" s="1" t="s">
        <v>4192</v>
      </c>
      <c r="C2087" s="1" t="s">
        <v>4193</v>
      </c>
      <c r="D2087" s="1" t="s">
        <v>3989</v>
      </c>
    </row>
    <row r="2088" spans="1:4" ht="17" customHeight="1">
      <c r="A2088" s="1">
        <v>2872</v>
      </c>
      <c r="B2088" s="1" t="s">
        <v>4194</v>
      </c>
      <c r="C2088" s="1" t="s">
        <v>4195</v>
      </c>
      <c r="D2088" s="1" t="s">
        <v>3989</v>
      </c>
    </row>
    <row r="2089" spans="1:4" ht="17" customHeight="1">
      <c r="A2089" s="1">
        <v>2873</v>
      </c>
      <c r="B2089" s="1" t="s">
        <v>4196</v>
      </c>
      <c r="C2089" s="1" t="s">
        <v>4197</v>
      </c>
      <c r="D2089" s="1" t="s">
        <v>3989</v>
      </c>
    </row>
    <row r="2090" spans="1:4" ht="17" customHeight="1">
      <c r="A2090" s="1">
        <v>2874</v>
      </c>
      <c r="B2090" s="1" t="s">
        <v>4198</v>
      </c>
      <c r="C2090" s="1" t="s">
        <v>4199</v>
      </c>
      <c r="D2090" s="1" t="s">
        <v>3989</v>
      </c>
    </row>
    <row r="2091" spans="1:4" ht="17" customHeight="1">
      <c r="A2091" s="1">
        <v>2876</v>
      </c>
      <c r="B2091" s="1" t="s">
        <v>4200</v>
      </c>
      <c r="C2091" s="1" t="s">
        <v>4201</v>
      </c>
      <c r="D2091" s="1" t="s">
        <v>3989</v>
      </c>
    </row>
    <row r="2092" spans="1:4" ht="17" customHeight="1">
      <c r="A2092" s="1">
        <v>2877</v>
      </c>
      <c r="B2092" s="1" t="s">
        <v>4202</v>
      </c>
      <c r="C2092" s="1" t="s">
        <v>4203</v>
      </c>
      <c r="D2092" s="1" t="s">
        <v>3989</v>
      </c>
    </row>
    <row r="2093" spans="1:4" ht="17" customHeight="1">
      <c r="A2093" s="1">
        <v>2893</v>
      </c>
      <c r="B2093" s="1" t="s">
        <v>4204</v>
      </c>
      <c r="C2093" s="1" t="s">
        <v>4205</v>
      </c>
      <c r="D2093" s="1" t="s">
        <v>3989</v>
      </c>
    </row>
    <row r="2094" spans="1:4" ht="17" customHeight="1">
      <c r="A2094" s="1">
        <v>2894</v>
      </c>
      <c r="B2094" s="1" t="s">
        <v>4206</v>
      </c>
      <c r="C2094" s="1" t="s">
        <v>4207</v>
      </c>
      <c r="D2094" s="1" t="s">
        <v>3989</v>
      </c>
    </row>
    <row r="2095" spans="1:4" ht="17" customHeight="1">
      <c r="A2095" s="1">
        <v>2895</v>
      </c>
      <c r="B2095" s="1" t="s">
        <v>4208</v>
      </c>
      <c r="C2095" s="1" t="s">
        <v>4209</v>
      </c>
      <c r="D2095" s="1" t="s">
        <v>3989</v>
      </c>
    </row>
    <row r="2096" spans="1:4" ht="17" customHeight="1">
      <c r="A2096" s="1">
        <v>2899</v>
      </c>
      <c r="B2096" s="1" t="s">
        <v>4210</v>
      </c>
      <c r="C2096" s="1" t="s">
        <v>4211</v>
      </c>
      <c r="D2096" s="1" t="s">
        <v>3989</v>
      </c>
    </row>
    <row r="2097" spans="1:4" ht="17" customHeight="1">
      <c r="A2097" s="1">
        <v>2920</v>
      </c>
      <c r="B2097" s="1" t="s">
        <v>4212</v>
      </c>
      <c r="C2097" s="1" t="s">
        <v>4213</v>
      </c>
      <c r="D2097" s="1" t="s">
        <v>3989</v>
      </c>
    </row>
    <row r="2098" spans="1:4" ht="17" customHeight="1">
      <c r="A2098" s="1">
        <v>2940</v>
      </c>
      <c r="B2098" s="1" t="s">
        <v>4214</v>
      </c>
      <c r="C2098" s="1" t="s">
        <v>4215</v>
      </c>
      <c r="D2098" s="1" t="s">
        <v>3989</v>
      </c>
    </row>
    <row r="2099" spans="1:4" ht="17" customHeight="1">
      <c r="A2099" s="1">
        <v>2941</v>
      </c>
      <c r="B2099" s="1" t="s">
        <v>4216</v>
      </c>
      <c r="C2099" s="1" t="s">
        <v>4217</v>
      </c>
      <c r="D2099" s="1" t="s">
        <v>3989</v>
      </c>
    </row>
    <row r="2100" spans="1:4" ht="17" customHeight="1">
      <c r="A2100" s="1">
        <v>3151</v>
      </c>
      <c r="B2100" s="1" t="s">
        <v>4218</v>
      </c>
      <c r="C2100" s="1" t="s">
        <v>4219</v>
      </c>
      <c r="D2100" s="1" t="s">
        <v>3989</v>
      </c>
    </row>
    <row r="2101" spans="1:4" ht="17" customHeight="1">
      <c r="A2101" s="1">
        <v>3157</v>
      </c>
      <c r="B2101" s="1" t="s">
        <v>4220</v>
      </c>
      <c r="C2101" s="1" t="s">
        <v>4221</v>
      </c>
      <c r="D2101" s="1" t="s">
        <v>3989</v>
      </c>
    </row>
    <row r="2102" spans="1:4" ht="17" customHeight="1">
      <c r="A2102" s="1">
        <v>3197</v>
      </c>
      <c r="B2102" s="1" t="s">
        <v>4222</v>
      </c>
      <c r="C2102" s="1" t="s">
        <v>4223</v>
      </c>
      <c r="D2102" s="1" t="s">
        <v>3989</v>
      </c>
    </row>
    <row r="2103" spans="1:4" ht="17" customHeight="1">
      <c r="A2103" s="1">
        <v>3280</v>
      </c>
      <c r="B2103" s="1" t="s">
        <v>4224</v>
      </c>
      <c r="C2103" s="1" t="s">
        <v>4225</v>
      </c>
      <c r="D2103" s="1" t="s">
        <v>3989</v>
      </c>
    </row>
    <row r="2104" spans="1:4" ht="17" customHeight="1">
      <c r="A2104" s="1">
        <v>3342</v>
      </c>
      <c r="B2104" s="1" t="s">
        <v>4226</v>
      </c>
      <c r="C2104" s="1" t="s">
        <v>4227</v>
      </c>
      <c r="D2104" s="1" t="s">
        <v>3989</v>
      </c>
    </row>
    <row r="2105" spans="1:4" ht="17" customHeight="1">
      <c r="A2105" s="1">
        <v>3369</v>
      </c>
      <c r="B2105" s="1" t="s">
        <v>4228</v>
      </c>
      <c r="C2105" s="1" t="s">
        <v>4229</v>
      </c>
      <c r="D2105" s="1" t="s">
        <v>3989</v>
      </c>
    </row>
    <row r="2106" spans="1:4" ht="17" customHeight="1">
      <c r="A2106" s="1">
        <v>3386</v>
      </c>
      <c r="B2106" s="1" t="s">
        <v>4230</v>
      </c>
      <c r="C2106" s="1" t="s">
        <v>4231</v>
      </c>
      <c r="D2106" s="1" t="s">
        <v>3989</v>
      </c>
    </row>
    <row r="2107" spans="1:4" ht="17" customHeight="1">
      <c r="A2107" s="1">
        <v>3405</v>
      </c>
      <c r="B2107" s="1" t="s">
        <v>4232</v>
      </c>
      <c r="C2107" s="1" t="s">
        <v>4233</v>
      </c>
      <c r="D2107" s="1" t="s">
        <v>3989</v>
      </c>
    </row>
    <row r="2108" spans="1:4" ht="17" customHeight="1">
      <c r="A2108" s="1">
        <v>3447</v>
      </c>
      <c r="B2108" s="1" t="s">
        <v>4234</v>
      </c>
      <c r="C2108" s="1" t="s">
        <v>4235</v>
      </c>
      <c r="D2108" s="1" t="s">
        <v>3989</v>
      </c>
    </row>
    <row r="2109" spans="1:4" ht="17" customHeight="1">
      <c r="A2109" s="1">
        <v>3462</v>
      </c>
      <c r="B2109" s="1" t="s">
        <v>4237</v>
      </c>
      <c r="C2109" s="1" t="s">
        <v>4238</v>
      </c>
      <c r="D2109" s="1" t="s">
        <v>3989</v>
      </c>
    </row>
    <row r="2110" spans="1:4" ht="17" customHeight="1">
      <c r="A2110" s="1">
        <v>3463</v>
      </c>
      <c r="B2110" s="1" t="s">
        <v>4239</v>
      </c>
      <c r="C2110" s="1" t="s">
        <v>4240</v>
      </c>
      <c r="D2110" s="1" t="s">
        <v>3989</v>
      </c>
    </row>
    <row r="2111" spans="1:4" ht="17" customHeight="1">
      <c r="A2111" s="1">
        <v>3472</v>
      </c>
      <c r="B2111" s="1" t="s">
        <v>4241</v>
      </c>
      <c r="C2111" s="1" t="s">
        <v>4242</v>
      </c>
      <c r="D2111" s="1" t="s">
        <v>3989</v>
      </c>
    </row>
    <row r="2112" spans="1:4" ht="17" customHeight="1">
      <c r="A2112" s="1">
        <v>3507</v>
      </c>
      <c r="B2112" s="1" t="s">
        <v>4243</v>
      </c>
      <c r="C2112" s="1" t="s">
        <v>4244</v>
      </c>
      <c r="D2112" s="1" t="s">
        <v>3989</v>
      </c>
    </row>
    <row r="2113" spans="1:4" ht="17" customHeight="1">
      <c r="A2113" s="1">
        <v>3509</v>
      </c>
      <c r="B2113" s="1" t="s">
        <v>4245</v>
      </c>
      <c r="C2113" s="1" t="s">
        <v>4246</v>
      </c>
      <c r="D2113" s="1" t="s">
        <v>3989</v>
      </c>
    </row>
    <row r="2114" spans="1:4" ht="17" customHeight="1">
      <c r="A2114" s="1">
        <v>3510</v>
      </c>
      <c r="B2114" s="1" t="s">
        <v>4247</v>
      </c>
      <c r="C2114" s="1" t="s">
        <v>4248</v>
      </c>
      <c r="D2114" s="1" t="s">
        <v>3989</v>
      </c>
    </row>
    <row r="2115" spans="1:4" ht="17" customHeight="1">
      <c r="A2115" s="1">
        <v>3525</v>
      </c>
      <c r="B2115" s="1" t="s">
        <v>4249</v>
      </c>
      <c r="C2115" s="1" t="s">
        <v>4250</v>
      </c>
      <c r="D2115" s="1" t="s">
        <v>3989</v>
      </c>
    </row>
    <row r="2116" spans="1:4" ht="17" customHeight="1">
      <c r="A2116" s="1">
        <v>3539</v>
      </c>
      <c r="B2116" s="1" t="s">
        <v>4251</v>
      </c>
      <c r="C2116" s="1" t="s">
        <v>4252</v>
      </c>
      <c r="D2116" s="1" t="s">
        <v>3989</v>
      </c>
    </row>
    <row r="2117" spans="1:4" ht="17" customHeight="1">
      <c r="A2117" s="1">
        <v>3554</v>
      </c>
      <c r="B2117" s="1" t="s">
        <v>4253</v>
      </c>
      <c r="C2117" s="1" t="s">
        <v>4254</v>
      </c>
      <c r="D2117" s="1" t="s">
        <v>3989</v>
      </c>
    </row>
    <row r="2118" spans="1:4" ht="17" customHeight="1">
      <c r="A2118" s="1">
        <v>3566</v>
      </c>
      <c r="B2118" s="1" t="s">
        <v>4255</v>
      </c>
      <c r="C2118" s="1" t="s">
        <v>4256</v>
      </c>
      <c r="D2118" s="1" t="s">
        <v>3989</v>
      </c>
    </row>
    <row r="2119" spans="1:4" ht="17" customHeight="1">
      <c r="A2119" s="1">
        <v>3572</v>
      </c>
      <c r="B2119" s="1" t="s">
        <v>4257</v>
      </c>
      <c r="C2119" s="1" t="s">
        <v>4258</v>
      </c>
      <c r="D2119" s="1" t="s">
        <v>3989</v>
      </c>
    </row>
    <row r="2120" spans="1:4" ht="17" customHeight="1">
      <c r="A2120" s="1">
        <v>3601</v>
      </c>
      <c r="B2120" s="1" t="s">
        <v>3573</v>
      </c>
      <c r="C2120" s="1" t="s">
        <v>3574</v>
      </c>
      <c r="D2120" s="1" t="s">
        <v>3989</v>
      </c>
    </row>
    <row r="2121" spans="1:4" ht="17" customHeight="1">
      <c r="A2121" s="1">
        <v>3637</v>
      </c>
      <c r="B2121" s="1" t="s">
        <v>4259</v>
      </c>
      <c r="C2121" s="1" t="s">
        <v>4260</v>
      </c>
      <c r="D2121" s="1" t="s">
        <v>3989</v>
      </c>
    </row>
    <row r="2122" spans="1:4" ht="17" customHeight="1">
      <c r="A2122" s="1">
        <v>3648</v>
      </c>
      <c r="B2122" s="1" t="s">
        <v>4261</v>
      </c>
      <c r="C2122" s="1" t="s">
        <v>4262</v>
      </c>
      <c r="D2122" s="1" t="s">
        <v>3989</v>
      </c>
    </row>
    <row r="2123" spans="1:4" ht="17" customHeight="1">
      <c r="A2123" s="1">
        <v>3656</v>
      </c>
      <c r="B2123" s="1" t="s">
        <v>4263</v>
      </c>
      <c r="C2123" s="1" t="s">
        <v>4264</v>
      </c>
      <c r="D2123" s="1" t="s">
        <v>3989</v>
      </c>
    </row>
    <row r="2124" spans="1:4" ht="17" customHeight="1">
      <c r="A2124" s="1">
        <v>3683</v>
      </c>
      <c r="B2124" s="1" t="s">
        <v>4265</v>
      </c>
      <c r="C2124" s="1" t="s">
        <v>4266</v>
      </c>
      <c r="D2124" s="1" t="s">
        <v>3989</v>
      </c>
    </row>
    <row r="2125" spans="1:4" ht="17" customHeight="1">
      <c r="A2125" s="1">
        <v>3690</v>
      </c>
      <c r="B2125" s="1" t="s">
        <v>4267</v>
      </c>
      <c r="C2125" s="1" t="s">
        <v>4268</v>
      </c>
      <c r="D2125" s="1" t="s">
        <v>3989</v>
      </c>
    </row>
    <row r="2126" spans="1:4" ht="17" customHeight="1">
      <c r="A2126" s="1">
        <v>4115</v>
      </c>
      <c r="B2126" s="1" t="s">
        <v>4269</v>
      </c>
      <c r="C2126" s="1" t="s">
        <v>4270</v>
      </c>
      <c r="D2126" s="1" t="s">
        <v>3989</v>
      </c>
    </row>
    <row r="2127" spans="1:4" ht="17" customHeight="1">
      <c r="A2127" s="1">
        <v>4118</v>
      </c>
      <c r="B2127" s="1" t="s">
        <v>4271</v>
      </c>
      <c r="C2127" s="1" t="s">
        <v>4272</v>
      </c>
      <c r="D2127" s="1" t="s">
        <v>3989</v>
      </c>
    </row>
    <row r="2128" spans="1:4" ht="17" customHeight="1">
      <c r="A2128" s="1">
        <v>4184</v>
      </c>
      <c r="B2128" s="1" t="s">
        <v>4274</v>
      </c>
      <c r="C2128" s="1" t="s">
        <v>4275</v>
      </c>
      <c r="D2128" s="1" t="s">
        <v>3989</v>
      </c>
    </row>
    <row r="2129" spans="1:4" ht="17" customHeight="1">
      <c r="A2129" s="1">
        <v>4189</v>
      </c>
      <c r="B2129" s="1" t="s">
        <v>4276</v>
      </c>
      <c r="C2129" s="1" t="s">
        <v>4277</v>
      </c>
      <c r="D2129" s="1" t="s">
        <v>3989</v>
      </c>
    </row>
    <row r="2130" spans="1:4" ht="17" customHeight="1">
      <c r="A2130" s="1">
        <v>4427</v>
      </c>
      <c r="B2130" s="1" t="s">
        <v>4278</v>
      </c>
      <c r="C2130" s="1" t="s">
        <v>4279</v>
      </c>
      <c r="D2130" s="1" t="s">
        <v>3989</v>
      </c>
    </row>
    <row r="2131" spans="1:4" ht="17" customHeight="1">
      <c r="A2131" s="1">
        <v>4539</v>
      </c>
      <c r="B2131" s="1" t="s">
        <v>4280</v>
      </c>
      <c r="C2131" s="1" t="s">
        <v>4281</v>
      </c>
      <c r="D2131" s="1" t="s">
        <v>3989</v>
      </c>
    </row>
    <row r="2132" spans="1:4" ht="17" customHeight="1">
      <c r="A2132" s="1">
        <v>4547</v>
      </c>
      <c r="B2132" s="1" t="s">
        <v>4282</v>
      </c>
      <c r="C2132" s="1" t="s">
        <v>4283</v>
      </c>
      <c r="D2132" s="1" t="s">
        <v>3989</v>
      </c>
    </row>
    <row r="2133" spans="1:4" ht="17" customHeight="1">
      <c r="A2133" s="1">
        <v>4548</v>
      </c>
      <c r="B2133" s="1" t="s">
        <v>4284</v>
      </c>
      <c r="C2133" s="1" t="s">
        <v>4285</v>
      </c>
      <c r="D2133" s="1" t="s">
        <v>3989</v>
      </c>
    </row>
    <row r="2134" spans="1:4" ht="17" customHeight="1">
      <c r="A2134" s="1">
        <v>4577</v>
      </c>
      <c r="B2134" s="1" t="s">
        <v>4286</v>
      </c>
      <c r="C2134" s="1" t="s">
        <v>4287</v>
      </c>
      <c r="D2134" s="1" t="s">
        <v>3989</v>
      </c>
    </row>
    <row r="2135" spans="1:4" ht="17" customHeight="1">
      <c r="A2135" s="1">
        <v>4724</v>
      </c>
      <c r="B2135" s="1" t="s">
        <v>4288</v>
      </c>
      <c r="C2135" s="1" t="s">
        <v>4289</v>
      </c>
      <c r="D2135" s="1" t="s">
        <v>3989</v>
      </c>
    </row>
    <row r="2136" spans="1:4" ht="17" customHeight="1">
      <c r="A2136" s="1">
        <v>4752</v>
      </c>
      <c r="B2136" s="1" t="s">
        <v>4290</v>
      </c>
      <c r="C2136" s="1" t="s">
        <v>4291</v>
      </c>
      <c r="D2136" s="1" t="s">
        <v>3989</v>
      </c>
    </row>
    <row r="2137" spans="1:4" ht="17" customHeight="1">
      <c r="A2137" s="1">
        <v>4920</v>
      </c>
      <c r="B2137" s="1" t="s">
        <v>4292</v>
      </c>
      <c r="C2137" s="1" t="s">
        <v>4293</v>
      </c>
      <c r="D2137" s="1" t="s">
        <v>3989</v>
      </c>
    </row>
    <row r="2138" spans="1:4" ht="17" customHeight="1">
      <c r="A2138" s="1">
        <v>4949</v>
      </c>
      <c r="B2138" s="1" t="s">
        <v>4294</v>
      </c>
      <c r="C2138" s="1" t="s">
        <v>4295</v>
      </c>
      <c r="D2138" s="1" t="s">
        <v>3989</v>
      </c>
    </row>
    <row r="2139" spans="1:4" ht="17" customHeight="1">
      <c r="A2139" s="1">
        <v>4981</v>
      </c>
      <c r="B2139" s="1" t="s">
        <v>4296</v>
      </c>
      <c r="C2139" s="1" t="s">
        <v>4297</v>
      </c>
      <c r="D2139" s="1" t="s">
        <v>3989</v>
      </c>
    </row>
    <row r="2140" spans="1:4" ht="17" customHeight="1">
      <c r="A2140" s="1">
        <v>4985</v>
      </c>
      <c r="B2140" s="1" t="s">
        <v>4298</v>
      </c>
      <c r="C2140" s="1" t="s">
        <v>4299</v>
      </c>
      <c r="D2140" s="1" t="s">
        <v>3989</v>
      </c>
    </row>
    <row r="2141" spans="1:4" ht="17" customHeight="1">
      <c r="A2141" s="1">
        <v>5219</v>
      </c>
      <c r="B2141" s="1" t="s">
        <v>4300</v>
      </c>
      <c r="C2141" s="1" t="s">
        <v>4301</v>
      </c>
      <c r="D2141" s="1" t="s">
        <v>3989</v>
      </c>
    </row>
    <row r="2142" spans="1:4" ht="17" customHeight="1">
      <c r="A2142" s="1">
        <v>5236</v>
      </c>
      <c r="B2142" s="1" t="s">
        <v>4302</v>
      </c>
      <c r="C2142" s="1" t="s">
        <v>4303</v>
      </c>
      <c r="D2142" s="1" t="s">
        <v>3989</v>
      </c>
    </row>
    <row r="2143" spans="1:4" ht="17" customHeight="1">
      <c r="A2143" s="1">
        <v>5246</v>
      </c>
      <c r="B2143" s="1" t="s">
        <v>4304</v>
      </c>
      <c r="C2143" s="1" t="s">
        <v>4305</v>
      </c>
      <c r="D2143" s="1" t="s">
        <v>3989</v>
      </c>
    </row>
    <row r="2144" spans="1:4" ht="17" customHeight="1">
      <c r="A2144" s="1">
        <v>5256</v>
      </c>
      <c r="B2144" s="1" t="s">
        <v>4306</v>
      </c>
      <c r="C2144" s="1" t="s">
        <v>4307</v>
      </c>
      <c r="D2144" s="1" t="s">
        <v>3989</v>
      </c>
    </row>
    <row r="2145" spans="1:4" ht="17" customHeight="1">
      <c r="A2145" s="1">
        <v>5260</v>
      </c>
      <c r="B2145" s="1" t="s">
        <v>4309</v>
      </c>
      <c r="C2145" s="1" t="s">
        <v>4310</v>
      </c>
      <c r="D2145" s="1" t="s">
        <v>3989</v>
      </c>
    </row>
    <row r="2146" spans="1:4" ht="17" customHeight="1">
      <c r="A2146" s="1">
        <v>5268</v>
      </c>
      <c r="B2146" s="1" t="s">
        <v>4311</v>
      </c>
      <c r="C2146" s="1" t="s">
        <v>4312</v>
      </c>
      <c r="D2146" s="1" t="s">
        <v>3989</v>
      </c>
    </row>
    <row r="2147" spans="1:4" ht="17" customHeight="1">
      <c r="A2147" s="1">
        <v>5286</v>
      </c>
      <c r="B2147" s="1" t="s">
        <v>4313</v>
      </c>
      <c r="C2147" s="1" t="s">
        <v>4314</v>
      </c>
      <c r="D2147" s="1" t="s">
        <v>3989</v>
      </c>
    </row>
    <row r="2148" spans="1:4" ht="17" customHeight="1">
      <c r="A2148" s="1">
        <v>5294</v>
      </c>
      <c r="B2148" s="1" t="s">
        <v>3691</v>
      </c>
      <c r="C2148" s="1" t="s">
        <v>3692</v>
      </c>
      <c r="D2148" s="1" t="s">
        <v>3989</v>
      </c>
    </row>
    <row r="2149" spans="1:4" ht="17" customHeight="1">
      <c r="A2149" s="1">
        <v>5295</v>
      </c>
      <c r="B2149" s="1" t="s">
        <v>4315</v>
      </c>
      <c r="C2149" s="1" t="s">
        <v>4316</v>
      </c>
      <c r="D2149" s="1" t="s">
        <v>3989</v>
      </c>
    </row>
    <row r="2150" spans="1:4" ht="17" customHeight="1">
      <c r="A2150" s="1">
        <v>5298</v>
      </c>
      <c r="B2150" s="1" t="s">
        <v>4317</v>
      </c>
      <c r="C2150" s="1" t="s">
        <v>4318</v>
      </c>
      <c r="D2150" s="1" t="s">
        <v>3989</v>
      </c>
    </row>
    <row r="2151" spans="1:4" ht="17" customHeight="1">
      <c r="A2151" s="1">
        <v>5346</v>
      </c>
      <c r="B2151" s="1" t="s">
        <v>4319</v>
      </c>
      <c r="C2151" s="1" t="s">
        <v>4320</v>
      </c>
      <c r="D2151" s="1" t="s">
        <v>3989</v>
      </c>
    </row>
    <row r="2152" spans="1:4" ht="17" customHeight="1">
      <c r="A2152" s="1">
        <v>5387</v>
      </c>
      <c r="B2152" s="1" t="s">
        <v>4321</v>
      </c>
      <c r="C2152" s="1" t="s">
        <v>4322</v>
      </c>
      <c r="D2152" s="1" t="s">
        <v>3989</v>
      </c>
    </row>
    <row r="2153" spans="1:4" ht="17" customHeight="1">
      <c r="A2153" s="1">
        <v>5541</v>
      </c>
      <c r="B2153" s="1" t="s">
        <v>4323</v>
      </c>
      <c r="C2153" s="1" t="s">
        <v>4324</v>
      </c>
      <c r="D2153" s="1" t="s">
        <v>3989</v>
      </c>
    </row>
    <row r="2154" spans="1:4" ht="17" customHeight="1">
      <c r="A2154" s="1">
        <v>5546</v>
      </c>
      <c r="B2154" s="1" t="s">
        <v>7129</v>
      </c>
      <c r="C2154" s="1" t="s">
        <v>7130</v>
      </c>
      <c r="D2154" s="1" t="s">
        <v>3989</v>
      </c>
    </row>
    <row r="2155" spans="1:4" ht="17" customHeight="1">
      <c r="A2155" s="1">
        <v>5827</v>
      </c>
      <c r="B2155" s="1" t="s">
        <v>4325</v>
      </c>
      <c r="C2155" s="1" t="s">
        <v>4326</v>
      </c>
      <c r="D2155" s="1" t="s">
        <v>3989</v>
      </c>
    </row>
    <row r="2156" spans="1:4" ht="17" customHeight="1">
      <c r="A2156" s="1">
        <v>5828</v>
      </c>
      <c r="B2156" s="1" t="s">
        <v>4327</v>
      </c>
      <c r="C2156" s="1" t="s">
        <v>4328</v>
      </c>
      <c r="D2156" s="1" t="s">
        <v>3989</v>
      </c>
    </row>
    <row r="2157" spans="1:4" ht="17" customHeight="1">
      <c r="A2157" s="1">
        <v>5830</v>
      </c>
      <c r="B2157" s="1" t="s">
        <v>4329</v>
      </c>
      <c r="C2157" s="1" t="s">
        <v>4330</v>
      </c>
      <c r="D2157" s="1" t="s">
        <v>3989</v>
      </c>
    </row>
    <row r="2158" spans="1:4" ht="17" customHeight="1">
      <c r="A2158" s="1">
        <v>5831</v>
      </c>
      <c r="B2158" s="1" t="s">
        <v>4331</v>
      </c>
      <c r="C2158" s="1" t="s">
        <v>4332</v>
      </c>
      <c r="D2158" s="1" t="s">
        <v>3989</v>
      </c>
    </row>
    <row r="2159" spans="1:4" ht="17" customHeight="1">
      <c r="A2159" s="1">
        <v>5833</v>
      </c>
      <c r="B2159" s="1" t="s">
        <v>4333</v>
      </c>
      <c r="C2159" s="1" t="s">
        <v>4334</v>
      </c>
      <c r="D2159" s="1" t="s">
        <v>3989</v>
      </c>
    </row>
    <row r="2160" spans="1:4" ht="17" customHeight="1">
      <c r="A2160" s="1">
        <v>5834</v>
      </c>
      <c r="B2160" s="1" t="s">
        <v>4335</v>
      </c>
      <c r="C2160" s="1" t="s">
        <v>4336</v>
      </c>
      <c r="D2160" s="1" t="s">
        <v>3989</v>
      </c>
    </row>
    <row r="2161" spans="1:4" ht="17" customHeight="1">
      <c r="A2161" s="1">
        <v>5835</v>
      </c>
      <c r="B2161" s="1" t="s">
        <v>4337</v>
      </c>
      <c r="C2161" s="1" t="s">
        <v>4338</v>
      </c>
      <c r="D2161" s="1" t="s">
        <v>3989</v>
      </c>
    </row>
    <row r="2162" spans="1:4" ht="17" customHeight="1">
      <c r="A2162" s="1">
        <v>5836</v>
      </c>
      <c r="B2162" s="1" t="s">
        <v>4339</v>
      </c>
      <c r="C2162" s="1" t="s">
        <v>4340</v>
      </c>
      <c r="D2162" s="1" t="s">
        <v>3989</v>
      </c>
    </row>
    <row r="2163" spans="1:4" ht="17" customHeight="1">
      <c r="A2163" s="1">
        <v>5838</v>
      </c>
      <c r="B2163" s="1" t="s">
        <v>4341</v>
      </c>
      <c r="C2163" s="1" t="s">
        <v>4342</v>
      </c>
      <c r="D2163" s="1" t="s">
        <v>3989</v>
      </c>
    </row>
    <row r="2164" spans="1:4" ht="17" customHeight="1">
      <c r="A2164" s="1">
        <v>5839</v>
      </c>
      <c r="B2164" s="1" t="s">
        <v>4343</v>
      </c>
      <c r="C2164" s="1" t="s">
        <v>4344</v>
      </c>
      <c r="D2164" s="1" t="s">
        <v>3989</v>
      </c>
    </row>
    <row r="2165" spans="1:4" ht="17" customHeight="1">
      <c r="A2165" s="1">
        <v>5840</v>
      </c>
      <c r="B2165" s="1" t="s">
        <v>4345</v>
      </c>
      <c r="C2165" s="1" t="s">
        <v>4346</v>
      </c>
      <c r="D2165" s="1" t="s">
        <v>3989</v>
      </c>
    </row>
    <row r="2166" spans="1:4" ht="17" customHeight="1">
      <c r="A2166" s="1">
        <v>5841</v>
      </c>
      <c r="B2166" s="1" t="s">
        <v>4347</v>
      </c>
      <c r="C2166" s="1" t="s">
        <v>4348</v>
      </c>
      <c r="D2166" s="1" t="s">
        <v>3989</v>
      </c>
    </row>
    <row r="2167" spans="1:4" ht="17" customHeight="1">
      <c r="A2167" s="1">
        <v>5842</v>
      </c>
      <c r="B2167" s="1" t="s">
        <v>4349</v>
      </c>
      <c r="C2167" s="1" t="s">
        <v>4350</v>
      </c>
      <c r="D2167" s="1" t="s">
        <v>3989</v>
      </c>
    </row>
    <row r="2168" spans="1:4" ht="17" customHeight="1">
      <c r="A2168" s="1">
        <v>5843</v>
      </c>
      <c r="B2168" s="1" t="s">
        <v>4351</v>
      </c>
      <c r="C2168" s="1" t="s">
        <v>4352</v>
      </c>
      <c r="D2168" s="1" t="s">
        <v>3989</v>
      </c>
    </row>
    <row r="2169" spans="1:4" ht="17" customHeight="1">
      <c r="A2169" s="1">
        <v>5844</v>
      </c>
      <c r="B2169" s="1" t="s">
        <v>4353</v>
      </c>
      <c r="C2169" s="1" t="s">
        <v>4354</v>
      </c>
      <c r="D2169" s="1" t="s">
        <v>3989</v>
      </c>
    </row>
    <row r="2170" spans="1:4" ht="17" customHeight="1">
      <c r="A2170" s="1">
        <v>5846</v>
      </c>
      <c r="B2170" s="1" t="s">
        <v>4355</v>
      </c>
      <c r="C2170" s="1" t="s">
        <v>4356</v>
      </c>
      <c r="D2170" s="1" t="s">
        <v>3989</v>
      </c>
    </row>
    <row r="2171" spans="1:4" ht="17" customHeight="1">
      <c r="A2171" s="1">
        <v>5847</v>
      </c>
      <c r="B2171" s="1" t="s">
        <v>4357</v>
      </c>
      <c r="C2171" s="1" t="s">
        <v>4358</v>
      </c>
      <c r="D2171" s="1" t="s">
        <v>3989</v>
      </c>
    </row>
    <row r="2172" spans="1:4" ht="17" customHeight="1">
      <c r="A2172" s="1">
        <v>5848</v>
      </c>
      <c r="B2172" s="1" t="s">
        <v>4359</v>
      </c>
      <c r="C2172" s="1" t="s">
        <v>4360</v>
      </c>
      <c r="D2172" s="1" t="s">
        <v>3989</v>
      </c>
    </row>
    <row r="2173" spans="1:4" ht="17" customHeight="1">
      <c r="A2173" s="1">
        <v>5849</v>
      </c>
      <c r="B2173" s="1" t="s">
        <v>4361</v>
      </c>
      <c r="C2173" s="1" t="s">
        <v>4362</v>
      </c>
      <c r="D2173" s="1" t="s">
        <v>3989</v>
      </c>
    </row>
    <row r="2174" spans="1:4" ht="17" customHeight="1">
      <c r="A2174" s="1">
        <v>5850</v>
      </c>
      <c r="B2174" s="1" t="s">
        <v>4363</v>
      </c>
      <c r="C2174" s="1" t="s">
        <v>4364</v>
      </c>
      <c r="D2174" s="1" t="s">
        <v>3989</v>
      </c>
    </row>
    <row r="2175" spans="1:4" ht="17" customHeight="1">
      <c r="A2175" s="1">
        <v>5852</v>
      </c>
      <c r="B2175" s="1" t="s">
        <v>4365</v>
      </c>
      <c r="C2175" s="1" t="s">
        <v>4366</v>
      </c>
      <c r="D2175" s="1" t="s">
        <v>3989</v>
      </c>
    </row>
    <row r="2176" spans="1:4" ht="17" customHeight="1">
      <c r="A2176" s="1">
        <v>5854</v>
      </c>
      <c r="B2176" s="1" t="s">
        <v>4367</v>
      </c>
      <c r="C2176" s="1" t="s">
        <v>4368</v>
      </c>
      <c r="D2176" s="1" t="s">
        <v>3989</v>
      </c>
    </row>
    <row r="2177" spans="1:4" ht="17" customHeight="1">
      <c r="A2177" s="1">
        <v>5857</v>
      </c>
      <c r="B2177" s="1" t="s">
        <v>4369</v>
      </c>
      <c r="C2177" s="1" t="s">
        <v>4370</v>
      </c>
      <c r="D2177" s="1" t="s">
        <v>3989</v>
      </c>
    </row>
    <row r="2178" spans="1:4" ht="17" customHeight="1">
      <c r="A2178" s="1">
        <v>5858</v>
      </c>
      <c r="B2178" s="1" t="s">
        <v>4371</v>
      </c>
      <c r="C2178" s="1" t="s">
        <v>4372</v>
      </c>
      <c r="D2178" s="1" t="s">
        <v>3989</v>
      </c>
    </row>
    <row r="2179" spans="1:4" ht="17" customHeight="1">
      <c r="A2179" s="1">
        <v>5862</v>
      </c>
      <c r="B2179" s="1" t="s">
        <v>4373</v>
      </c>
      <c r="C2179" s="1" t="s">
        <v>4374</v>
      </c>
      <c r="D2179" s="1" t="s">
        <v>3989</v>
      </c>
    </row>
    <row r="2180" spans="1:4" ht="17" customHeight="1">
      <c r="A2180" s="1">
        <v>5865</v>
      </c>
      <c r="B2180" s="1" t="s">
        <v>4375</v>
      </c>
      <c r="C2180" s="1" t="s">
        <v>4376</v>
      </c>
      <c r="D2180" s="1" t="s">
        <v>3989</v>
      </c>
    </row>
    <row r="2181" spans="1:4" ht="17" customHeight="1">
      <c r="A2181" s="1">
        <v>5866</v>
      </c>
      <c r="B2181" s="1" t="s">
        <v>4377</v>
      </c>
      <c r="C2181" s="1" t="s">
        <v>4378</v>
      </c>
      <c r="D2181" s="1" t="s">
        <v>3989</v>
      </c>
    </row>
    <row r="2182" spans="1:4" ht="17" customHeight="1">
      <c r="A2182" s="1">
        <v>5867</v>
      </c>
      <c r="B2182" s="1" t="s">
        <v>4379</v>
      </c>
      <c r="C2182" s="1" t="s">
        <v>4380</v>
      </c>
      <c r="D2182" s="1" t="s">
        <v>3989</v>
      </c>
    </row>
    <row r="2183" spans="1:4" ht="17" customHeight="1">
      <c r="A2183" s="1">
        <v>5868</v>
      </c>
      <c r="B2183" s="1" t="s">
        <v>4381</v>
      </c>
      <c r="C2183" s="1" t="s">
        <v>4382</v>
      </c>
      <c r="D2183" s="1" t="s">
        <v>3989</v>
      </c>
    </row>
    <row r="2184" spans="1:4" ht="17" customHeight="1">
      <c r="A2184" s="1">
        <v>5870</v>
      </c>
      <c r="B2184" s="1" t="s">
        <v>4383</v>
      </c>
      <c r="C2184" s="1" t="s">
        <v>4384</v>
      </c>
      <c r="D2184" s="1" t="s">
        <v>3989</v>
      </c>
    </row>
    <row r="2185" spans="1:4" ht="17" customHeight="1">
      <c r="A2185" s="1">
        <v>5872</v>
      </c>
      <c r="B2185" s="1" t="s">
        <v>4385</v>
      </c>
      <c r="C2185" s="1" t="s">
        <v>4386</v>
      </c>
      <c r="D2185" s="1" t="s">
        <v>3989</v>
      </c>
    </row>
    <row r="2186" spans="1:4" ht="17" customHeight="1">
      <c r="A2186" s="1">
        <v>5873</v>
      </c>
      <c r="B2186" s="1" t="s">
        <v>4387</v>
      </c>
      <c r="C2186" s="1" t="s">
        <v>4388</v>
      </c>
      <c r="D2186" s="1" t="s">
        <v>3989</v>
      </c>
    </row>
    <row r="2187" spans="1:4" ht="17" customHeight="1">
      <c r="A2187" s="1">
        <v>5874</v>
      </c>
      <c r="B2187" s="1" t="s">
        <v>4389</v>
      </c>
      <c r="C2187" s="1" t="s">
        <v>4390</v>
      </c>
      <c r="D2187" s="1" t="s">
        <v>3989</v>
      </c>
    </row>
    <row r="2188" spans="1:4" ht="17" customHeight="1">
      <c r="A2188" s="1">
        <v>5875</v>
      </c>
      <c r="B2188" s="1" t="s">
        <v>4391</v>
      </c>
      <c r="C2188" s="1" t="s">
        <v>4392</v>
      </c>
      <c r="D2188" s="1" t="s">
        <v>3989</v>
      </c>
    </row>
    <row r="2189" spans="1:4" ht="17" customHeight="1">
      <c r="A2189" s="1">
        <v>5901</v>
      </c>
      <c r="B2189" s="1" t="s">
        <v>4393</v>
      </c>
      <c r="C2189" s="1" t="s">
        <v>4394</v>
      </c>
      <c r="D2189" s="1" t="s">
        <v>3989</v>
      </c>
    </row>
    <row r="2190" spans="1:4" ht="17" customHeight="1">
      <c r="A2190" s="1">
        <v>6008</v>
      </c>
      <c r="B2190" s="1" t="s">
        <v>4395</v>
      </c>
      <c r="C2190" s="1" t="s">
        <v>4396</v>
      </c>
      <c r="D2190" s="1" t="s">
        <v>3989</v>
      </c>
    </row>
    <row r="2191" spans="1:4" ht="17" customHeight="1">
      <c r="A2191" s="1">
        <v>6025</v>
      </c>
      <c r="B2191" s="1" t="s">
        <v>4397</v>
      </c>
      <c r="C2191" s="1" t="s">
        <v>4398</v>
      </c>
      <c r="D2191" s="1" t="s">
        <v>3989</v>
      </c>
    </row>
    <row r="2192" spans="1:4" ht="17" customHeight="1">
      <c r="A2192" s="1">
        <v>6427</v>
      </c>
      <c r="B2192" s="1" t="s">
        <v>4399</v>
      </c>
      <c r="C2192" s="1" t="s">
        <v>4400</v>
      </c>
      <c r="D2192" s="1" t="s">
        <v>3989</v>
      </c>
    </row>
    <row r="2193" spans="1:4" ht="17" customHeight="1">
      <c r="A2193" s="1">
        <v>6444</v>
      </c>
      <c r="B2193" s="1" t="s">
        <v>4401</v>
      </c>
      <c r="C2193" s="1" t="s">
        <v>4402</v>
      </c>
      <c r="D2193" s="1" t="s">
        <v>3989</v>
      </c>
    </row>
    <row r="2194" spans="1:4" ht="17" customHeight="1">
      <c r="A2194" s="1">
        <v>6479</v>
      </c>
      <c r="B2194" s="1" t="s">
        <v>4403</v>
      </c>
      <c r="C2194" s="1" t="s">
        <v>4404</v>
      </c>
      <c r="D2194" s="1" t="s">
        <v>3989</v>
      </c>
    </row>
    <row r="2195" spans="1:4" ht="17" customHeight="1">
      <c r="A2195" s="1">
        <v>6483</v>
      </c>
      <c r="B2195" s="1" t="s">
        <v>4405</v>
      </c>
      <c r="C2195" s="1" t="s">
        <v>4406</v>
      </c>
      <c r="D2195" s="1" t="s">
        <v>3989</v>
      </c>
    </row>
    <row r="2196" spans="1:4" ht="17" customHeight="1">
      <c r="A2196" s="1">
        <v>6484</v>
      </c>
      <c r="B2196" s="1" t="s">
        <v>4407</v>
      </c>
      <c r="C2196" s="1" t="s">
        <v>4408</v>
      </c>
      <c r="D2196" s="1" t="s">
        <v>3989</v>
      </c>
    </row>
    <row r="2197" spans="1:4" ht="17" customHeight="1">
      <c r="A2197" s="1">
        <v>6517</v>
      </c>
      <c r="B2197" s="1" t="s">
        <v>4409</v>
      </c>
      <c r="C2197" s="1" t="s">
        <v>4410</v>
      </c>
      <c r="D2197" s="1" t="s">
        <v>3989</v>
      </c>
    </row>
    <row r="2198" spans="1:4" ht="17" customHeight="1">
      <c r="A2198" s="1">
        <v>6520</v>
      </c>
      <c r="B2198" s="1" t="s">
        <v>4411</v>
      </c>
      <c r="C2198" s="1" t="s">
        <v>4412</v>
      </c>
      <c r="D2198" s="1" t="s">
        <v>3989</v>
      </c>
    </row>
    <row r="2199" spans="1:4" ht="17" customHeight="1">
      <c r="A2199" s="1">
        <v>6562</v>
      </c>
      <c r="B2199" s="1" t="s">
        <v>4413</v>
      </c>
      <c r="C2199" s="1" t="s">
        <v>4414</v>
      </c>
      <c r="D2199" s="1" t="s">
        <v>3989</v>
      </c>
    </row>
    <row r="2200" spans="1:4" ht="17" customHeight="1">
      <c r="A2200" s="1">
        <v>6563</v>
      </c>
      <c r="B2200" s="1" t="s">
        <v>4415</v>
      </c>
      <c r="C2200" s="1" t="s">
        <v>4416</v>
      </c>
      <c r="D2200" s="1" t="s">
        <v>3989</v>
      </c>
    </row>
    <row r="2201" spans="1:4" ht="17" customHeight="1">
      <c r="A2201" s="1">
        <v>6587</v>
      </c>
      <c r="B2201" s="1" t="s">
        <v>4417</v>
      </c>
      <c r="C2201" s="1" t="s">
        <v>4418</v>
      </c>
      <c r="D2201" s="1" t="s">
        <v>3989</v>
      </c>
    </row>
    <row r="2202" spans="1:4" ht="17" customHeight="1">
      <c r="A2202" s="1">
        <v>6614</v>
      </c>
      <c r="B2202" s="1" t="s">
        <v>4419</v>
      </c>
      <c r="C2202" s="1" t="s">
        <v>4420</v>
      </c>
      <c r="D2202" s="1" t="s">
        <v>3989</v>
      </c>
    </row>
    <row r="2203" spans="1:4" ht="17" customHeight="1">
      <c r="A2203" s="1">
        <v>6623</v>
      </c>
      <c r="B2203" s="1" t="s">
        <v>4421</v>
      </c>
      <c r="C2203" s="1" t="s">
        <v>4422</v>
      </c>
      <c r="D2203" s="1" t="s">
        <v>3989</v>
      </c>
    </row>
    <row r="2204" spans="1:4" ht="17" customHeight="1">
      <c r="A2204" s="1">
        <v>6635</v>
      </c>
      <c r="B2204" s="1" t="s">
        <v>4423</v>
      </c>
      <c r="C2204" s="1" t="s">
        <v>4424</v>
      </c>
      <c r="D2204" s="1" t="s">
        <v>3989</v>
      </c>
    </row>
    <row r="2205" spans="1:4" ht="17" customHeight="1">
      <c r="A2205" s="1">
        <v>6647</v>
      </c>
      <c r="B2205" s="1" t="s">
        <v>4425</v>
      </c>
      <c r="C2205" s="1" t="s">
        <v>4426</v>
      </c>
      <c r="D2205" s="1" t="s">
        <v>3989</v>
      </c>
    </row>
    <row r="2206" spans="1:4" ht="17" customHeight="1">
      <c r="A2206" s="1">
        <v>6658</v>
      </c>
      <c r="B2206" s="1" t="s">
        <v>4427</v>
      </c>
      <c r="C2206" s="1" t="s">
        <v>4428</v>
      </c>
      <c r="D2206" s="1" t="s">
        <v>3989</v>
      </c>
    </row>
    <row r="2207" spans="1:4" ht="17" customHeight="1">
      <c r="A2207" s="1">
        <v>6659</v>
      </c>
      <c r="B2207" s="1" t="s">
        <v>4429</v>
      </c>
      <c r="C2207" s="1" t="s">
        <v>4430</v>
      </c>
      <c r="D2207" s="1" t="s">
        <v>3989</v>
      </c>
    </row>
    <row r="2208" spans="1:4" ht="17" customHeight="1">
      <c r="A2208" s="1">
        <v>6660</v>
      </c>
      <c r="B2208" s="1" t="s">
        <v>4431</v>
      </c>
      <c r="C2208" s="1" t="s">
        <v>4432</v>
      </c>
      <c r="D2208" s="1" t="s">
        <v>3989</v>
      </c>
    </row>
    <row r="2209" spans="1:4" ht="17" customHeight="1">
      <c r="A2209" s="1">
        <v>6663</v>
      </c>
      <c r="B2209" s="1" t="s">
        <v>4433</v>
      </c>
      <c r="C2209" s="1" t="s">
        <v>4434</v>
      </c>
      <c r="D2209" s="1" t="s">
        <v>3989</v>
      </c>
    </row>
    <row r="2210" spans="1:4" ht="17" customHeight="1">
      <c r="A2210" s="1">
        <v>6676</v>
      </c>
      <c r="B2210" s="1" t="s">
        <v>4435</v>
      </c>
      <c r="C2210" s="1" t="s">
        <v>4436</v>
      </c>
      <c r="D2210" s="1" t="s">
        <v>3989</v>
      </c>
    </row>
    <row r="2211" spans="1:4" ht="17" customHeight="1">
      <c r="A2211" s="1">
        <v>6694</v>
      </c>
      <c r="B2211" s="1" t="s">
        <v>4437</v>
      </c>
      <c r="C2211" s="1" t="s">
        <v>4438</v>
      </c>
      <c r="D2211" s="1" t="s">
        <v>3989</v>
      </c>
    </row>
    <row r="2212" spans="1:4" ht="17" customHeight="1">
      <c r="A2212" s="1">
        <v>6704</v>
      </c>
      <c r="B2212" s="1" t="s">
        <v>4439</v>
      </c>
      <c r="C2212" s="1" t="s">
        <v>4440</v>
      </c>
      <c r="D2212" s="1" t="s">
        <v>3989</v>
      </c>
    </row>
    <row r="2213" spans="1:4" ht="17" customHeight="1">
      <c r="A2213" s="1">
        <v>6707</v>
      </c>
      <c r="B2213" s="1" t="s">
        <v>4441</v>
      </c>
      <c r="C2213" s="1" t="s">
        <v>4442</v>
      </c>
      <c r="D2213" s="1" t="s">
        <v>3989</v>
      </c>
    </row>
    <row r="2214" spans="1:4" ht="17" customHeight="1">
      <c r="A2214" s="1">
        <v>6719</v>
      </c>
      <c r="B2214" s="1" t="s">
        <v>4443</v>
      </c>
      <c r="C2214" s="1" t="s">
        <v>4444</v>
      </c>
      <c r="D2214" s="1" t="s">
        <v>3989</v>
      </c>
    </row>
    <row r="2215" spans="1:4" ht="17" customHeight="1">
      <c r="A2215" s="1">
        <v>6722</v>
      </c>
      <c r="B2215" s="1" t="s">
        <v>4445</v>
      </c>
      <c r="C2215" s="1" t="s">
        <v>4446</v>
      </c>
      <c r="D2215" s="1" t="s">
        <v>3989</v>
      </c>
    </row>
    <row r="2216" spans="1:4" ht="17" customHeight="1">
      <c r="A2216" s="1">
        <v>6725</v>
      </c>
      <c r="B2216" s="1" t="s">
        <v>4447</v>
      </c>
      <c r="C2216" s="1" t="s">
        <v>4448</v>
      </c>
      <c r="D2216" s="1" t="s">
        <v>3989</v>
      </c>
    </row>
    <row r="2217" spans="1:4" ht="17" customHeight="1">
      <c r="A2217" s="1">
        <v>6726</v>
      </c>
      <c r="B2217" s="1" t="s">
        <v>4449</v>
      </c>
      <c r="C2217" s="1" t="s">
        <v>4450</v>
      </c>
      <c r="D2217" s="1" t="s">
        <v>3989</v>
      </c>
    </row>
    <row r="2218" spans="1:4" ht="17" customHeight="1">
      <c r="A2218" s="1">
        <v>6739</v>
      </c>
      <c r="B2218" s="1" t="s">
        <v>4451</v>
      </c>
      <c r="C2218" s="1" t="s">
        <v>4452</v>
      </c>
      <c r="D2218" s="1" t="s">
        <v>3989</v>
      </c>
    </row>
    <row r="2219" spans="1:4" ht="17" customHeight="1">
      <c r="A2219" s="1">
        <v>6742</v>
      </c>
      <c r="B2219" s="1" t="s">
        <v>4453</v>
      </c>
      <c r="C2219" s="1" t="s">
        <v>4454</v>
      </c>
      <c r="D2219" s="1" t="s">
        <v>3989</v>
      </c>
    </row>
    <row r="2220" spans="1:4" ht="17" customHeight="1">
      <c r="A2220" s="1">
        <v>6746</v>
      </c>
      <c r="B2220" s="1" t="s">
        <v>4455</v>
      </c>
      <c r="C2220" s="1" t="s">
        <v>4456</v>
      </c>
      <c r="D2220" s="1" t="s">
        <v>3989</v>
      </c>
    </row>
    <row r="2221" spans="1:4" ht="17" customHeight="1">
      <c r="A2221" s="1">
        <v>6748</v>
      </c>
      <c r="B2221" s="1" t="s">
        <v>4457</v>
      </c>
      <c r="C2221" s="1" t="s">
        <v>4458</v>
      </c>
      <c r="D2221" s="1" t="s">
        <v>3989</v>
      </c>
    </row>
    <row r="2222" spans="1:4" ht="17" customHeight="1">
      <c r="A2222" s="1">
        <v>6749</v>
      </c>
      <c r="B2222" s="1" t="s">
        <v>4459</v>
      </c>
      <c r="C2222" s="1" t="s">
        <v>4460</v>
      </c>
      <c r="D2222" s="1" t="s">
        <v>3989</v>
      </c>
    </row>
    <row r="2223" spans="1:4" ht="17" customHeight="1">
      <c r="A2223" s="1">
        <v>6753</v>
      </c>
      <c r="B2223" s="1" t="s">
        <v>4461</v>
      </c>
      <c r="C2223" s="1" t="s">
        <v>4462</v>
      </c>
      <c r="D2223" s="1" t="s">
        <v>3989</v>
      </c>
    </row>
    <row r="2224" spans="1:4" ht="17" customHeight="1">
      <c r="A2224" s="1">
        <v>6760</v>
      </c>
      <c r="B2224" s="1" t="s">
        <v>4463</v>
      </c>
      <c r="C2224" s="1" t="s">
        <v>4464</v>
      </c>
      <c r="D2224" s="1" t="s">
        <v>3989</v>
      </c>
    </row>
    <row r="2225" spans="1:4" ht="17" customHeight="1">
      <c r="A2225" s="1">
        <v>6770</v>
      </c>
      <c r="B2225" s="1" t="s">
        <v>4465</v>
      </c>
      <c r="C2225" s="1" t="s">
        <v>4466</v>
      </c>
      <c r="D2225" s="1" t="s">
        <v>3989</v>
      </c>
    </row>
    <row r="2226" spans="1:4" ht="17" customHeight="1">
      <c r="A2226" s="1">
        <v>6772</v>
      </c>
      <c r="B2226" s="1" t="s">
        <v>4467</v>
      </c>
      <c r="C2226" s="1" t="s">
        <v>4468</v>
      </c>
      <c r="D2226" s="1" t="s">
        <v>3989</v>
      </c>
    </row>
    <row r="2227" spans="1:4" ht="17" customHeight="1">
      <c r="A2227" s="1">
        <v>6775</v>
      </c>
      <c r="B2227" s="1" t="s">
        <v>4469</v>
      </c>
      <c r="C2227" s="1" t="s">
        <v>4470</v>
      </c>
      <c r="D2227" s="1" t="s">
        <v>3989</v>
      </c>
    </row>
    <row r="2228" spans="1:4" ht="17" customHeight="1">
      <c r="A2228" s="1">
        <v>6778</v>
      </c>
      <c r="B2228" s="1" t="s">
        <v>4471</v>
      </c>
      <c r="C2228" s="1" t="s">
        <v>4472</v>
      </c>
      <c r="D2228" s="1" t="s">
        <v>3989</v>
      </c>
    </row>
    <row r="2229" spans="1:4" ht="17" customHeight="1">
      <c r="A2229" s="1">
        <v>6779</v>
      </c>
      <c r="B2229" s="1" t="s">
        <v>4473</v>
      </c>
      <c r="C2229" s="1" t="s">
        <v>4474</v>
      </c>
      <c r="D2229" s="1" t="s">
        <v>3989</v>
      </c>
    </row>
    <row r="2230" spans="1:4" ht="17" customHeight="1">
      <c r="A2230" s="1">
        <v>6780</v>
      </c>
      <c r="B2230" s="1" t="s">
        <v>4475</v>
      </c>
      <c r="C2230" s="1" t="s">
        <v>4476</v>
      </c>
      <c r="D2230" s="1" t="s">
        <v>3989</v>
      </c>
    </row>
    <row r="2231" spans="1:4" ht="17" customHeight="1">
      <c r="A2231" s="1">
        <v>6782</v>
      </c>
      <c r="B2231" s="1" t="s">
        <v>7131</v>
      </c>
      <c r="C2231" s="1" t="s">
        <v>7132</v>
      </c>
      <c r="D2231" s="1" t="s">
        <v>3989</v>
      </c>
    </row>
    <row r="2232" spans="1:4" ht="17" customHeight="1">
      <c r="A2232" s="1">
        <v>7558</v>
      </c>
      <c r="B2232" s="1" t="s">
        <v>4477</v>
      </c>
      <c r="C2232" s="1" t="s">
        <v>4478</v>
      </c>
      <c r="D2232" s="1" t="s">
        <v>3989</v>
      </c>
    </row>
    <row r="2233" spans="1:4" ht="17" customHeight="1">
      <c r="A2233" s="1">
        <v>7561</v>
      </c>
      <c r="B2233" s="1" t="s">
        <v>4479</v>
      </c>
      <c r="C2233" s="1" t="s">
        <v>4480</v>
      </c>
      <c r="D2233" s="1" t="s">
        <v>3989</v>
      </c>
    </row>
    <row r="2234" spans="1:4" ht="17" customHeight="1">
      <c r="A2234" s="1">
        <v>7566</v>
      </c>
      <c r="B2234" s="1" t="s">
        <v>7133</v>
      </c>
      <c r="C2234" s="1" t="s">
        <v>7134</v>
      </c>
      <c r="D2234" s="1" t="s">
        <v>3989</v>
      </c>
    </row>
    <row r="2235" spans="1:4" ht="17" customHeight="1">
      <c r="A2235" s="1">
        <v>8015</v>
      </c>
      <c r="B2235" s="1" t="s">
        <v>4481</v>
      </c>
      <c r="C2235" s="1" t="s">
        <v>4482</v>
      </c>
      <c r="D2235" s="1" t="s">
        <v>3989</v>
      </c>
    </row>
    <row r="2236" spans="1:4" ht="17" customHeight="1">
      <c r="A2236" s="1">
        <v>8022</v>
      </c>
      <c r="B2236" s="1" t="s">
        <v>4483</v>
      </c>
      <c r="C2236" s="1" t="s">
        <v>4484</v>
      </c>
      <c r="D2236" s="1" t="s">
        <v>3989</v>
      </c>
    </row>
    <row r="2237" spans="1:4" ht="17" customHeight="1">
      <c r="A2237" s="1">
        <v>8029</v>
      </c>
      <c r="B2237" s="1" t="s">
        <v>4485</v>
      </c>
      <c r="C2237" s="1" t="s">
        <v>4486</v>
      </c>
      <c r="D2237" s="1" t="s">
        <v>3989</v>
      </c>
    </row>
    <row r="2238" spans="1:4" ht="17" customHeight="1">
      <c r="A2238" s="1">
        <v>8053</v>
      </c>
      <c r="B2238" s="1" t="s">
        <v>4487</v>
      </c>
      <c r="C2238" s="1" t="s">
        <v>4488</v>
      </c>
      <c r="D2238" s="1" t="s">
        <v>3989</v>
      </c>
    </row>
    <row r="2239" spans="1:4" ht="17" customHeight="1">
      <c r="A2239" s="1">
        <v>8134</v>
      </c>
      <c r="B2239" s="1" t="s">
        <v>4489</v>
      </c>
      <c r="C2239" s="1" t="s">
        <v>4490</v>
      </c>
      <c r="D2239" s="1" t="s">
        <v>3989</v>
      </c>
    </row>
    <row r="2240" spans="1:4" ht="17" customHeight="1">
      <c r="A2240" s="1">
        <v>8140</v>
      </c>
      <c r="B2240" s="1" t="s">
        <v>4491</v>
      </c>
      <c r="C2240" s="1" t="s">
        <v>4492</v>
      </c>
      <c r="D2240" s="1" t="s">
        <v>3989</v>
      </c>
    </row>
    <row r="2241" spans="1:4" ht="17" customHeight="1">
      <c r="A2241" s="1">
        <v>8152</v>
      </c>
      <c r="B2241" s="1" t="s">
        <v>4493</v>
      </c>
      <c r="C2241" s="1" t="s">
        <v>4494</v>
      </c>
      <c r="D2241" s="1" t="s">
        <v>3989</v>
      </c>
    </row>
    <row r="2242" spans="1:4" ht="17" customHeight="1">
      <c r="A2242" s="1">
        <v>8218</v>
      </c>
      <c r="B2242" s="1" t="s">
        <v>4495</v>
      </c>
      <c r="C2242" s="1" t="s">
        <v>4496</v>
      </c>
      <c r="D2242" s="1" t="s">
        <v>3989</v>
      </c>
    </row>
    <row r="2243" spans="1:4" ht="17" customHeight="1">
      <c r="A2243" s="1">
        <v>8225</v>
      </c>
      <c r="B2243" s="1" t="s">
        <v>4497</v>
      </c>
      <c r="C2243" s="1" t="s">
        <v>4498</v>
      </c>
      <c r="D2243" s="1" t="s">
        <v>3989</v>
      </c>
    </row>
    <row r="2244" spans="1:4" ht="17" customHeight="1">
      <c r="A2244" s="1">
        <v>8227</v>
      </c>
      <c r="B2244" s="1" t="s">
        <v>4499</v>
      </c>
      <c r="C2244" s="1" t="s">
        <v>4500</v>
      </c>
      <c r="D2244" s="1" t="s">
        <v>3989</v>
      </c>
    </row>
    <row r="2245" spans="1:4" ht="17" customHeight="1">
      <c r="A2245" s="1">
        <v>8242</v>
      </c>
      <c r="B2245" s="1" t="s">
        <v>4501</v>
      </c>
      <c r="C2245" s="1" t="s">
        <v>4502</v>
      </c>
      <c r="D2245" s="1" t="s">
        <v>3989</v>
      </c>
    </row>
    <row r="2246" spans="1:4" ht="17" customHeight="1">
      <c r="A2246" s="1">
        <v>8287</v>
      </c>
      <c r="B2246" s="1" t="s">
        <v>3350</v>
      </c>
      <c r="C2246" s="1" t="s">
        <v>3351</v>
      </c>
      <c r="D2246" s="1" t="s">
        <v>3989</v>
      </c>
    </row>
    <row r="2247" spans="1:4" ht="17" customHeight="1">
      <c r="A2247" s="1">
        <v>8304</v>
      </c>
      <c r="B2247" s="1" t="s">
        <v>4503</v>
      </c>
      <c r="C2247" s="1" t="s">
        <v>4504</v>
      </c>
      <c r="D2247" s="1" t="s">
        <v>3989</v>
      </c>
    </row>
    <row r="2248" spans="1:4" ht="17" customHeight="1">
      <c r="A2248" s="1">
        <v>8305</v>
      </c>
      <c r="B2248" s="1" t="s">
        <v>4505</v>
      </c>
      <c r="C2248" s="1" t="s">
        <v>4506</v>
      </c>
      <c r="D2248" s="1" t="s">
        <v>3989</v>
      </c>
    </row>
    <row r="2249" spans="1:4" ht="17" customHeight="1">
      <c r="A2249" s="1">
        <v>8307</v>
      </c>
      <c r="B2249" s="1" t="s">
        <v>4507</v>
      </c>
      <c r="C2249" s="1" t="s">
        <v>4508</v>
      </c>
      <c r="D2249" s="1" t="s">
        <v>3989</v>
      </c>
    </row>
    <row r="2250" spans="1:4" ht="17" customHeight="1">
      <c r="A2250" s="1">
        <v>8308</v>
      </c>
      <c r="B2250" s="1" t="s">
        <v>4509</v>
      </c>
      <c r="C2250" s="1" t="s">
        <v>4510</v>
      </c>
      <c r="D2250" s="1" t="s">
        <v>3989</v>
      </c>
    </row>
    <row r="2251" spans="1:4" ht="17" customHeight="1">
      <c r="A2251" s="1">
        <v>8309</v>
      </c>
      <c r="B2251" s="1" t="s">
        <v>4511</v>
      </c>
      <c r="C2251" s="1" t="s">
        <v>4512</v>
      </c>
      <c r="D2251" s="1" t="s">
        <v>3989</v>
      </c>
    </row>
    <row r="2252" spans="1:4" ht="17" customHeight="1">
      <c r="A2252" s="1">
        <v>8310</v>
      </c>
      <c r="B2252" s="1" t="s">
        <v>4513</v>
      </c>
      <c r="C2252" s="1" t="s">
        <v>4514</v>
      </c>
      <c r="D2252" s="1" t="s">
        <v>3989</v>
      </c>
    </row>
    <row r="2253" spans="1:4" ht="17" customHeight="1">
      <c r="A2253" s="1">
        <v>8312</v>
      </c>
      <c r="B2253" s="1" t="s">
        <v>4515</v>
      </c>
      <c r="C2253" s="1" t="s">
        <v>4516</v>
      </c>
      <c r="D2253" s="1" t="s">
        <v>3989</v>
      </c>
    </row>
    <row r="2254" spans="1:4" ht="17" customHeight="1">
      <c r="A2254" s="1">
        <v>8315</v>
      </c>
      <c r="B2254" s="1" t="s">
        <v>4517</v>
      </c>
      <c r="C2254" s="1" t="s">
        <v>4518</v>
      </c>
      <c r="D2254" s="1" t="s">
        <v>3989</v>
      </c>
    </row>
    <row r="2255" spans="1:4" ht="17" customHeight="1">
      <c r="A2255" s="1">
        <v>8327</v>
      </c>
      <c r="B2255" s="1" t="s">
        <v>4519</v>
      </c>
      <c r="C2255" s="1" t="s">
        <v>4520</v>
      </c>
      <c r="D2255" s="1" t="s">
        <v>3989</v>
      </c>
    </row>
    <row r="2256" spans="1:4" ht="17" customHeight="1">
      <c r="A2256" s="1">
        <v>8330</v>
      </c>
      <c r="B2256" s="1" t="s">
        <v>4521</v>
      </c>
      <c r="C2256" s="1" t="s">
        <v>4522</v>
      </c>
      <c r="D2256" s="1" t="s">
        <v>3989</v>
      </c>
    </row>
    <row r="2257" spans="1:4" ht="17" customHeight="1">
      <c r="A2257" s="1">
        <v>8338</v>
      </c>
      <c r="B2257" s="1" t="s">
        <v>4523</v>
      </c>
      <c r="C2257" s="1" t="s">
        <v>4524</v>
      </c>
      <c r="D2257" s="1" t="s">
        <v>3989</v>
      </c>
    </row>
    <row r="2258" spans="1:4" ht="17" customHeight="1">
      <c r="A2258" s="1">
        <v>8343</v>
      </c>
      <c r="B2258" s="1" t="s">
        <v>4525</v>
      </c>
      <c r="C2258" s="1" t="s">
        <v>4526</v>
      </c>
      <c r="D2258" s="1" t="s">
        <v>3989</v>
      </c>
    </row>
    <row r="2259" spans="1:4" ht="17" customHeight="1">
      <c r="A2259" s="1">
        <v>8350</v>
      </c>
      <c r="B2259" s="1" t="s">
        <v>4527</v>
      </c>
      <c r="C2259" s="1" t="s">
        <v>4528</v>
      </c>
      <c r="D2259" s="1" t="s">
        <v>3989</v>
      </c>
    </row>
    <row r="2260" spans="1:4" ht="17" customHeight="1">
      <c r="A2260" s="1">
        <v>8360</v>
      </c>
      <c r="B2260" s="1" t="s">
        <v>4529</v>
      </c>
      <c r="C2260" s="1" t="s">
        <v>4530</v>
      </c>
      <c r="D2260" s="1" t="s">
        <v>3989</v>
      </c>
    </row>
    <row r="2261" spans="1:4" ht="17" customHeight="1">
      <c r="A2261" s="1">
        <v>8366</v>
      </c>
      <c r="B2261" s="1" t="s">
        <v>4531</v>
      </c>
      <c r="C2261" s="1" t="s">
        <v>4532</v>
      </c>
      <c r="D2261" s="1" t="s">
        <v>3989</v>
      </c>
    </row>
    <row r="2262" spans="1:4" ht="17" customHeight="1">
      <c r="A2262" s="1">
        <v>8368</v>
      </c>
      <c r="B2262" s="1" t="s">
        <v>4533</v>
      </c>
      <c r="C2262" s="1" t="s">
        <v>4534</v>
      </c>
      <c r="D2262" s="1" t="s">
        <v>3989</v>
      </c>
    </row>
    <row r="2263" spans="1:4" ht="17" customHeight="1">
      <c r="A2263" s="1">
        <v>8370</v>
      </c>
      <c r="B2263" s="1" t="s">
        <v>4535</v>
      </c>
      <c r="C2263" s="1" t="s">
        <v>4536</v>
      </c>
      <c r="D2263" s="1" t="s">
        <v>3989</v>
      </c>
    </row>
    <row r="2264" spans="1:4" ht="17" customHeight="1">
      <c r="A2264" s="1">
        <v>8376</v>
      </c>
      <c r="B2264" s="1" t="s">
        <v>4537</v>
      </c>
      <c r="C2264" s="1" t="s">
        <v>4538</v>
      </c>
      <c r="D2264" s="1" t="s">
        <v>3989</v>
      </c>
    </row>
    <row r="2265" spans="1:4" ht="17" customHeight="1">
      <c r="A2265" s="1">
        <v>8379</v>
      </c>
      <c r="B2265" s="1" t="s">
        <v>4539</v>
      </c>
      <c r="C2265" s="1" t="s">
        <v>4540</v>
      </c>
      <c r="D2265" s="1" t="s">
        <v>3989</v>
      </c>
    </row>
    <row r="2266" spans="1:4" ht="17" customHeight="1">
      <c r="A2266" s="1">
        <v>8387</v>
      </c>
      <c r="B2266" s="1" t="s">
        <v>4541</v>
      </c>
      <c r="C2266" s="1" t="s">
        <v>4542</v>
      </c>
      <c r="D2266" s="1" t="s">
        <v>3989</v>
      </c>
    </row>
    <row r="2267" spans="1:4" ht="17" customHeight="1">
      <c r="A2267" s="1">
        <v>8391</v>
      </c>
      <c r="B2267" s="1" t="s">
        <v>4543</v>
      </c>
      <c r="C2267" s="1" t="s">
        <v>4544</v>
      </c>
      <c r="D2267" s="1" t="s">
        <v>3989</v>
      </c>
    </row>
    <row r="2268" spans="1:4" ht="17" customHeight="1">
      <c r="A2268" s="1">
        <v>8392</v>
      </c>
      <c r="B2268" s="1" t="s">
        <v>4545</v>
      </c>
      <c r="C2268" s="1" t="s">
        <v>4546</v>
      </c>
      <c r="D2268" s="1" t="s">
        <v>3989</v>
      </c>
    </row>
    <row r="2269" spans="1:4" ht="17" customHeight="1">
      <c r="A2269" s="1">
        <v>8394</v>
      </c>
      <c r="B2269" s="1" t="s">
        <v>4547</v>
      </c>
      <c r="C2269" s="1" t="s">
        <v>4548</v>
      </c>
      <c r="D2269" s="1" t="s">
        <v>3989</v>
      </c>
    </row>
    <row r="2270" spans="1:4" ht="17" customHeight="1">
      <c r="A2270" s="1">
        <v>8399</v>
      </c>
      <c r="B2270" s="1" t="s">
        <v>4549</v>
      </c>
      <c r="C2270" s="1" t="s">
        <v>4550</v>
      </c>
      <c r="D2270" s="1" t="s">
        <v>3989</v>
      </c>
    </row>
    <row r="2271" spans="1:4" ht="17" customHeight="1">
      <c r="A2271" s="1">
        <v>8452</v>
      </c>
      <c r="B2271" s="1" t="s">
        <v>4551</v>
      </c>
      <c r="C2271" s="1" t="s">
        <v>4552</v>
      </c>
      <c r="D2271" s="1" t="s">
        <v>3989</v>
      </c>
    </row>
    <row r="2272" spans="1:4" ht="17" customHeight="1">
      <c r="A2272" s="1">
        <v>8453</v>
      </c>
      <c r="B2272" s="1" t="s">
        <v>4553</v>
      </c>
      <c r="C2272" s="1" t="s">
        <v>4554</v>
      </c>
      <c r="D2272" s="1" t="s">
        <v>3989</v>
      </c>
    </row>
    <row r="2273" spans="1:4" ht="17" customHeight="1">
      <c r="A2273" s="1">
        <v>8456</v>
      </c>
      <c r="B2273" s="1" t="s">
        <v>4555</v>
      </c>
      <c r="C2273" s="1" t="s">
        <v>4556</v>
      </c>
      <c r="D2273" s="1" t="s">
        <v>3989</v>
      </c>
    </row>
    <row r="2274" spans="1:4" ht="17" customHeight="1">
      <c r="A2274" s="1">
        <v>8459</v>
      </c>
      <c r="B2274" s="1" t="s">
        <v>4557</v>
      </c>
      <c r="C2274" s="1" t="s">
        <v>4558</v>
      </c>
      <c r="D2274" s="1" t="s">
        <v>3989</v>
      </c>
    </row>
    <row r="2275" spans="1:4" ht="17" customHeight="1">
      <c r="A2275" s="1">
        <v>8469</v>
      </c>
      <c r="B2275" s="1" t="s">
        <v>4559</v>
      </c>
      <c r="C2275" s="1" t="s">
        <v>4560</v>
      </c>
      <c r="D2275" s="1" t="s">
        <v>3989</v>
      </c>
    </row>
    <row r="2276" spans="1:4" ht="17" customHeight="1">
      <c r="A2276" s="1">
        <v>8475</v>
      </c>
      <c r="B2276" s="1" t="s">
        <v>4561</v>
      </c>
      <c r="C2276" s="1" t="s">
        <v>4562</v>
      </c>
      <c r="D2276" s="1" t="s">
        <v>3989</v>
      </c>
    </row>
    <row r="2277" spans="1:4" ht="17" customHeight="1">
      <c r="A2277" s="1">
        <v>8486</v>
      </c>
      <c r="B2277" s="1" t="s">
        <v>4563</v>
      </c>
      <c r="C2277" s="1" t="s">
        <v>4564</v>
      </c>
      <c r="D2277" s="1" t="s">
        <v>3989</v>
      </c>
    </row>
    <row r="2278" spans="1:4" ht="17" customHeight="1">
      <c r="A2278" s="1">
        <v>8943</v>
      </c>
      <c r="B2278" s="1" t="s">
        <v>4565</v>
      </c>
      <c r="C2278" s="1" t="s">
        <v>4566</v>
      </c>
      <c r="D2278" s="1" t="s">
        <v>3989</v>
      </c>
    </row>
    <row r="2279" spans="1:4" ht="17" customHeight="1">
      <c r="A2279" s="1">
        <v>8945</v>
      </c>
      <c r="B2279" s="1" t="s">
        <v>4567</v>
      </c>
      <c r="C2279" s="1" t="s">
        <v>4568</v>
      </c>
      <c r="D2279" s="1" t="s">
        <v>3989</v>
      </c>
    </row>
    <row r="2280" spans="1:4" ht="17" customHeight="1">
      <c r="A2280" s="1">
        <v>8946</v>
      </c>
      <c r="B2280" s="1" t="s">
        <v>4569</v>
      </c>
      <c r="C2280" s="1" t="s">
        <v>4570</v>
      </c>
      <c r="D2280" s="1" t="s">
        <v>3989</v>
      </c>
    </row>
    <row r="2281" spans="1:4" ht="17" customHeight="1">
      <c r="A2281" s="1">
        <v>8948</v>
      </c>
      <c r="B2281" s="1" t="s">
        <v>4571</v>
      </c>
      <c r="C2281" s="1" t="s">
        <v>4572</v>
      </c>
      <c r="D2281" s="1" t="s">
        <v>3989</v>
      </c>
    </row>
    <row r="2282" spans="1:4" ht="17" customHeight="1">
      <c r="A2282" s="1">
        <v>8951</v>
      </c>
      <c r="B2282" s="1" t="s">
        <v>4573</v>
      </c>
      <c r="C2282" s="1" t="s">
        <v>4574</v>
      </c>
      <c r="D2282" s="1" t="s">
        <v>3989</v>
      </c>
    </row>
    <row r="2283" spans="1:4" ht="17" customHeight="1">
      <c r="A2283" s="1">
        <v>8952</v>
      </c>
      <c r="B2283" s="1" t="s">
        <v>4575</v>
      </c>
      <c r="C2283" s="1" t="s">
        <v>4576</v>
      </c>
      <c r="D2283" s="1" t="s">
        <v>3989</v>
      </c>
    </row>
    <row r="2284" spans="1:4" ht="17" customHeight="1">
      <c r="A2284" s="1">
        <v>8953</v>
      </c>
      <c r="B2284" s="1" t="s">
        <v>4577</v>
      </c>
      <c r="C2284" s="1" t="s">
        <v>4578</v>
      </c>
      <c r="D2284" s="1" t="s">
        <v>3989</v>
      </c>
    </row>
    <row r="2285" spans="1:4" ht="17" customHeight="1">
      <c r="A2285" s="1">
        <v>8955</v>
      </c>
      <c r="B2285" s="1" t="s">
        <v>4579</v>
      </c>
      <c r="C2285" s="1" t="s">
        <v>4580</v>
      </c>
      <c r="D2285" s="1" t="s">
        <v>3989</v>
      </c>
    </row>
    <row r="2286" spans="1:4" ht="17" customHeight="1">
      <c r="A2286" s="1">
        <v>8956</v>
      </c>
      <c r="B2286" s="1" t="s">
        <v>4581</v>
      </c>
      <c r="C2286" s="1" t="s">
        <v>4582</v>
      </c>
      <c r="D2286" s="1" t="s">
        <v>3989</v>
      </c>
    </row>
    <row r="2287" spans="1:4" ht="17" customHeight="1">
      <c r="A2287" s="1">
        <v>8957</v>
      </c>
      <c r="B2287" s="1" t="s">
        <v>4583</v>
      </c>
      <c r="C2287" s="1" t="s">
        <v>4584</v>
      </c>
      <c r="D2287" s="1" t="s">
        <v>3989</v>
      </c>
    </row>
    <row r="2288" spans="1:4" ht="17" customHeight="1">
      <c r="A2288" s="1">
        <v>8960</v>
      </c>
      <c r="B2288" s="1" t="s">
        <v>4585</v>
      </c>
      <c r="C2288" s="1" t="s">
        <v>4586</v>
      </c>
      <c r="D2288" s="1" t="s">
        <v>3989</v>
      </c>
    </row>
    <row r="2289" spans="1:4" ht="17" customHeight="1">
      <c r="A2289" s="1">
        <v>8962</v>
      </c>
      <c r="B2289" s="1" t="s">
        <v>4587</v>
      </c>
      <c r="C2289" s="1" t="s">
        <v>4588</v>
      </c>
      <c r="D2289" s="1" t="s">
        <v>3989</v>
      </c>
    </row>
    <row r="2290" spans="1:4" ht="17" customHeight="1">
      <c r="A2290" s="1">
        <v>8963</v>
      </c>
      <c r="B2290" s="1" t="s">
        <v>4589</v>
      </c>
      <c r="C2290" s="1" t="s">
        <v>4590</v>
      </c>
      <c r="D2290" s="1" t="s">
        <v>3989</v>
      </c>
    </row>
    <row r="2291" spans="1:4" ht="17" customHeight="1">
      <c r="A2291" s="1">
        <v>8965</v>
      </c>
      <c r="B2291" s="1" t="s">
        <v>4591</v>
      </c>
      <c r="C2291" s="1" t="s">
        <v>4592</v>
      </c>
      <c r="D2291" s="1" t="s">
        <v>3989</v>
      </c>
    </row>
    <row r="2292" spans="1:4" ht="17" customHeight="1">
      <c r="A2292" s="1">
        <v>8966</v>
      </c>
      <c r="B2292" s="1" t="s">
        <v>4593</v>
      </c>
      <c r="C2292" s="1" t="s">
        <v>4594</v>
      </c>
      <c r="D2292" s="1" t="s">
        <v>3989</v>
      </c>
    </row>
    <row r="2293" spans="1:4" ht="17" customHeight="1">
      <c r="A2293" s="1">
        <v>8967</v>
      </c>
      <c r="B2293" s="1" t="s">
        <v>4595</v>
      </c>
      <c r="C2293" s="1" t="s">
        <v>4596</v>
      </c>
      <c r="D2293" s="1" t="s">
        <v>3989</v>
      </c>
    </row>
    <row r="2294" spans="1:4" ht="17" customHeight="1">
      <c r="A2294" s="1">
        <v>8968</v>
      </c>
      <c r="B2294" s="1" t="s">
        <v>4597</v>
      </c>
      <c r="C2294" s="1" t="s">
        <v>4598</v>
      </c>
      <c r="D2294" s="1" t="s">
        <v>3989</v>
      </c>
    </row>
    <row r="2295" spans="1:4" ht="17" customHeight="1">
      <c r="A2295" s="1">
        <v>8969</v>
      </c>
      <c r="B2295" s="1" t="s">
        <v>4599</v>
      </c>
      <c r="C2295" s="1" t="s">
        <v>4600</v>
      </c>
      <c r="D2295" s="1" t="s">
        <v>3989</v>
      </c>
    </row>
    <row r="2296" spans="1:4" ht="17" customHeight="1">
      <c r="A2296" s="1">
        <v>8970</v>
      </c>
      <c r="B2296" s="1" t="s">
        <v>4601</v>
      </c>
      <c r="C2296" s="1" t="s">
        <v>4602</v>
      </c>
      <c r="D2296" s="1" t="s">
        <v>3989</v>
      </c>
    </row>
    <row r="2297" spans="1:4" ht="17" customHeight="1">
      <c r="A2297" s="1">
        <v>8971</v>
      </c>
      <c r="B2297" s="1" t="s">
        <v>4603</v>
      </c>
      <c r="C2297" s="1" t="s">
        <v>4604</v>
      </c>
      <c r="D2297" s="1" t="s">
        <v>3989</v>
      </c>
    </row>
    <row r="2298" spans="1:4" ht="17" customHeight="1">
      <c r="A2298" s="1">
        <v>8973</v>
      </c>
      <c r="B2298" s="1" t="s">
        <v>4605</v>
      </c>
      <c r="C2298" s="1" t="s">
        <v>4606</v>
      </c>
      <c r="D2298" s="1" t="s">
        <v>3989</v>
      </c>
    </row>
    <row r="2299" spans="1:4" ht="17" customHeight="1">
      <c r="A2299" s="1">
        <v>8974</v>
      </c>
      <c r="B2299" s="1" t="s">
        <v>4607</v>
      </c>
      <c r="C2299" s="1" t="s">
        <v>4608</v>
      </c>
      <c r="D2299" s="1" t="s">
        <v>3989</v>
      </c>
    </row>
    <row r="2300" spans="1:4" ht="17" customHeight="1">
      <c r="A2300" s="1">
        <v>8975</v>
      </c>
      <c r="B2300" s="1" t="s">
        <v>4609</v>
      </c>
      <c r="C2300" s="1" t="s">
        <v>4610</v>
      </c>
      <c r="D2300" s="1" t="s">
        <v>3989</v>
      </c>
    </row>
    <row r="2301" spans="1:4" ht="17" customHeight="1">
      <c r="A2301" s="1">
        <v>8976</v>
      </c>
      <c r="B2301" s="1" t="s">
        <v>4611</v>
      </c>
      <c r="C2301" s="1" t="s">
        <v>4612</v>
      </c>
      <c r="D2301" s="1" t="s">
        <v>3989</v>
      </c>
    </row>
    <row r="2302" spans="1:4" ht="17" customHeight="1">
      <c r="A2302" s="1">
        <v>8977</v>
      </c>
      <c r="B2302" s="1" t="s">
        <v>4613</v>
      </c>
      <c r="C2302" s="1" t="s">
        <v>4614</v>
      </c>
      <c r="D2302" s="1" t="s">
        <v>3989</v>
      </c>
    </row>
    <row r="2303" spans="1:4" ht="17" customHeight="1">
      <c r="A2303" s="1">
        <v>8978</v>
      </c>
      <c r="B2303" s="1" t="s">
        <v>4615</v>
      </c>
      <c r="C2303" s="1" t="s">
        <v>4616</v>
      </c>
      <c r="D2303" s="1" t="s">
        <v>3989</v>
      </c>
    </row>
    <row r="2304" spans="1:4" ht="17" customHeight="1">
      <c r="A2304" s="1">
        <v>8980</v>
      </c>
      <c r="B2304" s="1" t="s">
        <v>4617</v>
      </c>
      <c r="C2304" s="1" t="s">
        <v>4618</v>
      </c>
      <c r="D2304" s="1" t="s">
        <v>3989</v>
      </c>
    </row>
    <row r="2305" spans="1:4" ht="17" customHeight="1">
      <c r="A2305" s="1">
        <v>8981</v>
      </c>
      <c r="B2305" s="1" t="s">
        <v>4619</v>
      </c>
      <c r="C2305" s="1" t="s">
        <v>4620</v>
      </c>
      <c r="D2305" s="1" t="s">
        <v>3989</v>
      </c>
    </row>
    <row r="2306" spans="1:4" ht="17" customHeight="1">
      <c r="A2306" s="1">
        <v>8982</v>
      </c>
      <c r="B2306" s="1" t="s">
        <v>4621</v>
      </c>
      <c r="C2306" s="1" t="s">
        <v>4622</v>
      </c>
      <c r="D2306" s="1" t="s">
        <v>3989</v>
      </c>
    </row>
    <row r="2307" spans="1:4" ht="17" customHeight="1">
      <c r="A2307" s="1">
        <v>8983</v>
      </c>
      <c r="B2307" s="1" t="s">
        <v>4623</v>
      </c>
      <c r="C2307" s="1" t="s">
        <v>4624</v>
      </c>
      <c r="D2307" s="1" t="s">
        <v>3989</v>
      </c>
    </row>
    <row r="2308" spans="1:4" ht="17" customHeight="1">
      <c r="A2308" s="1">
        <v>8985</v>
      </c>
      <c r="B2308" s="1" t="s">
        <v>4625</v>
      </c>
      <c r="C2308" s="1" t="s">
        <v>4626</v>
      </c>
      <c r="D2308" s="1" t="s">
        <v>3989</v>
      </c>
    </row>
    <row r="2309" spans="1:4" ht="17" customHeight="1">
      <c r="A2309" s="1">
        <v>8986</v>
      </c>
      <c r="B2309" s="1" t="s">
        <v>4627</v>
      </c>
      <c r="C2309" s="1" t="s">
        <v>4628</v>
      </c>
      <c r="D2309" s="1" t="s">
        <v>3989</v>
      </c>
    </row>
    <row r="2310" spans="1:4" ht="17" customHeight="1">
      <c r="A2310" s="1">
        <v>8987</v>
      </c>
      <c r="B2310" s="1" t="s">
        <v>4629</v>
      </c>
      <c r="C2310" s="1" t="s">
        <v>4630</v>
      </c>
      <c r="D2310" s="1" t="s">
        <v>3989</v>
      </c>
    </row>
    <row r="2311" spans="1:4" ht="17" customHeight="1">
      <c r="A2311" s="1">
        <v>8988</v>
      </c>
      <c r="B2311" s="1" t="s">
        <v>4631</v>
      </c>
      <c r="C2311" s="1" t="s">
        <v>4632</v>
      </c>
      <c r="D2311" s="1" t="s">
        <v>3989</v>
      </c>
    </row>
    <row r="2312" spans="1:4" ht="17" customHeight="1">
      <c r="A2312" s="1">
        <v>8990</v>
      </c>
      <c r="B2312" s="1" t="s">
        <v>4633</v>
      </c>
      <c r="C2312" s="1" t="s">
        <v>4634</v>
      </c>
      <c r="D2312" s="1" t="s">
        <v>3989</v>
      </c>
    </row>
    <row r="2313" spans="1:4" ht="17" customHeight="1">
      <c r="A2313" s="1">
        <v>8991</v>
      </c>
      <c r="B2313" s="1" t="s">
        <v>4635</v>
      </c>
      <c r="C2313" s="1" t="s">
        <v>4636</v>
      </c>
      <c r="D2313" s="1" t="s">
        <v>3989</v>
      </c>
    </row>
    <row r="2314" spans="1:4" ht="17" customHeight="1">
      <c r="A2314" s="1">
        <v>8992</v>
      </c>
      <c r="B2314" s="1" t="s">
        <v>4637</v>
      </c>
      <c r="C2314" s="1" t="s">
        <v>4638</v>
      </c>
      <c r="D2314" s="1" t="s">
        <v>3989</v>
      </c>
    </row>
    <row r="2315" spans="1:4" ht="17" customHeight="1">
      <c r="A2315" s="1">
        <v>8995</v>
      </c>
      <c r="B2315" s="1" t="s">
        <v>4639</v>
      </c>
      <c r="C2315" s="1" t="s">
        <v>4640</v>
      </c>
      <c r="D2315" s="1" t="s">
        <v>3989</v>
      </c>
    </row>
    <row r="2316" spans="1:4" ht="17" customHeight="1">
      <c r="A2316" s="1">
        <v>9963</v>
      </c>
      <c r="B2316" s="1" t="s">
        <v>4641</v>
      </c>
      <c r="C2316" s="1" t="s">
        <v>4642</v>
      </c>
      <c r="D2316" s="1" t="s">
        <v>3989</v>
      </c>
    </row>
    <row r="2317" spans="1:4" ht="17" customHeight="1">
      <c r="A2317" s="1">
        <v>9964</v>
      </c>
      <c r="B2317" s="1" t="s">
        <v>4643</v>
      </c>
      <c r="C2317" s="1" t="s">
        <v>4644</v>
      </c>
      <c r="D2317" s="1" t="s">
        <v>3989</v>
      </c>
    </row>
    <row r="2318" spans="1:4" ht="17" customHeight="1">
      <c r="A2318" s="1">
        <v>9968</v>
      </c>
      <c r="B2318" s="1" t="s">
        <v>4645</v>
      </c>
      <c r="C2318" s="1" t="s">
        <v>4646</v>
      </c>
      <c r="D2318" s="1" t="s">
        <v>3989</v>
      </c>
    </row>
    <row r="2319" spans="1:4" ht="17" customHeight="1">
      <c r="A2319" s="1">
        <v>9971</v>
      </c>
      <c r="B2319" s="1" t="s">
        <v>4647</v>
      </c>
      <c r="C2319" s="1" t="s">
        <v>4648</v>
      </c>
      <c r="D2319" s="1" t="s">
        <v>3989</v>
      </c>
    </row>
    <row r="2320" spans="1:4" ht="17" customHeight="1">
      <c r="A2320" s="1">
        <v>9977</v>
      </c>
      <c r="B2320" s="1" t="s">
        <v>4649</v>
      </c>
      <c r="C2320" s="1" t="s">
        <v>4650</v>
      </c>
      <c r="D2320" s="1" t="s">
        <v>3989</v>
      </c>
    </row>
    <row r="2321" spans="1:4" ht="17" customHeight="1">
      <c r="A2321" s="1">
        <v>9978</v>
      </c>
      <c r="B2321" s="1" t="s">
        <v>4651</v>
      </c>
      <c r="C2321" s="1" t="s">
        <v>4652</v>
      </c>
      <c r="D2321" s="1" t="s">
        <v>3989</v>
      </c>
    </row>
    <row r="2322" spans="1:4" ht="17" customHeight="1">
      <c r="A2322" s="1">
        <v>9982</v>
      </c>
      <c r="B2322" s="1" t="s">
        <v>4653</v>
      </c>
      <c r="C2322" s="1" t="s">
        <v>4654</v>
      </c>
      <c r="D2322" s="1" t="s">
        <v>3989</v>
      </c>
    </row>
    <row r="2323" spans="1:4" ht="17" customHeight="1">
      <c r="A2323" s="1">
        <v>9983</v>
      </c>
      <c r="B2323" s="1" t="s">
        <v>4655</v>
      </c>
      <c r="C2323" s="1" t="s">
        <v>4656</v>
      </c>
      <c r="D2323" s="1" t="s">
        <v>3989</v>
      </c>
    </row>
    <row r="2324" spans="1:4" ht="17" customHeight="1">
      <c r="A2324" s="1">
        <v>9984</v>
      </c>
      <c r="B2324" s="1" t="s">
        <v>4657</v>
      </c>
      <c r="C2324" s="1" t="s">
        <v>4658</v>
      </c>
      <c r="D2324" s="1" t="s">
        <v>3989</v>
      </c>
    </row>
    <row r="2325" spans="1:4" ht="17" customHeight="1">
      <c r="A2325" s="1">
        <v>9985</v>
      </c>
      <c r="B2325" s="1" t="s">
        <v>4659</v>
      </c>
      <c r="C2325" s="1" t="s">
        <v>4660</v>
      </c>
      <c r="D2325" s="1" t="s">
        <v>3989</v>
      </c>
    </row>
    <row r="2326" spans="1:4" ht="17" customHeight="1">
      <c r="A2326" s="1">
        <v>9986</v>
      </c>
      <c r="B2326" s="1" t="s">
        <v>4661</v>
      </c>
      <c r="C2326" s="1" t="s">
        <v>4662</v>
      </c>
      <c r="D2326" s="1" t="s">
        <v>3989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main</vt:lpstr>
      <vt:lpstr>temp</vt:lpstr>
      <vt:lpstr>財務資料</vt:lpstr>
      <vt:lpstr>收盤價</vt:lpstr>
      <vt:lpstr>基本資料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Joan Hsiao</cp:lastModifiedBy>
  <dcterms:created xsi:type="dcterms:W3CDTF">2015-06-05T18:19:34Z</dcterms:created>
  <dcterms:modified xsi:type="dcterms:W3CDTF">2020-05-11T12:04:26Z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